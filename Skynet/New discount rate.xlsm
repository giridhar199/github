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ecac9ee4a5c85d0e/Desktop/Skynet/"/>
    </mc:Choice>
  </mc:AlternateContent>
  <xr:revisionPtr revIDLastSave="70" documentId="8_{1536C341-64DD-4AD8-98B7-95F8E9515E15}" xr6:coauthVersionLast="46" xr6:coauthVersionMax="46" xr10:uidLastSave="{69235088-B282-4F5D-9AF2-37A0992D64F6}"/>
  <workbookProtection workbookAlgorithmName="SHA-512" workbookHashValue="oNbuGH4z/j/Q/a6wZOdz1ct57tq2srrey2NQxSkezV2ROpXsIpaF32Xty/sKAHXP6MrkcalZ4NCiZ8ZhgZcT8g==" workbookSaltValue="ABI7YAjwnBhbjJ9o0pA7Yw==" workbookSpinCount="100000" lockStructure="1"/>
  <bookViews>
    <workbookView xWindow="-120" yWindow="-120" windowWidth="29040" windowHeight="15840" tabRatio="846" activeTab="2" xr2:uid="{00000000-000D-0000-FFFF-FFFF00000000}"/>
  </bookViews>
  <sheets>
    <sheet name="Instructions" sheetId="12" r:id="rId1"/>
    <sheet name="BWP Calculator" sheetId="34" r:id="rId2"/>
    <sheet name="GBWP Calculator " sheetId="35" r:id="rId3"/>
    <sheet name="Qualitative Measures Lookup" sheetId="18" state="hidden" r:id="rId4"/>
    <sheet name="Qualitative Criteria" sheetId="29" r:id="rId5"/>
    <sheet name="Summary" sheetId="30" r:id="rId6"/>
    <sheet name="Ratio lookup" sheetId="27" state="hidden" r:id="rId7"/>
    <sheet name="Qualitative Criteria-OLD" sheetId="31" state="hidden" r:id="rId8"/>
    <sheet name="Prescribed investment lookup" sheetId="19" state="hidden" r:id="rId9"/>
    <sheet name="LOOKUP_ACQ_&lt;10" sheetId="2" state="hidden" r:id="rId10"/>
    <sheet name="LOOKUP_ACQ_11-20" sheetId="20" state="hidden" r:id="rId11"/>
    <sheet name="LOOKUP_ACQ_21-30" sheetId="21" state="hidden" r:id="rId12"/>
    <sheet name="LOOKUP_ACQ_30+" sheetId="22" state="hidden" r:id="rId13"/>
    <sheet name="LOOKUP_RET_&lt;10" sheetId="16" state="hidden" r:id="rId14"/>
    <sheet name="LOOKUP_RET_11-20" sheetId="24" state="hidden" r:id="rId15"/>
    <sheet name="LOOKUP_RET_21-30" sheetId="25" state="hidden" r:id="rId16"/>
    <sheet name="LOOKUP_RET_30+" sheetId="23" state="hidden" r:id="rId17"/>
    <sheet name="Line Count Multiple" sheetId="17" state="hidden" r:id="rId18"/>
    <sheet name="prehup waiver lookup" sheetId="13" state="hidden" r:id="rId19"/>
    <sheet name="images" sheetId="11" state="hidden" r:id="rId20"/>
    <sheet name="Business New Activations" sheetId="8" state="hidden" r:id="rId21"/>
    <sheet name="Subsidy cost" sheetId="14" state="hidden" r:id="rId22"/>
    <sheet name="Hardware Pricing-May 2 2018" sheetId="9" state="hidden" r:id="rId23"/>
    <sheet name="Sheet1" sheetId="10" state="hidden" r:id="rId24"/>
    <sheet name="Investment Credit Matrices" sheetId="7" state="hidden" r:id="rId25"/>
  </sheets>
  <externalReferences>
    <externalReference r:id="rId26"/>
  </externalReferences>
  <definedNames>
    <definedName name="_xlnm._FilterDatabase" localSheetId="20" hidden="1">'Business New Activations'!$A$18:$Y$188</definedName>
    <definedName name="_xlnm._FilterDatabase" localSheetId="3" hidden="1">'Qualitative Measures Lookup'!#REF!</definedName>
    <definedName name="_MailEndCompose" localSheetId="3">'Qualitative Measures Lookup'!$K$4</definedName>
    <definedName name="blank">images!$C$11</definedName>
    <definedName name="checkmark">images!$C$5</definedName>
    <definedName name="Contract">'Qualitative Measures Lookup'!$Q$3:$Q$5</definedName>
    <definedName name="CSP_PLAN">'Qualitative Measures Lookup'!$AP$4:$AP$21</definedName>
    <definedName name="Dealer">'Qualitative Measures Lookup'!$U$2:$U$4</definedName>
    <definedName name="GCSP_PLAN">'Qualitative Measures Lookup'!$AT$4:$AT$21</definedName>
    <definedName name="Picture" localSheetId="1">INDIRECT('BWP Calculator'!$C$87)</definedName>
    <definedName name="Picture" localSheetId="2">INDIRECT('GBWP Calculator '!$C$87)</definedName>
    <definedName name="Picture" localSheetId="4">INDIRECT([1]Calculator!$C$83)</definedName>
    <definedName name="Picture" localSheetId="5">INDIRECT([1]Calculator!$C$83)</definedName>
    <definedName name="Picture">INDIRECT(#REF!)</definedName>
    <definedName name="PLan">'Qualitative Measures Lookup'!$AF$4:$AF$17</definedName>
    <definedName name="_xlnm.Print_Area" localSheetId="20">'Business New Activations'!$D$18:$P$204</definedName>
    <definedName name="_xlnm.Print_Area" localSheetId="1">'BWP Calculator'!$A$4:$U$67</definedName>
    <definedName name="_xlnm.Print_Area" localSheetId="2">'GBWP Calculator '!$A$4:$U$67</definedName>
    <definedName name="_xlnm.Print_Titles" localSheetId="20">'Business New Activations'!$18:$18</definedName>
    <definedName name="x">images!$C$8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3" i="35" l="1"/>
  <c r="K33" i="35"/>
  <c r="I33" i="35"/>
  <c r="G33" i="35"/>
  <c r="E33" i="35"/>
  <c r="M33" i="34"/>
  <c r="K33" i="34"/>
  <c r="I33" i="34"/>
  <c r="G33" i="34"/>
  <c r="E33" i="34"/>
  <c r="BA68" i="18" l="1"/>
  <c r="BA67" i="18"/>
  <c r="BA66" i="18"/>
  <c r="BA65" i="18"/>
  <c r="BA64" i="18"/>
  <c r="BA63" i="18"/>
  <c r="AU72" i="18"/>
  <c r="AU71" i="18"/>
  <c r="AU70" i="18"/>
  <c r="AU69" i="18"/>
  <c r="AU68" i="18"/>
  <c r="AU67" i="18"/>
  <c r="M45" i="35"/>
  <c r="K45" i="35"/>
  <c r="I45" i="35"/>
  <c r="G45" i="35"/>
  <c r="E45" i="35"/>
  <c r="M45" i="34"/>
  <c r="K45" i="34"/>
  <c r="I45" i="34"/>
  <c r="G45" i="34"/>
  <c r="E45" i="34"/>
  <c r="BA62" i="18"/>
  <c r="BA61" i="18"/>
  <c r="BA60" i="18"/>
  <c r="BA59" i="18"/>
  <c r="BA58" i="18"/>
  <c r="BA57" i="18"/>
  <c r="BA56" i="18"/>
  <c r="BA55" i="18"/>
  <c r="BA54" i="18"/>
  <c r="BA53" i="18"/>
  <c r="BA52" i="18"/>
  <c r="BA51" i="18"/>
  <c r="AU56" i="18"/>
  <c r="AU57" i="18"/>
  <c r="AU58" i="18"/>
  <c r="AU59" i="18"/>
  <c r="AU60" i="18"/>
  <c r="AU61" i="18"/>
  <c r="AU62" i="18"/>
  <c r="AU63" i="18"/>
  <c r="AU64" i="18"/>
  <c r="AU65" i="18"/>
  <c r="AU66" i="18"/>
  <c r="AU55" i="18"/>
  <c r="AU20" i="18"/>
  <c r="AU21" i="18"/>
  <c r="AU22" i="18"/>
  <c r="BA4" i="18" l="1"/>
  <c r="BA5" i="18"/>
  <c r="BA6" i="18"/>
  <c r="BA7" i="18"/>
  <c r="BA8" i="18"/>
  <c r="BA9" i="18"/>
  <c r="BA10" i="18"/>
  <c r="BA11" i="18"/>
  <c r="BA12" i="18"/>
  <c r="BA13" i="18"/>
  <c r="BA14" i="18"/>
  <c r="BA15" i="18"/>
  <c r="BA16" i="18"/>
  <c r="BA17" i="18"/>
  <c r="BA18" i="18"/>
  <c r="BA19" i="18"/>
  <c r="BA20" i="18"/>
  <c r="BA21" i="18"/>
  <c r="BA22" i="18"/>
  <c r="BA23" i="18"/>
  <c r="BA24" i="18"/>
  <c r="BA25" i="18"/>
  <c r="BA26" i="18"/>
  <c r="BA27" i="18"/>
  <c r="BA28" i="18"/>
  <c r="BA29" i="18"/>
  <c r="BA30" i="18"/>
  <c r="BA31" i="18"/>
  <c r="BA32" i="18"/>
  <c r="BA33" i="18"/>
  <c r="BA34" i="18"/>
  <c r="BA35" i="18"/>
  <c r="BA36" i="18"/>
  <c r="BA37" i="18"/>
  <c r="BA38" i="18"/>
  <c r="BA39" i="18"/>
  <c r="BA40" i="18"/>
  <c r="BA41" i="18"/>
  <c r="BA42" i="18"/>
  <c r="BA43" i="18"/>
  <c r="BA44" i="18"/>
  <c r="BA45" i="18"/>
  <c r="BA46" i="18"/>
  <c r="BA47" i="18"/>
  <c r="BA48" i="18"/>
  <c r="BA49" i="18"/>
  <c r="BA50" i="18"/>
  <c r="BA3" i="18"/>
  <c r="M112" i="35"/>
  <c r="K112" i="35"/>
  <c r="E112" i="35"/>
  <c r="D112" i="35"/>
  <c r="C112" i="35"/>
  <c r="BS106" i="35"/>
  <c r="BR106" i="35"/>
  <c r="BQ106" i="35"/>
  <c r="BP106" i="35"/>
  <c r="BO106" i="35"/>
  <c r="BN106" i="35"/>
  <c r="BM106" i="35"/>
  <c r="BL106" i="35"/>
  <c r="BK106" i="35"/>
  <c r="BH106" i="35"/>
  <c r="BG106" i="35"/>
  <c r="BF106" i="35"/>
  <c r="X106" i="35"/>
  <c r="W106" i="35"/>
  <c r="V106" i="35"/>
  <c r="O106" i="35"/>
  <c r="N106" i="35"/>
  <c r="B106" i="35"/>
  <c r="A106" i="35"/>
  <c r="U102" i="35"/>
  <c r="S102" i="35"/>
  <c r="R102" i="35"/>
  <c r="Q102" i="35"/>
  <c r="M49" i="35"/>
  <c r="K49" i="35"/>
  <c r="I49" i="35"/>
  <c r="G49" i="35"/>
  <c r="E49" i="35"/>
  <c r="M47" i="35"/>
  <c r="K47" i="35"/>
  <c r="I47" i="35"/>
  <c r="G47" i="35"/>
  <c r="E47" i="35"/>
  <c r="S33" i="35"/>
  <c r="F112" i="35" s="1"/>
  <c r="S31" i="35"/>
  <c r="L112" i="35" s="1"/>
  <c r="S21" i="35"/>
  <c r="G112" i="35" s="1"/>
  <c r="I51" i="35" l="1"/>
  <c r="G51" i="35"/>
  <c r="K51" i="35"/>
  <c r="E51" i="35"/>
  <c r="Y106" i="35" s="1"/>
  <c r="K37" i="35"/>
  <c r="K57" i="35" s="1"/>
  <c r="K53" i="35" s="1"/>
  <c r="I37" i="35"/>
  <c r="I57" i="35" s="1"/>
  <c r="I53" i="35" s="1"/>
  <c r="M37" i="35"/>
  <c r="M57" i="35" s="1"/>
  <c r="M53" i="35" s="1"/>
  <c r="BJ106" i="35" s="1"/>
  <c r="G37" i="35"/>
  <c r="G57" i="35" s="1"/>
  <c r="G53" i="35" s="1"/>
  <c r="E37" i="35"/>
  <c r="M51" i="35"/>
  <c r="BI106" i="35" s="1"/>
  <c r="AU4" i="18"/>
  <c r="AU5" i="18"/>
  <c r="AU6" i="18"/>
  <c r="AU7" i="18"/>
  <c r="AU8" i="18"/>
  <c r="AU9" i="18"/>
  <c r="AU10" i="18"/>
  <c r="AU11" i="18"/>
  <c r="AU12" i="18"/>
  <c r="AU13" i="18"/>
  <c r="AU14" i="18"/>
  <c r="AU15" i="18"/>
  <c r="AU16" i="18"/>
  <c r="AU17" i="18"/>
  <c r="AU18" i="18"/>
  <c r="AU19" i="18"/>
  <c r="AU23" i="18"/>
  <c r="AU24" i="18"/>
  <c r="AU25" i="18"/>
  <c r="AU26" i="18"/>
  <c r="AU27" i="18"/>
  <c r="AU28" i="18"/>
  <c r="AU29" i="18"/>
  <c r="AU30" i="18"/>
  <c r="AU31" i="18"/>
  <c r="AU32" i="18"/>
  <c r="AU33" i="18"/>
  <c r="AU34" i="18"/>
  <c r="AU35" i="18"/>
  <c r="AU36" i="18"/>
  <c r="AU37" i="18"/>
  <c r="AU38" i="18"/>
  <c r="AU39" i="18"/>
  <c r="AU40" i="18"/>
  <c r="AU41" i="18"/>
  <c r="AU42" i="18"/>
  <c r="AU43" i="18"/>
  <c r="AU44" i="18"/>
  <c r="AU45" i="18"/>
  <c r="AU46" i="18"/>
  <c r="AU47" i="18"/>
  <c r="AU48" i="18"/>
  <c r="AU49" i="18"/>
  <c r="AU50" i="18"/>
  <c r="AU51" i="18"/>
  <c r="AU52" i="18"/>
  <c r="AU53" i="18"/>
  <c r="AU54" i="18"/>
  <c r="AU3" i="18"/>
  <c r="S31" i="34"/>
  <c r="S33" i="34"/>
  <c r="F112" i="34" s="1"/>
  <c r="K112" i="34"/>
  <c r="E112" i="34"/>
  <c r="D112" i="34"/>
  <c r="C112" i="34"/>
  <c r="BS106" i="34"/>
  <c r="BR106" i="34"/>
  <c r="BQ106" i="34"/>
  <c r="BP106" i="34"/>
  <c r="BO106" i="34"/>
  <c r="BN106" i="34"/>
  <c r="BM106" i="34"/>
  <c r="BL106" i="34"/>
  <c r="BK106" i="34"/>
  <c r="BH106" i="34"/>
  <c r="BG106" i="34"/>
  <c r="X106" i="34"/>
  <c r="W106" i="34"/>
  <c r="O106" i="34"/>
  <c r="B106" i="34"/>
  <c r="A106" i="34"/>
  <c r="U102" i="34"/>
  <c r="S102" i="34"/>
  <c r="R102" i="34"/>
  <c r="Q102" i="34"/>
  <c r="M49" i="34"/>
  <c r="K49" i="34"/>
  <c r="I49" i="34"/>
  <c r="G49" i="34"/>
  <c r="E49" i="34"/>
  <c r="M47" i="34"/>
  <c r="K47" i="34"/>
  <c r="I47" i="34"/>
  <c r="G47" i="34"/>
  <c r="E47" i="34"/>
  <c r="S21" i="34"/>
  <c r="G112" i="34" s="1"/>
  <c r="G55" i="35" l="1"/>
  <c r="I55" i="35"/>
  <c r="K55" i="35"/>
  <c r="E57" i="35"/>
  <c r="S25" i="35" s="1"/>
  <c r="S23" i="35"/>
  <c r="H112" i="35" s="1"/>
  <c r="M37" i="34"/>
  <c r="M57" i="34" s="1"/>
  <c r="M53" i="34" s="1"/>
  <c r="BJ106" i="34" s="1"/>
  <c r="I37" i="34"/>
  <c r="I57" i="34" s="1"/>
  <c r="I53" i="34" s="1"/>
  <c r="K37" i="34"/>
  <c r="K57" i="34" s="1"/>
  <c r="K53" i="34" s="1"/>
  <c r="G37" i="34"/>
  <c r="G57" i="34" s="1"/>
  <c r="G53" i="34" s="1"/>
  <c r="T102" i="35"/>
  <c r="S27" i="35"/>
  <c r="I112" i="35" s="1"/>
  <c r="S29" i="35"/>
  <c r="J112" i="35" s="1"/>
  <c r="S39" i="35"/>
  <c r="P106" i="35" s="1"/>
  <c r="M55" i="35"/>
  <c r="I51" i="34"/>
  <c r="M112" i="34"/>
  <c r="E51" i="34"/>
  <c r="G51" i="34"/>
  <c r="BF106" i="34"/>
  <c r="K51" i="34"/>
  <c r="M51" i="34"/>
  <c r="BI106" i="34" s="1"/>
  <c r="V106" i="34"/>
  <c r="E53" i="35" l="1"/>
  <c r="E55" i="35" s="1"/>
  <c r="I55" i="34"/>
  <c r="G55" i="34"/>
  <c r="S35" i="35"/>
  <c r="S37" i="35" s="1"/>
  <c r="Y106" i="34"/>
  <c r="S29" i="34"/>
  <c r="J112" i="34" s="1"/>
  <c r="S27" i="34"/>
  <c r="L112" i="34"/>
  <c r="M55" i="34"/>
  <c r="K55" i="34"/>
  <c r="N106" i="34" l="1"/>
  <c r="I112" i="34"/>
  <c r="K17" i="18" l="1"/>
  <c r="K18" i="18" s="1"/>
  <c r="O18" i="27"/>
  <c r="Q18" i="27"/>
  <c r="N2" i="27"/>
  <c r="J9" i="14"/>
  <c r="F9" i="14"/>
  <c r="N18" i="16"/>
  <c r="K18" i="2"/>
  <c r="K21" i="2" s="1"/>
  <c r="B22" i="2"/>
  <c r="B23" i="2"/>
  <c r="B24" i="2"/>
  <c r="C5" i="7" s="1"/>
  <c r="C32" i="25"/>
  <c r="B33" i="25" s="1"/>
  <c r="B32" i="25"/>
  <c r="C25" i="25"/>
  <c r="C26" i="25" s="1"/>
  <c r="B25" i="25"/>
  <c r="E24" i="25"/>
  <c r="I24" i="25" s="1"/>
  <c r="D24" i="25"/>
  <c r="E23" i="25"/>
  <c r="H23" i="25" s="1"/>
  <c r="D23" i="25"/>
  <c r="J22" i="25"/>
  <c r="Z22" i="25" s="1"/>
  <c r="I22" i="25"/>
  <c r="H22" i="25"/>
  <c r="V22" i="25" s="1"/>
  <c r="G22" i="25"/>
  <c r="F22" i="25"/>
  <c r="K22" i="25" s="1"/>
  <c r="D22" i="25"/>
  <c r="J21" i="25"/>
  <c r="I21" i="25"/>
  <c r="H21" i="25"/>
  <c r="V21" i="25" s="1"/>
  <c r="G21" i="25"/>
  <c r="F21" i="25"/>
  <c r="AC18" i="25"/>
  <c r="AC21" i="25" s="1"/>
  <c r="AB18" i="25"/>
  <c r="AA18" i="25"/>
  <c r="Z18" i="25"/>
  <c r="X18" i="25"/>
  <c r="W18" i="25"/>
  <c r="V18" i="25"/>
  <c r="U18" i="25"/>
  <c r="S18" i="25"/>
  <c r="R18" i="25"/>
  <c r="Q18" i="25"/>
  <c r="P18" i="25"/>
  <c r="N18" i="25"/>
  <c r="M18" i="25"/>
  <c r="L18" i="25"/>
  <c r="K18" i="25"/>
  <c r="AC13" i="25"/>
  <c r="AB13" i="25"/>
  <c r="AA13" i="25"/>
  <c r="Z13" i="25"/>
  <c r="X13" i="25"/>
  <c r="W13" i="25"/>
  <c r="V13" i="25"/>
  <c r="U13" i="25"/>
  <c r="S13" i="25"/>
  <c r="R13" i="25"/>
  <c r="Q13" i="25"/>
  <c r="P13" i="25"/>
  <c r="N13" i="25"/>
  <c r="M13" i="25"/>
  <c r="L13" i="25"/>
  <c r="K13" i="25"/>
  <c r="C10" i="25"/>
  <c r="D10" i="25" s="1"/>
  <c r="E10" i="25" s="1"/>
  <c r="F10" i="25" s="1"/>
  <c r="G10" i="25" s="1"/>
  <c r="H10" i="25" s="1"/>
  <c r="I10" i="25" s="1"/>
  <c r="J10" i="25" s="1"/>
  <c r="K10" i="25" s="1"/>
  <c r="L10" i="25" s="1"/>
  <c r="M10" i="25" s="1"/>
  <c r="N10" i="25" s="1"/>
  <c r="O10" i="25" s="1"/>
  <c r="P10" i="25" s="1"/>
  <c r="Q10" i="25" s="1"/>
  <c r="R10" i="25" s="1"/>
  <c r="S10" i="25" s="1"/>
  <c r="T10" i="25" s="1"/>
  <c r="U10" i="25" s="1"/>
  <c r="V10" i="25" s="1"/>
  <c r="W10" i="25" s="1"/>
  <c r="X10" i="25" s="1"/>
  <c r="Y10" i="25" s="1"/>
  <c r="Z10" i="25" s="1"/>
  <c r="AA10" i="25" s="1"/>
  <c r="AB10" i="25" s="1"/>
  <c r="AC10" i="25" s="1"/>
  <c r="G9" i="25"/>
  <c r="H9" i="25" s="1"/>
  <c r="I9" i="25" s="1"/>
  <c r="J9" i="25" s="1"/>
  <c r="K9" i="25" s="1"/>
  <c r="L9" i="25" s="1"/>
  <c r="M9" i="25" s="1"/>
  <c r="N9" i="25" s="1"/>
  <c r="O9" i="25" s="1"/>
  <c r="P9" i="25" s="1"/>
  <c r="Q9" i="25" s="1"/>
  <c r="R9" i="25" s="1"/>
  <c r="S9" i="25" s="1"/>
  <c r="T9" i="25" s="1"/>
  <c r="U9" i="25" s="1"/>
  <c r="V9" i="25" s="1"/>
  <c r="W9" i="25" s="1"/>
  <c r="X9" i="25" s="1"/>
  <c r="Y9" i="25" s="1"/>
  <c r="Z9" i="25" s="1"/>
  <c r="AA9" i="25" s="1"/>
  <c r="AB9" i="25" s="1"/>
  <c r="AC9" i="25" s="1"/>
  <c r="AD9" i="25" s="1"/>
  <c r="AE9" i="25" s="1"/>
  <c r="AF9" i="25" s="1"/>
  <c r="AG9" i="25" s="1"/>
  <c r="K8" i="25"/>
  <c r="L8" i="25" s="1"/>
  <c r="M8" i="25" s="1"/>
  <c r="N8" i="25" s="1"/>
  <c r="O8" i="25" s="1"/>
  <c r="P8" i="25" s="1"/>
  <c r="Q8" i="25" s="1"/>
  <c r="R8" i="25" s="1"/>
  <c r="S8" i="25" s="1"/>
  <c r="T8" i="25" s="1"/>
  <c r="U8" i="25" s="1"/>
  <c r="V8" i="25" s="1"/>
  <c r="W8" i="25" s="1"/>
  <c r="X8" i="25" s="1"/>
  <c r="Y8" i="25" s="1"/>
  <c r="Z8" i="25" s="1"/>
  <c r="AA8" i="25" s="1"/>
  <c r="AB8" i="25" s="1"/>
  <c r="AC8" i="25" s="1"/>
  <c r="AD8" i="25" s="1"/>
  <c r="AE8" i="25" s="1"/>
  <c r="AF8" i="25" s="1"/>
  <c r="AG8" i="25" s="1"/>
  <c r="AG7" i="25"/>
  <c r="J7" i="25"/>
  <c r="K7" i="25" s="1"/>
  <c r="L7" i="25" s="1"/>
  <c r="M7" i="25" s="1"/>
  <c r="N7" i="25" s="1"/>
  <c r="O7" i="25" s="1"/>
  <c r="P7" i="25" s="1"/>
  <c r="Q7" i="25" s="1"/>
  <c r="R7" i="25" s="1"/>
  <c r="S7" i="25" s="1"/>
  <c r="T7" i="25" s="1"/>
  <c r="U7" i="25" s="1"/>
  <c r="V7" i="25" s="1"/>
  <c r="W7" i="25" s="1"/>
  <c r="X7" i="25" s="1"/>
  <c r="Y7" i="25" s="1"/>
  <c r="Z7" i="25" s="1"/>
  <c r="AA7" i="25" s="1"/>
  <c r="AB7" i="25" s="1"/>
  <c r="AC7" i="25" s="1"/>
  <c r="AD7" i="25" s="1"/>
  <c r="I6" i="25"/>
  <c r="J6" i="25" s="1"/>
  <c r="K6" i="25" s="1"/>
  <c r="L6" i="25" s="1"/>
  <c r="M6" i="25" s="1"/>
  <c r="N6" i="25" s="1"/>
  <c r="O6" i="25" s="1"/>
  <c r="P6" i="25" s="1"/>
  <c r="Q6" i="25" s="1"/>
  <c r="R6" i="25" s="1"/>
  <c r="S6" i="25" s="1"/>
  <c r="T6" i="25" s="1"/>
  <c r="U6" i="25" s="1"/>
  <c r="V6" i="25" s="1"/>
  <c r="W6" i="25" s="1"/>
  <c r="X6" i="25" s="1"/>
  <c r="Y6" i="25" s="1"/>
  <c r="Z6" i="25" s="1"/>
  <c r="AA6" i="25" s="1"/>
  <c r="AB6" i="25" s="1"/>
  <c r="AC6" i="25" s="1"/>
  <c r="AD6" i="25" s="1"/>
  <c r="AE6" i="25" s="1"/>
  <c r="AF6" i="25" s="1"/>
  <c r="AG6" i="25" s="1"/>
  <c r="H5" i="25"/>
  <c r="I5" i="25" s="1"/>
  <c r="J5" i="25" s="1"/>
  <c r="K5" i="25" s="1"/>
  <c r="L5" i="25" s="1"/>
  <c r="M5" i="25" s="1"/>
  <c r="N5" i="25" s="1"/>
  <c r="O5" i="25" s="1"/>
  <c r="P5" i="25" s="1"/>
  <c r="Q5" i="25" s="1"/>
  <c r="R5" i="25" s="1"/>
  <c r="S5" i="25" s="1"/>
  <c r="T5" i="25" s="1"/>
  <c r="U5" i="25" s="1"/>
  <c r="V5" i="25" s="1"/>
  <c r="W5" i="25" s="1"/>
  <c r="X5" i="25" s="1"/>
  <c r="Y5" i="25" s="1"/>
  <c r="Z5" i="25" s="1"/>
  <c r="AA5" i="25" s="1"/>
  <c r="AB5" i="25" s="1"/>
  <c r="AC5" i="25" s="1"/>
  <c r="AD5" i="25" s="1"/>
  <c r="AE5" i="25" s="1"/>
  <c r="AF5" i="25" s="1"/>
  <c r="AG5" i="25" s="1"/>
  <c r="C32" i="24"/>
  <c r="B32" i="24"/>
  <c r="C25" i="24"/>
  <c r="B25" i="24"/>
  <c r="E24" i="24"/>
  <c r="H24" i="24" s="1"/>
  <c r="D24" i="24"/>
  <c r="E23" i="24"/>
  <c r="J23" i="24" s="1"/>
  <c r="D23" i="24"/>
  <c r="J22" i="24"/>
  <c r="I22" i="24"/>
  <c r="H22" i="24"/>
  <c r="G22" i="24"/>
  <c r="F22" i="24"/>
  <c r="D22" i="24"/>
  <c r="J21" i="24"/>
  <c r="I21" i="24"/>
  <c r="H21" i="24"/>
  <c r="G21" i="24"/>
  <c r="P21" i="24" s="1"/>
  <c r="F21" i="24"/>
  <c r="AC18" i="24"/>
  <c r="AB18" i="24"/>
  <c r="AA18" i="24"/>
  <c r="Z18" i="24"/>
  <c r="X18" i="24"/>
  <c r="W18" i="24"/>
  <c r="V18" i="24"/>
  <c r="U18" i="24"/>
  <c r="U24" i="24" s="1"/>
  <c r="S18" i="24"/>
  <c r="R18" i="24"/>
  <c r="Q18" i="24"/>
  <c r="Q22" i="24" s="1"/>
  <c r="P18" i="24"/>
  <c r="N18" i="24"/>
  <c r="M18" i="24"/>
  <c r="L18" i="24"/>
  <c r="K18" i="24"/>
  <c r="AC13" i="24"/>
  <c r="AB13" i="24"/>
  <c r="AA13" i="24"/>
  <c r="Z13" i="24"/>
  <c r="X13" i="24"/>
  <c r="W13" i="24"/>
  <c r="V13" i="24"/>
  <c r="U13" i="24"/>
  <c r="S13" i="24"/>
  <c r="R13" i="24"/>
  <c r="Q13" i="24"/>
  <c r="P13" i="24"/>
  <c r="N13" i="24"/>
  <c r="M13" i="24"/>
  <c r="L13" i="24"/>
  <c r="K13" i="24"/>
  <c r="C10" i="24"/>
  <c r="D10" i="24" s="1"/>
  <c r="E10" i="24" s="1"/>
  <c r="F10" i="24" s="1"/>
  <c r="G10" i="24" s="1"/>
  <c r="H10" i="24" s="1"/>
  <c r="I10" i="24" s="1"/>
  <c r="J10" i="24" s="1"/>
  <c r="K10" i="24" s="1"/>
  <c r="L10" i="24" s="1"/>
  <c r="M10" i="24" s="1"/>
  <c r="N10" i="24" s="1"/>
  <c r="O10" i="24" s="1"/>
  <c r="P10" i="24" s="1"/>
  <c r="Q10" i="24" s="1"/>
  <c r="R10" i="24" s="1"/>
  <c r="S10" i="24" s="1"/>
  <c r="T10" i="24" s="1"/>
  <c r="U10" i="24" s="1"/>
  <c r="V10" i="24" s="1"/>
  <c r="W10" i="24" s="1"/>
  <c r="X10" i="24" s="1"/>
  <c r="Y10" i="24" s="1"/>
  <c r="Z10" i="24" s="1"/>
  <c r="AA10" i="24" s="1"/>
  <c r="AB10" i="24" s="1"/>
  <c r="AC10" i="24" s="1"/>
  <c r="G9" i="24"/>
  <c r="H9" i="24" s="1"/>
  <c r="I9" i="24" s="1"/>
  <c r="J9" i="24" s="1"/>
  <c r="K9" i="24" s="1"/>
  <c r="L9" i="24" s="1"/>
  <c r="M9" i="24" s="1"/>
  <c r="N9" i="24" s="1"/>
  <c r="O9" i="24" s="1"/>
  <c r="P9" i="24" s="1"/>
  <c r="Q9" i="24" s="1"/>
  <c r="R9" i="24" s="1"/>
  <c r="S9" i="24" s="1"/>
  <c r="T9" i="24" s="1"/>
  <c r="U9" i="24" s="1"/>
  <c r="V9" i="24" s="1"/>
  <c r="W9" i="24" s="1"/>
  <c r="X9" i="24" s="1"/>
  <c r="Y9" i="24" s="1"/>
  <c r="Z9" i="24" s="1"/>
  <c r="AA9" i="24" s="1"/>
  <c r="AB9" i="24" s="1"/>
  <c r="AC9" i="24" s="1"/>
  <c r="AD9" i="24" s="1"/>
  <c r="AE9" i="24" s="1"/>
  <c r="AF9" i="24" s="1"/>
  <c r="AG9" i="24" s="1"/>
  <c r="K8" i="24"/>
  <c r="L8" i="24" s="1"/>
  <c r="M8" i="24" s="1"/>
  <c r="N8" i="24" s="1"/>
  <c r="O8" i="24" s="1"/>
  <c r="P8" i="24" s="1"/>
  <c r="Q8" i="24" s="1"/>
  <c r="R8" i="24" s="1"/>
  <c r="S8" i="24" s="1"/>
  <c r="T8" i="24" s="1"/>
  <c r="U8" i="24" s="1"/>
  <c r="V8" i="24" s="1"/>
  <c r="W8" i="24" s="1"/>
  <c r="X8" i="24" s="1"/>
  <c r="Y8" i="24" s="1"/>
  <c r="Z8" i="24" s="1"/>
  <c r="AA8" i="24" s="1"/>
  <c r="AB8" i="24" s="1"/>
  <c r="AC8" i="24" s="1"/>
  <c r="AD8" i="24" s="1"/>
  <c r="AE8" i="24" s="1"/>
  <c r="AF8" i="24" s="1"/>
  <c r="AG8" i="24" s="1"/>
  <c r="AG7" i="24"/>
  <c r="J7" i="24"/>
  <c r="K7" i="24" s="1"/>
  <c r="L7" i="24" s="1"/>
  <c r="M7" i="24" s="1"/>
  <c r="N7" i="24" s="1"/>
  <c r="O7" i="24" s="1"/>
  <c r="P7" i="24" s="1"/>
  <c r="Q7" i="24" s="1"/>
  <c r="R7" i="24" s="1"/>
  <c r="S7" i="24" s="1"/>
  <c r="T7" i="24" s="1"/>
  <c r="U7" i="24" s="1"/>
  <c r="V7" i="24" s="1"/>
  <c r="W7" i="24" s="1"/>
  <c r="X7" i="24" s="1"/>
  <c r="Y7" i="24" s="1"/>
  <c r="Z7" i="24" s="1"/>
  <c r="AA7" i="24" s="1"/>
  <c r="AB7" i="24" s="1"/>
  <c r="AC7" i="24" s="1"/>
  <c r="AD7" i="24" s="1"/>
  <c r="I6" i="24"/>
  <c r="J6" i="24" s="1"/>
  <c r="K6" i="24" s="1"/>
  <c r="L6" i="24" s="1"/>
  <c r="M6" i="24" s="1"/>
  <c r="N6" i="24" s="1"/>
  <c r="O6" i="24" s="1"/>
  <c r="P6" i="24" s="1"/>
  <c r="Q6" i="24" s="1"/>
  <c r="R6" i="24" s="1"/>
  <c r="S6" i="24" s="1"/>
  <c r="T6" i="24" s="1"/>
  <c r="U6" i="24" s="1"/>
  <c r="V6" i="24" s="1"/>
  <c r="W6" i="24" s="1"/>
  <c r="X6" i="24" s="1"/>
  <c r="Y6" i="24" s="1"/>
  <c r="Z6" i="24" s="1"/>
  <c r="AA6" i="24" s="1"/>
  <c r="AB6" i="24" s="1"/>
  <c r="AC6" i="24" s="1"/>
  <c r="AD6" i="24" s="1"/>
  <c r="AE6" i="24" s="1"/>
  <c r="AF6" i="24" s="1"/>
  <c r="AG6" i="24" s="1"/>
  <c r="H5" i="24"/>
  <c r="I5" i="24" s="1"/>
  <c r="J5" i="24" s="1"/>
  <c r="K5" i="24" s="1"/>
  <c r="L5" i="24" s="1"/>
  <c r="M5" i="24" s="1"/>
  <c r="N5" i="24" s="1"/>
  <c r="O5" i="24" s="1"/>
  <c r="P5" i="24" s="1"/>
  <c r="Q5" i="24" s="1"/>
  <c r="R5" i="24" s="1"/>
  <c r="S5" i="24" s="1"/>
  <c r="T5" i="24" s="1"/>
  <c r="U5" i="24" s="1"/>
  <c r="V5" i="24" s="1"/>
  <c r="W5" i="24" s="1"/>
  <c r="X5" i="24" s="1"/>
  <c r="Y5" i="24" s="1"/>
  <c r="Z5" i="24" s="1"/>
  <c r="AA5" i="24" s="1"/>
  <c r="AB5" i="24" s="1"/>
  <c r="AC5" i="24" s="1"/>
  <c r="AD5" i="24" s="1"/>
  <c r="AE5" i="24" s="1"/>
  <c r="AF5" i="24" s="1"/>
  <c r="AG5" i="24" s="1"/>
  <c r="C32" i="23"/>
  <c r="B32" i="23"/>
  <c r="C25" i="23"/>
  <c r="B25" i="23"/>
  <c r="E24" i="23"/>
  <c r="D24" i="23"/>
  <c r="E23" i="23"/>
  <c r="D23" i="23"/>
  <c r="J22" i="23"/>
  <c r="I22" i="23"/>
  <c r="H22" i="23"/>
  <c r="G22" i="23"/>
  <c r="F22" i="23"/>
  <c r="D22" i="23"/>
  <c r="J21" i="23"/>
  <c r="I21" i="23"/>
  <c r="H21" i="23"/>
  <c r="G21" i="23"/>
  <c r="F21" i="23"/>
  <c r="AC18" i="23"/>
  <c r="AB18" i="23"/>
  <c r="AA18" i="23"/>
  <c r="Z18" i="23"/>
  <c r="X18" i="23"/>
  <c r="W18" i="23"/>
  <c r="V18" i="23"/>
  <c r="U18" i="23"/>
  <c r="U22" i="23" s="1"/>
  <c r="S18" i="23"/>
  <c r="R18" i="23"/>
  <c r="Q18" i="23"/>
  <c r="P18" i="23"/>
  <c r="N18" i="23"/>
  <c r="M18" i="23"/>
  <c r="L18" i="23"/>
  <c r="K18" i="23"/>
  <c r="AC13" i="23"/>
  <c r="AB13" i="23"/>
  <c r="AA13" i="23"/>
  <c r="Z13" i="23"/>
  <c r="X13" i="23"/>
  <c r="W13" i="23"/>
  <c r="V13" i="23"/>
  <c r="U13" i="23"/>
  <c r="S13" i="23"/>
  <c r="R13" i="23"/>
  <c r="Q13" i="23"/>
  <c r="P13" i="23"/>
  <c r="N13" i="23"/>
  <c r="M13" i="23"/>
  <c r="L13" i="23"/>
  <c r="K13" i="23"/>
  <c r="C10" i="23"/>
  <c r="D10" i="23" s="1"/>
  <c r="E10" i="23" s="1"/>
  <c r="F10" i="23" s="1"/>
  <c r="G10" i="23" s="1"/>
  <c r="H10" i="23" s="1"/>
  <c r="I10" i="23" s="1"/>
  <c r="J10" i="23" s="1"/>
  <c r="K10" i="23" s="1"/>
  <c r="L10" i="23" s="1"/>
  <c r="M10" i="23" s="1"/>
  <c r="N10" i="23" s="1"/>
  <c r="O10" i="23" s="1"/>
  <c r="P10" i="23" s="1"/>
  <c r="Q10" i="23" s="1"/>
  <c r="R10" i="23" s="1"/>
  <c r="S10" i="23" s="1"/>
  <c r="T10" i="23" s="1"/>
  <c r="U10" i="23" s="1"/>
  <c r="V10" i="23" s="1"/>
  <c r="W10" i="23" s="1"/>
  <c r="X10" i="23" s="1"/>
  <c r="Y10" i="23" s="1"/>
  <c r="Z10" i="23" s="1"/>
  <c r="AA10" i="23" s="1"/>
  <c r="AB10" i="23" s="1"/>
  <c r="AC10" i="23" s="1"/>
  <c r="G9" i="23"/>
  <c r="H9" i="23" s="1"/>
  <c r="I9" i="23" s="1"/>
  <c r="J9" i="23" s="1"/>
  <c r="K9" i="23" s="1"/>
  <c r="L9" i="23" s="1"/>
  <c r="M9" i="23" s="1"/>
  <c r="N9" i="23" s="1"/>
  <c r="O9" i="23" s="1"/>
  <c r="P9" i="23" s="1"/>
  <c r="Q9" i="23" s="1"/>
  <c r="R9" i="23" s="1"/>
  <c r="S9" i="23" s="1"/>
  <c r="T9" i="23" s="1"/>
  <c r="U9" i="23" s="1"/>
  <c r="V9" i="23" s="1"/>
  <c r="W9" i="23" s="1"/>
  <c r="X9" i="23" s="1"/>
  <c r="Y9" i="23" s="1"/>
  <c r="Z9" i="23" s="1"/>
  <c r="AA9" i="23" s="1"/>
  <c r="AB9" i="23" s="1"/>
  <c r="AC9" i="23" s="1"/>
  <c r="AD9" i="23" s="1"/>
  <c r="AE9" i="23" s="1"/>
  <c r="AF9" i="23" s="1"/>
  <c r="AG9" i="23" s="1"/>
  <c r="K8" i="23"/>
  <c r="L8" i="23" s="1"/>
  <c r="M8" i="23" s="1"/>
  <c r="N8" i="23" s="1"/>
  <c r="O8" i="23"/>
  <c r="P8" i="23" s="1"/>
  <c r="Q8" i="23" s="1"/>
  <c r="R8" i="23" s="1"/>
  <c r="S8" i="23" s="1"/>
  <c r="T8" i="23" s="1"/>
  <c r="U8" i="23" s="1"/>
  <c r="V8" i="23" s="1"/>
  <c r="W8" i="23" s="1"/>
  <c r="X8" i="23" s="1"/>
  <c r="Y8" i="23" s="1"/>
  <c r="Z8" i="23" s="1"/>
  <c r="AA8" i="23" s="1"/>
  <c r="AB8" i="23" s="1"/>
  <c r="AC8" i="23" s="1"/>
  <c r="AD8" i="23" s="1"/>
  <c r="AE8" i="23" s="1"/>
  <c r="AF8" i="23" s="1"/>
  <c r="AG8" i="23" s="1"/>
  <c r="AG7" i="23"/>
  <c r="J7" i="23"/>
  <c r="K7" i="23" s="1"/>
  <c r="L7" i="23" s="1"/>
  <c r="M7" i="23" s="1"/>
  <c r="N7" i="23" s="1"/>
  <c r="O7" i="23" s="1"/>
  <c r="P7" i="23" s="1"/>
  <c r="Q7" i="23" s="1"/>
  <c r="R7" i="23" s="1"/>
  <c r="S7" i="23" s="1"/>
  <c r="T7" i="23" s="1"/>
  <c r="U7" i="23" s="1"/>
  <c r="V7" i="23" s="1"/>
  <c r="W7" i="23" s="1"/>
  <c r="X7" i="23" s="1"/>
  <c r="Y7" i="23" s="1"/>
  <c r="Z7" i="23" s="1"/>
  <c r="AA7" i="23" s="1"/>
  <c r="AB7" i="23" s="1"/>
  <c r="AC7" i="23" s="1"/>
  <c r="AD7" i="23" s="1"/>
  <c r="I6" i="23"/>
  <c r="J6" i="23" s="1"/>
  <c r="K6" i="23" s="1"/>
  <c r="L6" i="23" s="1"/>
  <c r="M6" i="23" s="1"/>
  <c r="N6" i="23" s="1"/>
  <c r="O6" i="23" s="1"/>
  <c r="P6" i="23" s="1"/>
  <c r="Q6" i="23" s="1"/>
  <c r="R6" i="23" s="1"/>
  <c r="S6" i="23" s="1"/>
  <c r="T6" i="23" s="1"/>
  <c r="U6" i="23" s="1"/>
  <c r="V6" i="23" s="1"/>
  <c r="W6" i="23" s="1"/>
  <c r="X6" i="23" s="1"/>
  <c r="Y6" i="23" s="1"/>
  <c r="Z6" i="23" s="1"/>
  <c r="AA6" i="23" s="1"/>
  <c r="AB6" i="23" s="1"/>
  <c r="AC6" i="23" s="1"/>
  <c r="AD6" i="23" s="1"/>
  <c r="AE6" i="23" s="1"/>
  <c r="AF6" i="23" s="1"/>
  <c r="AG6" i="23" s="1"/>
  <c r="H5" i="23"/>
  <c r="I5" i="23" s="1"/>
  <c r="J5" i="23" s="1"/>
  <c r="K5" i="23" s="1"/>
  <c r="L5" i="23" s="1"/>
  <c r="M5" i="23" s="1"/>
  <c r="N5" i="23" s="1"/>
  <c r="O5" i="23" s="1"/>
  <c r="P5" i="23" s="1"/>
  <c r="Q5" i="23" s="1"/>
  <c r="R5" i="23" s="1"/>
  <c r="S5" i="23" s="1"/>
  <c r="T5" i="23" s="1"/>
  <c r="U5" i="23" s="1"/>
  <c r="V5" i="23" s="1"/>
  <c r="W5" i="23" s="1"/>
  <c r="X5" i="23" s="1"/>
  <c r="Y5" i="23" s="1"/>
  <c r="Z5" i="23" s="1"/>
  <c r="AA5" i="23" s="1"/>
  <c r="AB5" i="23" s="1"/>
  <c r="AC5" i="23" s="1"/>
  <c r="AD5" i="23" s="1"/>
  <c r="AE5" i="23" s="1"/>
  <c r="AF5" i="23" s="1"/>
  <c r="AG5" i="23" s="1"/>
  <c r="AA21" i="25"/>
  <c r="Z21" i="25"/>
  <c r="Q21" i="25"/>
  <c r="F24" i="24"/>
  <c r="C32" i="22"/>
  <c r="C33" i="22" s="1"/>
  <c r="C34" i="22" s="1"/>
  <c r="B35" i="22" s="1"/>
  <c r="B32" i="22"/>
  <c r="C25" i="22"/>
  <c r="B25" i="22"/>
  <c r="E24" i="22"/>
  <c r="G24" i="22" s="1"/>
  <c r="D24" i="22"/>
  <c r="E23" i="22"/>
  <c r="I23" i="22" s="1"/>
  <c r="D23" i="22"/>
  <c r="I22" i="22"/>
  <c r="H22" i="22"/>
  <c r="G22" i="22"/>
  <c r="F22" i="22"/>
  <c r="D22" i="22"/>
  <c r="I21" i="22"/>
  <c r="H21" i="22"/>
  <c r="G21" i="22"/>
  <c r="F21" i="22"/>
  <c r="AC18" i="22"/>
  <c r="AC21" i="22" s="1"/>
  <c r="AB18" i="22"/>
  <c r="AB21" i="22" s="1"/>
  <c r="AA18" i="22"/>
  <c r="Z18" i="22"/>
  <c r="Z22" i="22" s="1"/>
  <c r="X18" i="22"/>
  <c r="W18" i="22"/>
  <c r="V18" i="22"/>
  <c r="U18" i="22"/>
  <c r="S18" i="22"/>
  <c r="R18" i="22"/>
  <c r="Q18" i="22"/>
  <c r="P18" i="22"/>
  <c r="N18" i="22"/>
  <c r="M18" i="22"/>
  <c r="L18" i="22"/>
  <c r="K18" i="22"/>
  <c r="K21" i="22" s="1"/>
  <c r="AC13" i="22"/>
  <c r="AB13" i="22"/>
  <c r="AA13" i="22"/>
  <c r="Z13" i="22"/>
  <c r="X13" i="22"/>
  <c r="W13" i="22"/>
  <c r="V13" i="22"/>
  <c r="U13" i="22"/>
  <c r="S13" i="22"/>
  <c r="R13" i="22"/>
  <c r="Q13" i="22"/>
  <c r="P13" i="22"/>
  <c r="N13" i="22"/>
  <c r="M13" i="22"/>
  <c r="L13" i="22"/>
  <c r="K13" i="22"/>
  <c r="K11" i="22"/>
  <c r="L11" i="22" s="1"/>
  <c r="M11" i="22" s="1"/>
  <c r="N11" i="22" s="1"/>
  <c r="O11" i="22" s="1"/>
  <c r="P11" i="22" s="1"/>
  <c r="Q11" i="22" s="1"/>
  <c r="R11" i="22" s="1"/>
  <c r="S11" i="22" s="1"/>
  <c r="T11" i="22" s="1"/>
  <c r="U11" i="22" s="1"/>
  <c r="V11" i="22" s="1"/>
  <c r="W11" i="22" s="1"/>
  <c r="X11" i="22" s="1"/>
  <c r="Y11" i="22" s="1"/>
  <c r="Z11" i="22" s="1"/>
  <c r="AA11" i="22" s="1"/>
  <c r="AB11" i="22" s="1"/>
  <c r="AC11" i="22" s="1"/>
  <c r="AD11" i="22" s="1"/>
  <c r="AE11" i="22" s="1"/>
  <c r="AF11" i="22" s="1"/>
  <c r="C10" i="22"/>
  <c r="D10" i="22" s="1"/>
  <c r="E10" i="22" s="1"/>
  <c r="F10" i="22" s="1"/>
  <c r="G10" i="22" s="1"/>
  <c r="H10" i="22" s="1"/>
  <c r="I10" i="22" s="1"/>
  <c r="J10" i="22" s="1"/>
  <c r="K10" i="22" s="1"/>
  <c r="L10" i="22" s="1"/>
  <c r="M10" i="22" s="1"/>
  <c r="N10" i="22" s="1"/>
  <c r="O10" i="22" s="1"/>
  <c r="P10" i="22" s="1"/>
  <c r="Q10" i="22" s="1"/>
  <c r="R10" i="22" s="1"/>
  <c r="S10" i="22" s="1"/>
  <c r="T10" i="22" s="1"/>
  <c r="U10" i="22" s="1"/>
  <c r="V10" i="22" s="1"/>
  <c r="W10" i="22" s="1"/>
  <c r="X10" i="22" s="1"/>
  <c r="Y10" i="22" s="1"/>
  <c r="Z10" i="22" s="1"/>
  <c r="AA10" i="22" s="1"/>
  <c r="AB10" i="22" s="1"/>
  <c r="AC10" i="22" s="1"/>
  <c r="G9" i="22"/>
  <c r="H9" i="22" s="1"/>
  <c r="I9" i="22" s="1"/>
  <c r="J9" i="22" s="1"/>
  <c r="K9" i="22" s="1"/>
  <c r="L9" i="22" s="1"/>
  <c r="M9" i="22" s="1"/>
  <c r="N9" i="22" s="1"/>
  <c r="O9" i="22" s="1"/>
  <c r="P9" i="22" s="1"/>
  <c r="Q9" i="22" s="1"/>
  <c r="R9" i="22" s="1"/>
  <c r="S9" i="22" s="1"/>
  <c r="T9" i="22" s="1"/>
  <c r="U9" i="22" s="1"/>
  <c r="V9" i="22" s="1"/>
  <c r="W9" i="22" s="1"/>
  <c r="X9" i="22" s="1"/>
  <c r="Y9" i="22" s="1"/>
  <c r="Z9" i="22" s="1"/>
  <c r="AA9" i="22" s="1"/>
  <c r="AB9" i="22" s="1"/>
  <c r="AC9" i="22" s="1"/>
  <c r="AD9" i="22" s="1"/>
  <c r="AE9" i="22" s="1"/>
  <c r="AF9" i="22" s="1"/>
  <c r="AG9" i="22" s="1"/>
  <c r="K8" i="22"/>
  <c r="L8" i="22" s="1"/>
  <c r="M8" i="22" s="1"/>
  <c r="N8" i="22" s="1"/>
  <c r="O8" i="22" s="1"/>
  <c r="P8" i="22" s="1"/>
  <c r="Q8" i="22" s="1"/>
  <c r="R8" i="22" s="1"/>
  <c r="S8" i="22" s="1"/>
  <c r="T8" i="22" s="1"/>
  <c r="U8" i="22" s="1"/>
  <c r="V8" i="22" s="1"/>
  <c r="W8" i="22" s="1"/>
  <c r="X8" i="22" s="1"/>
  <c r="Y8" i="22" s="1"/>
  <c r="Z8" i="22" s="1"/>
  <c r="AA8" i="22" s="1"/>
  <c r="AB8" i="22" s="1"/>
  <c r="AC8" i="22" s="1"/>
  <c r="AD8" i="22" s="1"/>
  <c r="AE8" i="22" s="1"/>
  <c r="AF8" i="22" s="1"/>
  <c r="AG8" i="22" s="1"/>
  <c r="AG7" i="22"/>
  <c r="J7" i="22"/>
  <c r="K7" i="22" s="1"/>
  <c r="L7" i="22" s="1"/>
  <c r="M7" i="22" s="1"/>
  <c r="N7" i="22" s="1"/>
  <c r="O7" i="22" s="1"/>
  <c r="P7" i="22" s="1"/>
  <c r="Q7" i="22" s="1"/>
  <c r="R7" i="22" s="1"/>
  <c r="S7" i="22" s="1"/>
  <c r="T7" i="22" s="1"/>
  <c r="U7" i="22" s="1"/>
  <c r="V7" i="22" s="1"/>
  <c r="W7" i="22" s="1"/>
  <c r="X7" i="22" s="1"/>
  <c r="Y7" i="22" s="1"/>
  <c r="Z7" i="22" s="1"/>
  <c r="AA7" i="22" s="1"/>
  <c r="AB7" i="22" s="1"/>
  <c r="AC7" i="22" s="1"/>
  <c r="AD7" i="22" s="1"/>
  <c r="I6" i="22"/>
  <c r="J6" i="22" s="1"/>
  <c r="K6" i="22" s="1"/>
  <c r="L6" i="22" s="1"/>
  <c r="M6" i="22" s="1"/>
  <c r="N6" i="22" s="1"/>
  <c r="O6" i="22" s="1"/>
  <c r="P6" i="22" s="1"/>
  <c r="Q6" i="22" s="1"/>
  <c r="R6" i="22" s="1"/>
  <c r="S6" i="22" s="1"/>
  <c r="T6" i="22" s="1"/>
  <c r="U6" i="22" s="1"/>
  <c r="V6" i="22" s="1"/>
  <c r="W6" i="22" s="1"/>
  <c r="X6" i="22" s="1"/>
  <c r="Y6" i="22" s="1"/>
  <c r="Z6" i="22" s="1"/>
  <c r="AA6" i="22" s="1"/>
  <c r="AB6" i="22" s="1"/>
  <c r="AC6" i="22" s="1"/>
  <c r="AD6" i="22" s="1"/>
  <c r="AE6" i="22" s="1"/>
  <c r="AF6" i="22" s="1"/>
  <c r="AG6" i="22" s="1"/>
  <c r="H5" i="22"/>
  <c r="I5" i="22" s="1"/>
  <c r="J5" i="22" s="1"/>
  <c r="K5" i="22" s="1"/>
  <c r="L5" i="22" s="1"/>
  <c r="M5" i="22" s="1"/>
  <c r="N5" i="22" s="1"/>
  <c r="O5" i="22" s="1"/>
  <c r="P5" i="22" s="1"/>
  <c r="Q5" i="22" s="1"/>
  <c r="R5" i="22" s="1"/>
  <c r="S5" i="22" s="1"/>
  <c r="T5" i="22" s="1"/>
  <c r="U5" i="22" s="1"/>
  <c r="V5" i="22" s="1"/>
  <c r="W5" i="22" s="1"/>
  <c r="X5" i="22" s="1"/>
  <c r="Y5" i="22" s="1"/>
  <c r="Z5" i="22" s="1"/>
  <c r="AA5" i="22" s="1"/>
  <c r="AB5" i="22" s="1"/>
  <c r="AC5" i="22" s="1"/>
  <c r="AD5" i="22" s="1"/>
  <c r="AE5" i="22" s="1"/>
  <c r="AF5" i="22" s="1"/>
  <c r="AG5" i="22" s="1"/>
  <c r="C32" i="21"/>
  <c r="B32" i="21"/>
  <c r="C25" i="21"/>
  <c r="B26" i="21" s="1"/>
  <c r="B25" i="21"/>
  <c r="E24" i="21"/>
  <c r="D24" i="21"/>
  <c r="E23" i="21"/>
  <c r="D23" i="21"/>
  <c r="I22" i="21"/>
  <c r="H22" i="21"/>
  <c r="G22" i="21"/>
  <c r="F22" i="21"/>
  <c r="M22" i="21" s="1"/>
  <c r="D22" i="21"/>
  <c r="I21" i="21"/>
  <c r="H21" i="21"/>
  <c r="G21" i="21"/>
  <c r="F21" i="21"/>
  <c r="N21" i="21" s="1"/>
  <c r="AC18" i="21"/>
  <c r="AC21" i="21" s="1"/>
  <c r="AB18" i="21"/>
  <c r="AB22" i="21" s="1"/>
  <c r="AA18" i="21"/>
  <c r="AA21" i="21" s="1"/>
  <c r="AA22" i="21"/>
  <c r="Z18" i="21"/>
  <c r="Z21" i="21" s="1"/>
  <c r="X18" i="21"/>
  <c r="W18" i="21"/>
  <c r="V18" i="21"/>
  <c r="U18" i="21"/>
  <c r="S18" i="21"/>
  <c r="R18" i="21"/>
  <c r="R22" i="21" s="1"/>
  <c r="Q18" i="21"/>
  <c r="Q21" i="21" s="1"/>
  <c r="P18" i="21"/>
  <c r="N18" i="21"/>
  <c r="M18" i="21"/>
  <c r="L18" i="21"/>
  <c r="K18" i="21"/>
  <c r="AC13" i="21"/>
  <c r="AB13" i="21"/>
  <c r="AA13" i="21"/>
  <c r="Z13" i="21"/>
  <c r="X13" i="21"/>
  <c r="W13" i="21"/>
  <c r="V13" i="21"/>
  <c r="U13" i="21"/>
  <c r="S13" i="21"/>
  <c r="R13" i="21"/>
  <c r="Q13" i="21"/>
  <c r="P13" i="21"/>
  <c r="N13" i="21"/>
  <c r="M13" i="21"/>
  <c r="L13" i="21"/>
  <c r="K13" i="21"/>
  <c r="K11" i="21"/>
  <c r="L11" i="21" s="1"/>
  <c r="M11" i="21" s="1"/>
  <c r="N11" i="21" s="1"/>
  <c r="O11" i="21" s="1"/>
  <c r="P11" i="21"/>
  <c r="Q11" i="21" s="1"/>
  <c r="R11" i="21" s="1"/>
  <c r="S11" i="21"/>
  <c r="T11" i="21" s="1"/>
  <c r="U11" i="21" s="1"/>
  <c r="V11" i="21" s="1"/>
  <c r="W11" i="21" s="1"/>
  <c r="X11" i="21" s="1"/>
  <c r="Y11" i="21" s="1"/>
  <c r="Z11" i="21" s="1"/>
  <c r="AA11" i="21" s="1"/>
  <c r="AB11" i="21" s="1"/>
  <c r="AC11" i="21" s="1"/>
  <c r="AD11" i="21" s="1"/>
  <c r="AE11" i="21" s="1"/>
  <c r="AF11" i="21" s="1"/>
  <c r="C10" i="21"/>
  <c r="D10" i="21" s="1"/>
  <c r="E10" i="21" s="1"/>
  <c r="F10" i="21" s="1"/>
  <c r="G10" i="21" s="1"/>
  <c r="H10" i="21" s="1"/>
  <c r="I10" i="21" s="1"/>
  <c r="J10" i="21" s="1"/>
  <c r="K10" i="21" s="1"/>
  <c r="L10" i="21" s="1"/>
  <c r="M10" i="21" s="1"/>
  <c r="N10" i="21" s="1"/>
  <c r="O10" i="21" s="1"/>
  <c r="P10" i="21" s="1"/>
  <c r="Q10" i="21" s="1"/>
  <c r="R10" i="21" s="1"/>
  <c r="S10" i="21" s="1"/>
  <c r="T10" i="21" s="1"/>
  <c r="U10" i="21" s="1"/>
  <c r="V10" i="21" s="1"/>
  <c r="W10" i="21" s="1"/>
  <c r="X10" i="21" s="1"/>
  <c r="Y10" i="21" s="1"/>
  <c r="Z10" i="21" s="1"/>
  <c r="AA10" i="21" s="1"/>
  <c r="AB10" i="21" s="1"/>
  <c r="AC10" i="21" s="1"/>
  <c r="G9" i="21"/>
  <c r="H9" i="21" s="1"/>
  <c r="I9" i="21" s="1"/>
  <c r="J9" i="21" s="1"/>
  <c r="K9" i="21" s="1"/>
  <c r="L9" i="21" s="1"/>
  <c r="M9" i="21" s="1"/>
  <c r="N9" i="21" s="1"/>
  <c r="O9" i="21" s="1"/>
  <c r="P9" i="21" s="1"/>
  <c r="Q9" i="21" s="1"/>
  <c r="R9" i="21" s="1"/>
  <c r="S9" i="21" s="1"/>
  <c r="T9" i="21" s="1"/>
  <c r="U9" i="21" s="1"/>
  <c r="V9" i="21" s="1"/>
  <c r="W9" i="21" s="1"/>
  <c r="X9" i="21" s="1"/>
  <c r="Y9" i="21" s="1"/>
  <c r="Z9" i="21" s="1"/>
  <c r="AA9" i="21" s="1"/>
  <c r="AB9" i="21" s="1"/>
  <c r="AC9" i="21" s="1"/>
  <c r="AD9" i="21" s="1"/>
  <c r="AE9" i="21" s="1"/>
  <c r="AF9" i="21" s="1"/>
  <c r="AG9" i="21" s="1"/>
  <c r="K8" i="21"/>
  <c r="L8" i="21" s="1"/>
  <c r="M8" i="21" s="1"/>
  <c r="N8" i="21" s="1"/>
  <c r="O8" i="21" s="1"/>
  <c r="P8" i="21" s="1"/>
  <c r="Q8" i="21" s="1"/>
  <c r="R8" i="21" s="1"/>
  <c r="S8" i="21" s="1"/>
  <c r="T8" i="21" s="1"/>
  <c r="U8" i="21" s="1"/>
  <c r="V8" i="21" s="1"/>
  <c r="W8" i="21" s="1"/>
  <c r="X8" i="21" s="1"/>
  <c r="Y8" i="21" s="1"/>
  <c r="Z8" i="21" s="1"/>
  <c r="AA8" i="21" s="1"/>
  <c r="AB8" i="21" s="1"/>
  <c r="AC8" i="21" s="1"/>
  <c r="AD8" i="21" s="1"/>
  <c r="AE8" i="21" s="1"/>
  <c r="AF8" i="21" s="1"/>
  <c r="AG8" i="21" s="1"/>
  <c r="AG7" i="21"/>
  <c r="J7" i="21"/>
  <c r="K7" i="21" s="1"/>
  <c r="L7" i="21" s="1"/>
  <c r="M7" i="21" s="1"/>
  <c r="N7" i="21" s="1"/>
  <c r="O7" i="21" s="1"/>
  <c r="P7" i="21" s="1"/>
  <c r="Q7" i="21" s="1"/>
  <c r="R7" i="21" s="1"/>
  <c r="S7" i="21" s="1"/>
  <c r="T7" i="21" s="1"/>
  <c r="U7" i="21" s="1"/>
  <c r="V7" i="21" s="1"/>
  <c r="W7" i="21" s="1"/>
  <c r="X7" i="21" s="1"/>
  <c r="Y7" i="21" s="1"/>
  <c r="Z7" i="21" s="1"/>
  <c r="AA7" i="21" s="1"/>
  <c r="AB7" i="21" s="1"/>
  <c r="AC7" i="21" s="1"/>
  <c r="AD7" i="21" s="1"/>
  <c r="I6" i="21"/>
  <c r="J6" i="21" s="1"/>
  <c r="K6" i="21" s="1"/>
  <c r="L6" i="21" s="1"/>
  <c r="M6" i="21" s="1"/>
  <c r="N6" i="21" s="1"/>
  <c r="O6" i="21" s="1"/>
  <c r="P6" i="21" s="1"/>
  <c r="Q6" i="21" s="1"/>
  <c r="R6" i="21" s="1"/>
  <c r="S6" i="21" s="1"/>
  <c r="T6" i="21" s="1"/>
  <c r="U6" i="21" s="1"/>
  <c r="V6" i="21" s="1"/>
  <c r="W6" i="21" s="1"/>
  <c r="X6" i="21" s="1"/>
  <c r="Y6" i="21" s="1"/>
  <c r="Z6" i="21" s="1"/>
  <c r="AA6" i="21" s="1"/>
  <c r="AB6" i="21" s="1"/>
  <c r="AC6" i="21" s="1"/>
  <c r="AD6" i="21" s="1"/>
  <c r="AE6" i="21" s="1"/>
  <c r="AF6" i="21" s="1"/>
  <c r="AG6" i="21" s="1"/>
  <c r="H5" i="21"/>
  <c r="I5" i="21" s="1"/>
  <c r="J5" i="21"/>
  <c r="K5" i="21" s="1"/>
  <c r="L5" i="21" s="1"/>
  <c r="M5" i="21" s="1"/>
  <c r="N5" i="21" s="1"/>
  <c r="O5" i="21" s="1"/>
  <c r="P5" i="21" s="1"/>
  <c r="Q5" i="21" s="1"/>
  <c r="R5" i="21" s="1"/>
  <c r="S5" i="21" s="1"/>
  <c r="T5" i="21" s="1"/>
  <c r="U5" i="21" s="1"/>
  <c r="V5" i="21" s="1"/>
  <c r="W5" i="21" s="1"/>
  <c r="X5" i="21" s="1"/>
  <c r="Y5" i="21" s="1"/>
  <c r="Z5" i="21" s="1"/>
  <c r="AA5" i="21" s="1"/>
  <c r="AB5" i="21" s="1"/>
  <c r="AC5" i="21" s="1"/>
  <c r="AD5" i="21" s="1"/>
  <c r="AE5" i="21" s="1"/>
  <c r="AF5" i="21" s="1"/>
  <c r="AG5" i="21" s="1"/>
  <c r="C32" i="20"/>
  <c r="C33" i="20" s="1"/>
  <c r="B32" i="20"/>
  <c r="C25" i="20"/>
  <c r="C26" i="20" s="1"/>
  <c r="C27" i="20" s="1"/>
  <c r="B25" i="20"/>
  <c r="D25" i="20" s="1"/>
  <c r="E24" i="20"/>
  <c r="F24" i="20" s="1"/>
  <c r="D24" i="20"/>
  <c r="E23" i="20"/>
  <c r="F23" i="20" s="1"/>
  <c r="M23" i="20" s="1"/>
  <c r="D23" i="20"/>
  <c r="I22" i="20"/>
  <c r="H22" i="20"/>
  <c r="G22" i="20"/>
  <c r="F22" i="20"/>
  <c r="D22" i="20"/>
  <c r="I21" i="20"/>
  <c r="H21" i="20"/>
  <c r="G21" i="20"/>
  <c r="F21" i="20"/>
  <c r="L21" i="20" s="1"/>
  <c r="AC18" i="20"/>
  <c r="AC22" i="20" s="1"/>
  <c r="AB18" i="20"/>
  <c r="AB22" i="20" s="1"/>
  <c r="AB21" i="20"/>
  <c r="AA18" i="20"/>
  <c r="AA22" i="20" s="1"/>
  <c r="Z18" i="20"/>
  <c r="Z21" i="20" s="1"/>
  <c r="X18" i="20"/>
  <c r="W18" i="20"/>
  <c r="W21" i="20" s="1"/>
  <c r="V18" i="20"/>
  <c r="V22" i="20" s="1"/>
  <c r="U18" i="20"/>
  <c r="S18" i="20"/>
  <c r="R18" i="20"/>
  <c r="Q18" i="20"/>
  <c r="P18" i="20"/>
  <c r="P22" i="20"/>
  <c r="N18" i="20"/>
  <c r="M18" i="20"/>
  <c r="L18" i="20"/>
  <c r="K18" i="20"/>
  <c r="AC13" i="20"/>
  <c r="AB13" i="20"/>
  <c r="AA13" i="20"/>
  <c r="Z13" i="20"/>
  <c r="X13" i="20"/>
  <c r="W13" i="20"/>
  <c r="V13" i="20"/>
  <c r="U13" i="20"/>
  <c r="S13" i="20"/>
  <c r="R13" i="20"/>
  <c r="Q13" i="20"/>
  <c r="P13" i="20"/>
  <c r="N13" i="20"/>
  <c r="M13" i="20"/>
  <c r="L13" i="20"/>
  <c r="K13" i="20"/>
  <c r="K11" i="20"/>
  <c r="L11" i="20" s="1"/>
  <c r="M11" i="20" s="1"/>
  <c r="N11" i="20" s="1"/>
  <c r="O11" i="20" s="1"/>
  <c r="P11" i="20" s="1"/>
  <c r="Q11" i="20" s="1"/>
  <c r="R11" i="20" s="1"/>
  <c r="S11" i="20" s="1"/>
  <c r="T11" i="20" s="1"/>
  <c r="U11" i="20" s="1"/>
  <c r="V11" i="20" s="1"/>
  <c r="W11" i="20" s="1"/>
  <c r="X11" i="20" s="1"/>
  <c r="Y11" i="20" s="1"/>
  <c r="Z11" i="20" s="1"/>
  <c r="AA11" i="20" s="1"/>
  <c r="AB11" i="20" s="1"/>
  <c r="AC11" i="20" s="1"/>
  <c r="AD11" i="20" s="1"/>
  <c r="AE11" i="20" s="1"/>
  <c r="AF11" i="20" s="1"/>
  <c r="C10" i="20"/>
  <c r="D10" i="20" s="1"/>
  <c r="E10" i="20" s="1"/>
  <c r="F10" i="20" s="1"/>
  <c r="G10" i="20" s="1"/>
  <c r="H10" i="20" s="1"/>
  <c r="I10" i="20" s="1"/>
  <c r="J10" i="20" s="1"/>
  <c r="K10" i="20" s="1"/>
  <c r="L10" i="20" s="1"/>
  <c r="M10" i="20" s="1"/>
  <c r="N10" i="20" s="1"/>
  <c r="O10" i="20" s="1"/>
  <c r="P10" i="20" s="1"/>
  <c r="Q10" i="20" s="1"/>
  <c r="R10" i="20" s="1"/>
  <c r="S10" i="20" s="1"/>
  <c r="T10" i="20" s="1"/>
  <c r="U10" i="20" s="1"/>
  <c r="V10" i="20" s="1"/>
  <c r="W10" i="20" s="1"/>
  <c r="X10" i="20" s="1"/>
  <c r="Y10" i="20" s="1"/>
  <c r="Z10" i="20" s="1"/>
  <c r="AA10" i="20" s="1"/>
  <c r="AB10" i="20" s="1"/>
  <c r="AC10" i="20" s="1"/>
  <c r="G9" i="20"/>
  <c r="H9" i="20" s="1"/>
  <c r="I9" i="20" s="1"/>
  <c r="J9" i="20" s="1"/>
  <c r="K9" i="20" s="1"/>
  <c r="L9" i="20" s="1"/>
  <c r="M9" i="20" s="1"/>
  <c r="N9" i="20" s="1"/>
  <c r="O9" i="20" s="1"/>
  <c r="P9" i="20" s="1"/>
  <c r="Q9" i="20" s="1"/>
  <c r="R9" i="20" s="1"/>
  <c r="S9" i="20" s="1"/>
  <c r="T9" i="20" s="1"/>
  <c r="U9" i="20" s="1"/>
  <c r="V9" i="20" s="1"/>
  <c r="W9" i="20" s="1"/>
  <c r="X9" i="20" s="1"/>
  <c r="Y9" i="20" s="1"/>
  <c r="Z9" i="20" s="1"/>
  <c r="AA9" i="20" s="1"/>
  <c r="AB9" i="20" s="1"/>
  <c r="AC9" i="20" s="1"/>
  <c r="AD9" i="20" s="1"/>
  <c r="AE9" i="20" s="1"/>
  <c r="AF9" i="20" s="1"/>
  <c r="AG9" i="20" s="1"/>
  <c r="K8" i="20"/>
  <c r="L8" i="20" s="1"/>
  <c r="M8" i="20" s="1"/>
  <c r="N8" i="20" s="1"/>
  <c r="O8" i="20" s="1"/>
  <c r="P8" i="20" s="1"/>
  <c r="Q8" i="20" s="1"/>
  <c r="R8" i="20" s="1"/>
  <c r="S8" i="20" s="1"/>
  <c r="T8" i="20" s="1"/>
  <c r="U8" i="20" s="1"/>
  <c r="V8" i="20" s="1"/>
  <c r="W8" i="20" s="1"/>
  <c r="X8" i="20" s="1"/>
  <c r="Y8" i="20" s="1"/>
  <c r="Z8" i="20" s="1"/>
  <c r="AA8" i="20" s="1"/>
  <c r="AB8" i="20" s="1"/>
  <c r="AC8" i="20" s="1"/>
  <c r="AD8" i="20" s="1"/>
  <c r="AE8" i="20" s="1"/>
  <c r="AF8" i="20" s="1"/>
  <c r="AG8" i="20" s="1"/>
  <c r="AG7" i="20"/>
  <c r="J7" i="20"/>
  <c r="K7" i="20" s="1"/>
  <c r="L7" i="20" s="1"/>
  <c r="M7" i="20" s="1"/>
  <c r="N7" i="20" s="1"/>
  <c r="O7" i="20" s="1"/>
  <c r="P7" i="20" s="1"/>
  <c r="Q7" i="20" s="1"/>
  <c r="R7" i="20" s="1"/>
  <c r="S7" i="20" s="1"/>
  <c r="T7" i="20" s="1"/>
  <c r="U7" i="20" s="1"/>
  <c r="V7" i="20" s="1"/>
  <c r="W7" i="20" s="1"/>
  <c r="X7" i="20" s="1"/>
  <c r="Y7" i="20" s="1"/>
  <c r="Z7" i="20" s="1"/>
  <c r="AA7" i="20" s="1"/>
  <c r="AB7" i="20" s="1"/>
  <c r="AC7" i="20" s="1"/>
  <c r="AD7" i="20" s="1"/>
  <c r="I6" i="20"/>
  <c r="J6" i="20" s="1"/>
  <c r="K6" i="20" s="1"/>
  <c r="L6" i="20" s="1"/>
  <c r="M6" i="20" s="1"/>
  <c r="N6" i="20" s="1"/>
  <c r="O6" i="20" s="1"/>
  <c r="P6" i="20" s="1"/>
  <c r="Q6" i="20" s="1"/>
  <c r="R6" i="20" s="1"/>
  <c r="S6" i="20" s="1"/>
  <c r="T6" i="20" s="1"/>
  <c r="U6" i="20" s="1"/>
  <c r="V6" i="20" s="1"/>
  <c r="W6" i="20" s="1"/>
  <c r="X6" i="20" s="1"/>
  <c r="Y6" i="20" s="1"/>
  <c r="Z6" i="20" s="1"/>
  <c r="AA6" i="20" s="1"/>
  <c r="AB6" i="20" s="1"/>
  <c r="AC6" i="20" s="1"/>
  <c r="AD6" i="20" s="1"/>
  <c r="AE6" i="20" s="1"/>
  <c r="AF6" i="20" s="1"/>
  <c r="AG6" i="20" s="1"/>
  <c r="H5" i="20"/>
  <c r="I5" i="20" s="1"/>
  <c r="J5" i="20" s="1"/>
  <c r="K5" i="20" s="1"/>
  <c r="L5" i="20" s="1"/>
  <c r="M5" i="20" s="1"/>
  <c r="N5" i="20" s="1"/>
  <c r="O5" i="20" s="1"/>
  <c r="P5" i="20" s="1"/>
  <c r="Q5" i="20" s="1"/>
  <c r="R5" i="20" s="1"/>
  <c r="S5" i="20" s="1"/>
  <c r="T5" i="20" s="1"/>
  <c r="U5" i="20" s="1"/>
  <c r="V5" i="20" s="1"/>
  <c r="W5" i="20" s="1"/>
  <c r="X5" i="20" s="1"/>
  <c r="Y5" i="20" s="1"/>
  <c r="Z5" i="20" s="1"/>
  <c r="AA5" i="20" s="1"/>
  <c r="AB5" i="20" s="1"/>
  <c r="AC5" i="20" s="1"/>
  <c r="AD5" i="20" s="1"/>
  <c r="AE5" i="20" s="1"/>
  <c r="AF5" i="20" s="1"/>
  <c r="AG5" i="20" s="1"/>
  <c r="F23" i="22"/>
  <c r="M23" i="22" s="1"/>
  <c r="I24" i="22"/>
  <c r="AB22" i="22"/>
  <c r="U22" i="20"/>
  <c r="B34" i="22"/>
  <c r="E34" i="22" s="1"/>
  <c r="I34" i="22" s="1"/>
  <c r="B33" i="22"/>
  <c r="AB21" i="21"/>
  <c r="X21" i="21"/>
  <c r="AC21" i="20"/>
  <c r="S3" i="18"/>
  <c r="S4" i="18" s="1"/>
  <c r="S5" i="18" s="1"/>
  <c r="S6" i="18" s="1"/>
  <c r="S7" i="18" s="1"/>
  <c r="S8" i="18" s="1"/>
  <c r="S9" i="18" s="1"/>
  <c r="S10" i="18" s="1"/>
  <c r="S11" i="18" s="1"/>
  <c r="S12" i="18" s="1"/>
  <c r="S13" i="18" s="1"/>
  <c r="S14" i="18" s="1"/>
  <c r="S15" i="18" s="1"/>
  <c r="S16" i="18" s="1"/>
  <c r="S17" i="18" s="1"/>
  <c r="S18" i="18" s="1"/>
  <c r="S19" i="18" s="1"/>
  <c r="S20" i="18" s="1"/>
  <c r="S21" i="18" s="1"/>
  <c r="S22" i="18" s="1"/>
  <c r="S23" i="18" s="1"/>
  <c r="S24" i="18" s="1"/>
  <c r="S25" i="18" s="1"/>
  <c r="S26" i="18" s="1"/>
  <c r="S27" i="18" s="1"/>
  <c r="S28" i="18" s="1"/>
  <c r="S29" i="18" s="1"/>
  <c r="S30" i="18" s="1"/>
  <c r="S31" i="18" s="1"/>
  <c r="S32" i="18" s="1"/>
  <c r="S33" i="18" s="1"/>
  <c r="C35" i="22"/>
  <c r="B36" i="22" s="1"/>
  <c r="J10" i="14"/>
  <c r="H9" i="14"/>
  <c r="H10" i="14"/>
  <c r="C36" i="22"/>
  <c r="C37" i="22" s="1"/>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5" i="17"/>
  <c r="G6" i="17"/>
  <c r="G7" i="17"/>
  <c r="G8" i="17"/>
  <c r="G9" i="17"/>
  <c r="G10" i="17"/>
  <c r="G11" i="17"/>
  <c r="G12" i="17"/>
  <c r="G13" i="17"/>
  <c r="G14" i="17"/>
  <c r="G15" i="17"/>
  <c r="G16" i="17"/>
  <c r="G17" i="17"/>
  <c r="G18" i="17"/>
  <c r="G19" i="17"/>
  <c r="G20" i="17"/>
  <c r="G21" i="17"/>
  <c r="G22" i="17"/>
  <c r="G23" i="17"/>
  <c r="G24" i="17"/>
  <c r="G4" i="17"/>
  <c r="C4" i="17"/>
  <c r="A5" i="17"/>
  <c r="B5" i="17" s="1"/>
  <c r="A6" i="17" s="1"/>
  <c r="C32" i="2"/>
  <c r="D13" i="7" s="1"/>
  <c r="B32" i="2"/>
  <c r="D32" i="2" s="1"/>
  <c r="C25" i="2"/>
  <c r="D6" i="7" s="1"/>
  <c r="B25" i="2"/>
  <c r="C6" i="7" s="1"/>
  <c r="G5" i="19"/>
  <c r="G4" i="19"/>
  <c r="G7" i="19"/>
  <c r="G6" i="19"/>
  <c r="F5" i="19"/>
  <c r="F4" i="19"/>
  <c r="F7" i="19"/>
  <c r="F6" i="19"/>
  <c r="E6" i="19"/>
  <c r="E5" i="19"/>
  <c r="E4" i="19"/>
  <c r="E7" i="19"/>
  <c r="D7" i="19"/>
  <c r="D6" i="19"/>
  <c r="D5" i="19"/>
  <c r="D4" i="19"/>
  <c r="J22" i="16"/>
  <c r="J21" i="16"/>
  <c r="K11" i="2"/>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C32" i="16"/>
  <c r="B33" i="16" s="1"/>
  <c r="B32" i="16"/>
  <c r="C25" i="16"/>
  <c r="B25" i="16"/>
  <c r="E24" i="16"/>
  <c r="J24" i="16" s="1"/>
  <c r="D24" i="16"/>
  <c r="E23" i="16"/>
  <c r="I23" i="16" s="1"/>
  <c r="D23" i="16"/>
  <c r="I22" i="16"/>
  <c r="H22" i="16"/>
  <c r="G22" i="16"/>
  <c r="F22" i="16"/>
  <c r="D22" i="16"/>
  <c r="I21" i="16"/>
  <c r="H21" i="16"/>
  <c r="G21" i="16"/>
  <c r="F21" i="16"/>
  <c r="AC18" i="16"/>
  <c r="AC22" i="16" s="1"/>
  <c r="AB18" i="16"/>
  <c r="AA18" i="16"/>
  <c r="Z18" i="16"/>
  <c r="X18" i="16"/>
  <c r="W18" i="16"/>
  <c r="V18" i="16"/>
  <c r="U18" i="16"/>
  <c r="S18" i="16"/>
  <c r="R18" i="16"/>
  <c r="Q18" i="16"/>
  <c r="P18" i="16"/>
  <c r="M18" i="16"/>
  <c r="L18" i="16"/>
  <c r="K18" i="16"/>
  <c r="AC13" i="16"/>
  <c r="AB13" i="16"/>
  <c r="AA13" i="16"/>
  <c r="Z13" i="16"/>
  <c r="X13" i="16"/>
  <c r="W13" i="16"/>
  <c r="V13" i="16"/>
  <c r="U13" i="16"/>
  <c r="S13" i="16"/>
  <c r="R13" i="16"/>
  <c r="Q13" i="16"/>
  <c r="P13" i="16"/>
  <c r="N13" i="16"/>
  <c r="M13" i="16"/>
  <c r="L13" i="16"/>
  <c r="K13" i="16"/>
  <c r="C10" i="16"/>
  <c r="D10" i="16" s="1"/>
  <c r="E10" i="16" s="1"/>
  <c r="F10" i="16" s="1"/>
  <c r="G10" i="16" s="1"/>
  <c r="H10" i="16" s="1"/>
  <c r="I10" i="16" s="1"/>
  <c r="J10" i="16" s="1"/>
  <c r="K10" i="16" s="1"/>
  <c r="L10" i="16" s="1"/>
  <c r="M10" i="16" s="1"/>
  <c r="N10" i="16" s="1"/>
  <c r="O10" i="16" s="1"/>
  <c r="P10" i="16" s="1"/>
  <c r="Q10" i="16" s="1"/>
  <c r="R10" i="16" s="1"/>
  <c r="S10" i="16" s="1"/>
  <c r="T10" i="16" s="1"/>
  <c r="U10" i="16" s="1"/>
  <c r="V10" i="16" s="1"/>
  <c r="W10" i="16" s="1"/>
  <c r="X10" i="16" s="1"/>
  <c r="Y10" i="16" s="1"/>
  <c r="Z10" i="16" s="1"/>
  <c r="AA10" i="16" s="1"/>
  <c r="AB10" i="16" s="1"/>
  <c r="AC10" i="16" s="1"/>
  <c r="G9" i="16"/>
  <c r="H9" i="16" s="1"/>
  <c r="I9" i="16" s="1"/>
  <c r="J9" i="16" s="1"/>
  <c r="K9" i="16" s="1"/>
  <c r="L9" i="16" s="1"/>
  <c r="M9" i="16" s="1"/>
  <c r="N9" i="16" s="1"/>
  <c r="O9" i="16" s="1"/>
  <c r="P9" i="16" s="1"/>
  <c r="Q9" i="16" s="1"/>
  <c r="R9" i="16" s="1"/>
  <c r="S9" i="16" s="1"/>
  <c r="T9" i="16" s="1"/>
  <c r="U9" i="16" s="1"/>
  <c r="V9" i="16" s="1"/>
  <c r="W9" i="16" s="1"/>
  <c r="X9" i="16" s="1"/>
  <c r="Y9" i="16" s="1"/>
  <c r="Z9" i="16" s="1"/>
  <c r="AA9" i="16" s="1"/>
  <c r="AB9" i="16" s="1"/>
  <c r="AC9" i="16" s="1"/>
  <c r="AD9" i="16" s="1"/>
  <c r="AE9" i="16" s="1"/>
  <c r="AF9" i="16" s="1"/>
  <c r="AG9" i="16" s="1"/>
  <c r="K8" i="16"/>
  <c r="L8" i="16" s="1"/>
  <c r="M8" i="16" s="1"/>
  <c r="N8" i="16" s="1"/>
  <c r="O8" i="16" s="1"/>
  <c r="P8" i="16" s="1"/>
  <c r="Q8" i="16" s="1"/>
  <c r="R8" i="16" s="1"/>
  <c r="S8" i="16" s="1"/>
  <c r="T8" i="16" s="1"/>
  <c r="U8" i="16" s="1"/>
  <c r="V8" i="16" s="1"/>
  <c r="W8" i="16" s="1"/>
  <c r="X8" i="16" s="1"/>
  <c r="Y8" i="16" s="1"/>
  <c r="Z8" i="16" s="1"/>
  <c r="AA8" i="16" s="1"/>
  <c r="AB8" i="16" s="1"/>
  <c r="AC8" i="16" s="1"/>
  <c r="AD8" i="16" s="1"/>
  <c r="AE8" i="16" s="1"/>
  <c r="AF8" i="16" s="1"/>
  <c r="AG8" i="16" s="1"/>
  <c r="AG7" i="16"/>
  <c r="J7" i="16"/>
  <c r="K7" i="16" s="1"/>
  <c r="L7" i="16" s="1"/>
  <c r="M7" i="16" s="1"/>
  <c r="N7" i="16" s="1"/>
  <c r="O7" i="16" s="1"/>
  <c r="P7" i="16" s="1"/>
  <c r="Q7" i="16" s="1"/>
  <c r="R7" i="16" s="1"/>
  <c r="S7" i="16" s="1"/>
  <c r="T7" i="16" s="1"/>
  <c r="U7" i="16" s="1"/>
  <c r="V7" i="16" s="1"/>
  <c r="W7" i="16" s="1"/>
  <c r="X7" i="16" s="1"/>
  <c r="Y7" i="16" s="1"/>
  <c r="Z7" i="16" s="1"/>
  <c r="AA7" i="16" s="1"/>
  <c r="AB7" i="16" s="1"/>
  <c r="AC7" i="16" s="1"/>
  <c r="AD7" i="16" s="1"/>
  <c r="I6" i="16"/>
  <c r="J6" i="16" s="1"/>
  <c r="K6" i="16" s="1"/>
  <c r="L6" i="16" s="1"/>
  <c r="M6" i="16" s="1"/>
  <c r="N6" i="16" s="1"/>
  <c r="O6" i="16" s="1"/>
  <c r="P6" i="16" s="1"/>
  <c r="Q6" i="16" s="1"/>
  <c r="R6" i="16" s="1"/>
  <c r="S6" i="16" s="1"/>
  <c r="T6" i="16" s="1"/>
  <c r="U6" i="16" s="1"/>
  <c r="V6" i="16" s="1"/>
  <c r="W6" i="16" s="1"/>
  <c r="X6" i="16" s="1"/>
  <c r="Y6" i="16" s="1"/>
  <c r="Z6" i="16" s="1"/>
  <c r="AA6" i="16" s="1"/>
  <c r="AB6" i="16" s="1"/>
  <c r="AC6" i="16" s="1"/>
  <c r="AD6" i="16" s="1"/>
  <c r="AE6" i="16" s="1"/>
  <c r="AF6" i="16" s="1"/>
  <c r="AG6" i="16" s="1"/>
  <c r="H5" i="16"/>
  <c r="I5" i="16" s="1"/>
  <c r="J5" i="16" s="1"/>
  <c r="K5" i="16" s="1"/>
  <c r="L5" i="16" s="1"/>
  <c r="M5" i="16" s="1"/>
  <c r="N5" i="16" s="1"/>
  <c r="O5" i="16" s="1"/>
  <c r="P5" i="16" s="1"/>
  <c r="Q5" i="16" s="1"/>
  <c r="R5" i="16" s="1"/>
  <c r="S5" i="16" s="1"/>
  <c r="T5" i="16" s="1"/>
  <c r="U5" i="16" s="1"/>
  <c r="V5" i="16" s="1"/>
  <c r="W5" i="16" s="1"/>
  <c r="X5" i="16" s="1"/>
  <c r="Y5" i="16" s="1"/>
  <c r="Z5" i="16" s="1"/>
  <c r="AA5" i="16" s="1"/>
  <c r="AB5" i="16" s="1"/>
  <c r="AC5" i="16" s="1"/>
  <c r="AD5" i="16" s="1"/>
  <c r="AE5" i="16" s="1"/>
  <c r="AF5" i="16" s="1"/>
  <c r="AG5" i="16" s="1"/>
  <c r="Z22" i="16"/>
  <c r="X22" i="16"/>
  <c r="U22" i="16"/>
  <c r="G9" i="14"/>
  <c r="G10" i="14"/>
  <c r="F10" i="14"/>
  <c r="D23" i="2"/>
  <c r="D22" i="2"/>
  <c r="A5" i="7"/>
  <c r="A6" i="7" s="1"/>
  <c r="A7" i="7" s="1"/>
  <c r="A8" i="7"/>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D5" i="7"/>
  <c r="D4" i="7"/>
  <c r="C4" i="7"/>
  <c r="E23" i="2"/>
  <c r="C10" i="2"/>
  <c r="D10" i="2" s="1"/>
  <c r="E10" i="2" s="1"/>
  <c r="F10" i="2" s="1"/>
  <c r="G10" i="2" s="1"/>
  <c r="H10" i="2" s="1"/>
  <c r="I10" i="2" s="1"/>
  <c r="J10" i="2" s="1"/>
  <c r="K10" i="2" s="1"/>
  <c r="L10" i="2" s="1"/>
  <c r="M10" i="2" s="1"/>
  <c r="N10" i="2" s="1"/>
  <c r="O10" i="2" s="1"/>
  <c r="P10" i="2" s="1"/>
  <c r="Q10" i="2" s="1"/>
  <c r="R10" i="2" s="1"/>
  <c r="S10" i="2" s="1"/>
  <c r="T10" i="2" s="1"/>
  <c r="U10" i="2" s="1"/>
  <c r="V10" i="2" s="1"/>
  <c r="W10" i="2" s="1"/>
  <c r="X10" i="2" s="1"/>
  <c r="Y10" i="2" s="1"/>
  <c r="Z10" i="2" s="1"/>
  <c r="AA10" i="2" s="1"/>
  <c r="AB10" i="2" s="1"/>
  <c r="AC10" i="2" s="1"/>
  <c r="AC13" i="2"/>
  <c r="AB13" i="2"/>
  <c r="AA13" i="2"/>
  <c r="Z13" i="2"/>
  <c r="X13" i="2"/>
  <c r="W13" i="2"/>
  <c r="V13" i="2"/>
  <c r="U13" i="2"/>
  <c r="S13" i="2"/>
  <c r="R13" i="2"/>
  <c r="Q13" i="2"/>
  <c r="P13" i="2"/>
  <c r="L13" i="2"/>
  <c r="M13" i="2"/>
  <c r="N13" i="2"/>
  <c r="K13" i="2"/>
  <c r="K8" i="2"/>
  <c r="L8" i="2" s="1"/>
  <c r="M8" i="2" s="1"/>
  <c r="N8" i="2" s="1"/>
  <c r="O8" i="2" s="1"/>
  <c r="P8" i="2" s="1"/>
  <c r="Q8" i="2" s="1"/>
  <c r="R8" i="2" s="1"/>
  <c r="S8" i="2" s="1"/>
  <c r="T8" i="2" s="1"/>
  <c r="U8" i="2" s="1"/>
  <c r="V8" i="2" s="1"/>
  <c r="W8" i="2" s="1"/>
  <c r="X8" i="2" s="1"/>
  <c r="Y8" i="2" s="1"/>
  <c r="Z8" i="2" s="1"/>
  <c r="AA8" i="2" s="1"/>
  <c r="AB8" i="2" s="1"/>
  <c r="AC8" i="2" s="1"/>
  <c r="AD8" i="2" s="1"/>
  <c r="AE8" i="2" s="1"/>
  <c r="AF8" i="2" s="1"/>
  <c r="AG8" i="2" s="1"/>
  <c r="J7" i="2"/>
  <c r="K7" i="2" s="1"/>
  <c r="L7" i="2" s="1"/>
  <c r="M7" i="2" s="1"/>
  <c r="N7" i="2" s="1"/>
  <c r="O7" i="2" s="1"/>
  <c r="P7" i="2" s="1"/>
  <c r="Q7" i="2" s="1"/>
  <c r="R7" i="2" s="1"/>
  <c r="S7" i="2" s="1"/>
  <c r="T7" i="2" s="1"/>
  <c r="U7" i="2" s="1"/>
  <c r="V7" i="2" s="1"/>
  <c r="W7" i="2" s="1"/>
  <c r="X7" i="2" s="1"/>
  <c r="Y7" i="2" s="1"/>
  <c r="Z7" i="2" s="1"/>
  <c r="AA7" i="2" s="1"/>
  <c r="AB7" i="2" s="1"/>
  <c r="AC7" i="2" s="1"/>
  <c r="AD7" i="2" s="1"/>
  <c r="AG7" i="2"/>
  <c r="I6" i="2"/>
  <c r="J6" i="2" s="1"/>
  <c r="K6" i="2" s="1"/>
  <c r="L6" i="2" s="1"/>
  <c r="M6" i="2" s="1"/>
  <c r="N6" i="2" s="1"/>
  <c r="O6" i="2" s="1"/>
  <c r="P6" i="2" s="1"/>
  <c r="Q6" i="2" s="1"/>
  <c r="R6" i="2" s="1"/>
  <c r="S6" i="2" s="1"/>
  <c r="T6" i="2" s="1"/>
  <c r="U6" i="2" s="1"/>
  <c r="V6" i="2" s="1"/>
  <c r="W6" i="2" s="1"/>
  <c r="X6" i="2" s="1"/>
  <c r="Y6" i="2" s="1"/>
  <c r="Z6" i="2" s="1"/>
  <c r="AA6" i="2" s="1"/>
  <c r="AB6" i="2" s="1"/>
  <c r="AC6" i="2" s="1"/>
  <c r="AD6" i="2" s="1"/>
  <c r="AE6" i="2" s="1"/>
  <c r="AF6" i="2" s="1"/>
  <c r="AG6" i="2" s="1"/>
  <c r="H5" i="2"/>
  <c r="I5" i="2" s="1"/>
  <c r="J5" i="2" s="1"/>
  <c r="K5" i="2" s="1"/>
  <c r="L5" i="2" s="1"/>
  <c r="M5" i="2" s="1"/>
  <c r="N5" i="2" s="1"/>
  <c r="O5" i="2" s="1"/>
  <c r="P5" i="2" s="1"/>
  <c r="Q5" i="2" s="1"/>
  <c r="R5" i="2" s="1"/>
  <c r="S5" i="2" s="1"/>
  <c r="T5" i="2" s="1"/>
  <c r="U5" i="2" s="1"/>
  <c r="V5" i="2" s="1"/>
  <c r="W5" i="2" s="1"/>
  <c r="X5" i="2" s="1"/>
  <c r="Y5" i="2" s="1"/>
  <c r="Z5" i="2" s="1"/>
  <c r="AA5" i="2" s="1"/>
  <c r="AB5" i="2" s="1"/>
  <c r="AC5" i="2" s="1"/>
  <c r="AD5" i="2" s="1"/>
  <c r="AE5" i="2" s="1"/>
  <c r="AF5" i="2" s="1"/>
  <c r="AG5" i="2" s="1"/>
  <c r="AC18" i="2"/>
  <c r="AC21" i="2" s="1"/>
  <c r="AB18" i="2"/>
  <c r="AB22" i="2" s="1"/>
  <c r="AA18" i="2"/>
  <c r="AA22" i="2" s="1"/>
  <c r="Z18" i="2"/>
  <c r="X18" i="2"/>
  <c r="W18" i="2"/>
  <c r="V18" i="2"/>
  <c r="U18" i="2"/>
  <c r="S18" i="2"/>
  <c r="R18" i="2"/>
  <c r="Q18" i="2"/>
  <c r="P18" i="2"/>
  <c r="N18" i="2"/>
  <c r="M18" i="2"/>
  <c r="L18" i="2"/>
  <c r="G9" i="2"/>
  <c r="H9" i="2" s="1"/>
  <c r="I9" i="2" s="1"/>
  <c r="J9" i="2" s="1"/>
  <c r="K9" i="2" s="1"/>
  <c r="L9" i="2" s="1"/>
  <c r="M9" i="2" s="1"/>
  <c r="N9" i="2" s="1"/>
  <c r="O9" i="2" s="1"/>
  <c r="P9" i="2" s="1"/>
  <c r="Q9" i="2" s="1"/>
  <c r="R9" i="2" s="1"/>
  <c r="S9" i="2" s="1"/>
  <c r="T9" i="2" s="1"/>
  <c r="U9" i="2" s="1"/>
  <c r="V9" i="2" s="1"/>
  <c r="W9" i="2" s="1"/>
  <c r="X9" i="2" s="1"/>
  <c r="Y9" i="2" s="1"/>
  <c r="Z9" i="2" s="1"/>
  <c r="AA9" i="2" s="1"/>
  <c r="AB9" i="2" s="1"/>
  <c r="AC9" i="2" s="1"/>
  <c r="AD9" i="2" s="1"/>
  <c r="AE9" i="2" s="1"/>
  <c r="AF9" i="2" s="1"/>
  <c r="AG9" i="2" s="1"/>
  <c r="F22" i="2"/>
  <c r="G22" i="2"/>
  <c r="H22" i="2"/>
  <c r="I22" i="2"/>
  <c r="G21" i="2"/>
  <c r="S21" i="2" s="1"/>
  <c r="R21" i="2"/>
  <c r="H21" i="2"/>
  <c r="I21" i="2"/>
  <c r="F21" i="2"/>
  <c r="D12" i="7"/>
  <c r="C7" i="19"/>
  <c r="C5" i="19"/>
  <c r="C6" i="19"/>
  <c r="C4" i="19"/>
  <c r="J24" i="25" l="1"/>
  <c r="AA24" i="25" s="1"/>
  <c r="Q21" i="16"/>
  <c r="S21" i="21"/>
  <c r="K21" i="24"/>
  <c r="X21" i="2"/>
  <c r="U22" i="21"/>
  <c r="K22" i="16"/>
  <c r="Q22" i="2"/>
  <c r="L24" i="24"/>
  <c r="R22" i="24"/>
  <c r="Z21" i="23"/>
  <c r="G24" i="25"/>
  <c r="Q24" i="25" s="1"/>
  <c r="K23" i="20"/>
  <c r="B27" i="20"/>
  <c r="D27" i="20" s="1"/>
  <c r="Z22" i="20"/>
  <c r="U21" i="22"/>
  <c r="Z21" i="24"/>
  <c r="G24" i="16"/>
  <c r="R24" i="16" s="1"/>
  <c r="N23" i="22"/>
  <c r="N21" i="20"/>
  <c r="F23" i="24"/>
  <c r="N23" i="24" s="1"/>
  <c r="AC22" i="2"/>
  <c r="L21" i="16"/>
  <c r="G23" i="22"/>
  <c r="R23" i="22" s="1"/>
  <c r="Q22" i="20"/>
  <c r="W22" i="21"/>
  <c r="K22" i="21"/>
  <c r="E25" i="21"/>
  <c r="G23" i="24"/>
  <c r="P23" i="24" s="1"/>
  <c r="F24" i="25"/>
  <c r="L24" i="25" s="1"/>
  <c r="U21" i="24"/>
  <c r="M22" i="24"/>
  <c r="Z22" i="24"/>
  <c r="V24" i="24"/>
  <c r="D25" i="2"/>
  <c r="Z22" i="21"/>
  <c r="D25" i="21"/>
  <c r="D32" i="20"/>
  <c r="B26" i="25"/>
  <c r="D26" i="25" s="1"/>
  <c r="I24" i="24"/>
  <c r="N21" i="24"/>
  <c r="X22" i="24"/>
  <c r="AC21" i="24"/>
  <c r="B28" i="20"/>
  <c r="D28" i="20" s="1"/>
  <c r="C28" i="20"/>
  <c r="C29" i="20" s="1"/>
  <c r="B30" i="20" s="1"/>
  <c r="Q21" i="22"/>
  <c r="AB22" i="25"/>
  <c r="K22" i="2"/>
  <c r="V22" i="23"/>
  <c r="D32" i="24"/>
  <c r="N22" i="25"/>
  <c r="S24" i="25"/>
  <c r="N22" i="16"/>
  <c r="F25" i="21"/>
  <c r="N25" i="21" s="1"/>
  <c r="W21" i="22"/>
  <c r="E32" i="22"/>
  <c r="H32" i="22" s="1"/>
  <c r="X32" i="22" s="1"/>
  <c r="J24" i="24"/>
  <c r="AC24" i="24" s="1"/>
  <c r="D32" i="25"/>
  <c r="E32" i="25"/>
  <c r="I32" i="25" s="1"/>
  <c r="R21" i="23"/>
  <c r="W22" i="23"/>
  <c r="L22" i="23"/>
  <c r="L21" i="24"/>
  <c r="P22" i="24"/>
  <c r="L21" i="25"/>
  <c r="U22" i="25"/>
  <c r="C33" i="25"/>
  <c r="B34" i="25" s="1"/>
  <c r="S22" i="2"/>
  <c r="U21" i="2"/>
  <c r="Q21" i="2"/>
  <c r="Q24" i="22"/>
  <c r="S22" i="20"/>
  <c r="N24" i="20"/>
  <c r="M21" i="22"/>
  <c r="E35" i="22"/>
  <c r="G35" i="22" s="1"/>
  <c r="AB24" i="25"/>
  <c r="V22" i="2"/>
  <c r="U22" i="22"/>
  <c r="X22" i="22"/>
  <c r="W22" i="22"/>
  <c r="W21" i="23"/>
  <c r="AB22" i="23"/>
  <c r="C33" i="23"/>
  <c r="B33" i="23"/>
  <c r="D33" i="23" s="1"/>
  <c r="D32" i="23"/>
  <c r="C13" i="7"/>
  <c r="W21" i="2"/>
  <c r="P22" i="22"/>
  <c r="P24" i="22"/>
  <c r="E25" i="24"/>
  <c r="D25" i="24"/>
  <c r="AB21" i="16"/>
  <c r="Z21" i="16"/>
  <c r="B38" i="22"/>
  <c r="D38" i="22" s="1"/>
  <c r="C38" i="22"/>
  <c r="U32" i="22"/>
  <c r="W32" i="22"/>
  <c r="D33" i="22"/>
  <c r="E33" i="22"/>
  <c r="I33" i="22" s="1"/>
  <c r="S22" i="22"/>
  <c r="S23" i="22"/>
  <c r="J24" i="23"/>
  <c r="AC24" i="23" s="1"/>
  <c r="G24" i="23"/>
  <c r="Q24" i="23" s="1"/>
  <c r="H24" i="23"/>
  <c r="V24" i="23" s="1"/>
  <c r="I24" i="23"/>
  <c r="R22" i="25"/>
  <c r="P22" i="25"/>
  <c r="Q22" i="25"/>
  <c r="AA21" i="2"/>
  <c r="H23" i="16"/>
  <c r="U23" i="16" s="1"/>
  <c r="AB21" i="2"/>
  <c r="M21" i="2"/>
  <c r="P21" i="16"/>
  <c r="N22" i="20"/>
  <c r="K21" i="21"/>
  <c r="L21" i="21"/>
  <c r="F24" i="23"/>
  <c r="M24" i="23" s="1"/>
  <c r="S22" i="25"/>
  <c r="AA22" i="24"/>
  <c r="AA21" i="24"/>
  <c r="R21" i="24"/>
  <c r="Q21" i="24"/>
  <c r="S21" i="24"/>
  <c r="U22" i="24"/>
  <c r="V22" i="24"/>
  <c r="Z22" i="2"/>
  <c r="Z21" i="2"/>
  <c r="F23" i="2"/>
  <c r="M23" i="2" s="1"/>
  <c r="J23" i="2"/>
  <c r="Z23" i="2" s="1"/>
  <c r="D34" i="22"/>
  <c r="H24" i="20"/>
  <c r="W24" i="20" s="1"/>
  <c r="V22" i="22"/>
  <c r="N23" i="20"/>
  <c r="X22" i="2"/>
  <c r="H23" i="22"/>
  <c r="Z21" i="22"/>
  <c r="J23" i="22"/>
  <c r="AC23" i="22" s="1"/>
  <c r="J23" i="20"/>
  <c r="Z23" i="20" s="1"/>
  <c r="C26" i="21"/>
  <c r="C27" i="21" s="1"/>
  <c r="B28" i="21" s="1"/>
  <c r="U21" i="20"/>
  <c r="G23" i="20"/>
  <c r="Q23" i="20" s="1"/>
  <c r="B26" i="20"/>
  <c r="E26" i="20" s="1"/>
  <c r="R22" i="22"/>
  <c r="S22" i="24"/>
  <c r="W21" i="24"/>
  <c r="H24" i="25"/>
  <c r="W24" i="25" s="1"/>
  <c r="W22" i="25"/>
  <c r="K21" i="25"/>
  <c r="G24" i="24"/>
  <c r="R24" i="24" s="1"/>
  <c r="X24" i="24"/>
  <c r="V21" i="20"/>
  <c r="M21" i="20"/>
  <c r="N21" i="22"/>
  <c r="Q22" i="22"/>
  <c r="M21" i="25"/>
  <c r="AB21" i="25"/>
  <c r="H35" i="22"/>
  <c r="J35" i="22"/>
  <c r="H33" i="22"/>
  <c r="J33" i="22"/>
  <c r="M23" i="24"/>
  <c r="J32" i="25"/>
  <c r="Z32" i="25" s="1"/>
  <c r="G32" i="25"/>
  <c r="F32" i="25"/>
  <c r="M32" i="25" s="1"/>
  <c r="H32" i="25"/>
  <c r="V21" i="2"/>
  <c r="Q23" i="24"/>
  <c r="X22" i="25"/>
  <c r="D24" i="2"/>
  <c r="E24" i="2"/>
  <c r="M22" i="2"/>
  <c r="E25" i="2"/>
  <c r="S24" i="16"/>
  <c r="F23" i="16"/>
  <c r="K23" i="16" s="1"/>
  <c r="J23" i="16"/>
  <c r="AB23" i="16" s="1"/>
  <c r="AB22" i="16"/>
  <c r="U21" i="16"/>
  <c r="R22" i="16"/>
  <c r="S22" i="16"/>
  <c r="Q22" i="16"/>
  <c r="P22" i="16"/>
  <c r="G23" i="16"/>
  <c r="R23" i="16" s="1"/>
  <c r="E25" i="16"/>
  <c r="G25" i="16" s="1"/>
  <c r="AC21" i="16"/>
  <c r="C33" i="2"/>
  <c r="B33" i="2"/>
  <c r="E32" i="2"/>
  <c r="M22" i="23"/>
  <c r="M21" i="23"/>
  <c r="AA21" i="23"/>
  <c r="AA22" i="23"/>
  <c r="E38" i="22"/>
  <c r="F34" i="22"/>
  <c r="H34" i="22"/>
  <c r="J34" i="22"/>
  <c r="G34" i="22"/>
  <c r="AC23" i="2"/>
  <c r="W22" i="16"/>
  <c r="V22" i="16"/>
  <c r="C26" i="16"/>
  <c r="C27" i="16" s="1"/>
  <c r="B26" i="16"/>
  <c r="D26" i="16" s="1"/>
  <c r="D35" i="22"/>
  <c r="F33" i="22"/>
  <c r="P21" i="22"/>
  <c r="S21" i="22"/>
  <c r="R21" i="22"/>
  <c r="K22" i="22"/>
  <c r="N22" i="22"/>
  <c r="M22" i="22"/>
  <c r="AA21" i="16"/>
  <c r="R21" i="16"/>
  <c r="S21" i="16"/>
  <c r="M22" i="16"/>
  <c r="D32" i="16"/>
  <c r="C33" i="16"/>
  <c r="E33" i="16" s="1"/>
  <c r="C26" i="2"/>
  <c r="B26" i="2"/>
  <c r="S24" i="22"/>
  <c r="R24" i="22"/>
  <c r="Z23" i="22"/>
  <c r="AA23" i="22"/>
  <c r="S21" i="20"/>
  <c r="R21" i="20"/>
  <c r="Q21" i="20"/>
  <c r="L22" i="20"/>
  <c r="M22" i="20"/>
  <c r="J24" i="20"/>
  <c r="G24" i="20"/>
  <c r="R24" i="20" s="1"/>
  <c r="I24" i="20"/>
  <c r="F24" i="21"/>
  <c r="H24" i="21"/>
  <c r="E32" i="21"/>
  <c r="D32" i="21"/>
  <c r="I23" i="23"/>
  <c r="F23" i="23"/>
  <c r="K23" i="23" s="1"/>
  <c r="H23" i="23"/>
  <c r="X23" i="23" s="1"/>
  <c r="G23" i="23"/>
  <c r="S23" i="23" s="1"/>
  <c r="J23" i="23"/>
  <c r="AB23" i="23" s="1"/>
  <c r="C26" i="23"/>
  <c r="B26" i="23"/>
  <c r="Q23" i="22"/>
  <c r="P23" i="22"/>
  <c r="M21" i="21"/>
  <c r="R21" i="21"/>
  <c r="P21" i="21"/>
  <c r="L22" i="21"/>
  <c r="B33" i="21"/>
  <c r="C33" i="21"/>
  <c r="L24" i="23"/>
  <c r="AC22" i="24"/>
  <c r="N22" i="24"/>
  <c r="K22" i="24"/>
  <c r="N21" i="25"/>
  <c r="I23" i="25"/>
  <c r="G23" i="25"/>
  <c r="Q23" i="25" s="1"/>
  <c r="J23" i="25"/>
  <c r="F23" i="25"/>
  <c r="L22" i="16"/>
  <c r="N21" i="16"/>
  <c r="N22" i="21"/>
  <c r="L23" i="22"/>
  <c r="P21" i="20"/>
  <c r="AC23" i="24"/>
  <c r="AB23" i="24"/>
  <c r="AA23" i="24"/>
  <c r="Z23" i="24"/>
  <c r="L22" i="24"/>
  <c r="E25" i="23"/>
  <c r="J25" i="23" s="1"/>
  <c r="D25" i="23"/>
  <c r="H25" i="24"/>
  <c r="I25" i="24"/>
  <c r="S21" i="25"/>
  <c r="R21" i="25"/>
  <c r="P21" i="25"/>
  <c r="V21" i="22"/>
  <c r="E25" i="22"/>
  <c r="I25" i="22" s="1"/>
  <c r="G25" i="24"/>
  <c r="R24" i="25"/>
  <c r="P24" i="25"/>
  <c r="AB21" i="23"/>
  <c r="U21" i="23"/>
  <c r="V21" i="23"/>
  <c r="N22" i="23"/>
  <c r="M21" i="24"/>
  <c r="M24" i="24"/>
  <c r="W22" i="24"/>
  <c r="W24" i="24"/>
  <c r="AB22" i="24"/>
  <c r="AB21" i="24"/>
  <c r="X21" i="24"/>
  <c r="V21" i="24"/>
  <c r="I23" i="24"/>
  <c r="H23" i="24"/>
  <c r="U23" i="24" s="1"/>
  <c r="B26" i="24"/>
  <c r="C26" i="24"/>
  <c r="U21" i="25"/>
  <c r="W21" i="25"/>
  <c r="X21" i="25"/>
  <c r="L22" i="25"/>
  <c r="M22" i="25"/>
  <c r="AA22" i="25"/>
  <c r="AC22" i="25"/>
  <c r="X21" i="20"/>
  <c r="X21" i="22"/>
  <c r="D32" i="22"/>
  <c r="E32" i="23"/>
  <c r="I32" i="23" s="1"/>
  <c r="K22" i="20"/>
  <c r="E25" i="20"/>
  <c r="H25" i="20" s="1"/>
  <c r="X22" i="21"/>
  <c r="W24" i="23"/>
  <c r="Q21" i="23"/>
  <c r="N21" i="23"/>
  <c r="P21" i="2"/>
  <c r="N22" i="2"/>
  <c r="L22" i="2"/>
  <c r="R22" i="2"/>
  <c r="I23" i="2"/>
  <c r="H23" i="2"/>
  <c r="G23" i="2"/>
  <c r="AA24" i="16"/>
  <c r="AC24" i="16"/>
  <c r="AB24" i="16"/>
  <c r="Z24" i="16"/>
  <c r="N21" i="2"/>
  <c r="L21" i="2"/>
  <c r="U22" i="2"/>
  <c r="W22" i="2"/>
  <c r="P22" i="2"/>
  <c r="B27" i="16"/>
  <c r="AB23" i="2"/>
  <c r="V21" i="16"/>
  <c r="I24" i="16"/>
  <c r="K21" i="16"/>
  <c r="H24" i="16"/>
  <c r="E32" i="16"/>
  <c r="W21" i="16"/>
  <c r="AA22" i="16"/>
  <c r="D25" i="16"/>
  <c r="M21" i="16"/>
  <c r="F24" i="16"/>
  <c r="X21" i="16"/>
  <c r="B6" i="17"/>
  <c r="A7" i="17" s="1"/>
  <c r="C5" i="17"/>
  <c r="E36" i="22"/>
  <c r="B37" i="22"/>
  <c r="P34" i="22"/>
  <c r="D36" i="22"/>
  <c r="C30" i="20"/>
  <c r="B31" i="20" s="1"/>
  <c r="E28" i="20"/>
  <c r="C34" i="20"/>
  <c r="B34" i="20"/>
  <c r="H23" i="21"/>
  <c r="G23" i="21"/>
  <c r="J23" i="21"/>
  <c r="AA21" i="22"/>
  <c r="AA22" i="22"/>
  <c r="L24" i="20"/>
  <c r="K24" i="20"/>
  <c r="AC22" i="21"/>
  <c r="V22" i="21"/>
  <c r="V24" i="20"/>
  <c r="M25" i="21"/>
  <c r="K21" i="20"/>
  <c r="AA21" i="20"/>
  <c r="F23" i="21"/>
  <c r="L22" i="22"/>
  <c r="L21" i="22"/>
  <c r="M24" i="20"/>
  <c r="L23" i="20"/>
  <c r="R22" i="20"/>
  <c r="X22" i="20"/>
  <c r="W22" i="20"/>
  <c r="B33" i="20"/>
  <c r="W21" i="21"/>
  <c r="V21" i="21"/>
  <c r="U21" i="21"/>
  <c r="Q22" i="21"/>
  <c r="P22" i="21"/>
  <c r="S22" i="21"/>
  <c r="I23" i="21"/>
  <c r="G25" i="21"/>
  <c r="I25" i="21"/>
  <c r="H24" i="22"/>
  <c r="F24" i="22"/>
  <c r="J24" i="22"/>
  <c r="K23" i="22"/>
  <c r="AC22" i="22"/>
  <c r="I23" i="20"/>
  <c r="H23" i="20"/>
  <c r="E32" i="20"/>
  <c r="J24" i="21"/>
  <c r="I24" i="21"/>
  <c r="G24" i="21"/>
  <c r="C34" i="25"/>
  <c r="D33" i="25"/>
  <c r="C26" i="22"/>
  <c r="B26" i="22"/>
  <c r="D25" i="22"/>
  <c r="K22" i="23"/>
  <c r="K21" i="23"/>
  <c r="P21" i="23"/>
  <c r="X22" i="23"/>
  <c r="X21" i="23"/>
  <c r="X24" i="23"/>
  <c r="AC22" i="23"/>
  <c r="S22" i="23"/>
  <c r="P22" i="23"/>
  <c r="Q22" i="23"/>
  <c r="R22" i="23"/>
  <c r="J32" i="23"/>
  <c r="G32" i="23"/>
  <c r="S21" i="23"/>
  <c r="AC21" i="23"/>
  <c r="V23" i="25"/>
  <c r="U23" i="25"/>
  <c r="X23" i="25"/>
  <c r="W23" i="25"/>
  <c r="P32" i="25"/>
  <c r="AC32" i="25"/>
  <c r="Z24" i="25"/>
  <c r="AC24" i="25"/>
  <c r="N24" i="23"/>
  <c r="N24" i="24"/>
  <c r="K24" i="24"/>
  <c r="U24" i="23"/>
  <c r="Z22" i="23"/>
  <c r="C33" i="24"/>
  <c r="E32" i="24"/>
  <c r="B33" i="24"/>
  <c r="H25" i="23"/>
  <c r="L21" i="23"/>
  <c r="D25" i="25"/>
  <c r="E25" i="25"/>
  <c r="C27" i="25"/>
  <c r="B27" i="25"/>
  <c r="Z24" i="23" l="1"/>
  <c r="I25" i="20"/>
  <c r="E27" i="20"/>
  <c r="Z23" i="23"/>
  <c r="P24" i="23"/>
  <c r="X23" i="16"/>
  <c r="S23" i="24"/>
  <c r="AC23" i="23"/>
  <c r="E33" i="25"/>
  <c r="E33" i="23"/>
  <c r="I33" i="23" s="1"/>
  <c r="K25" i="21"/>
  <c r="E26" i="25"/>
  <c r="F26" i="25" s="1"/>
  <c r="F35" i="22"/>
  <c r="Q24" i="16"/>
  <c r="R23" i="24"/>
  <c r="L25" i="21"/>
  <c r="K23" i="24"/>
  <c r="AA23" i="23"/>
  <c r="AA23" i="2"/>
  <c r="L23" i="24"/>
  <c r="N23" i="2"/>
  <c r="L32" i="25"/>
  <c r="F27" i="20"/>
  <c r="L27" i="20" s="1"/>
  <c r="N24" i="25"/>
  <c r="AC23" i="20"/>
  <c r="L23" i="2"/>
  <c r="G27" i="20"/>
  <c r="Q27" i="20" s="1"/>
  <c r="M24" i="25"/>
  <c r="K24" i="23"/>
  <c r="B29" i="20"/>
  <c r="D29" i="20" s="1"/>
  <c r="P24" i="16"/>
  <c r="K23" i="2"/>
  <c r="AB23" i="22"/>
  <c r="I35" i="22"/>
  <c r="H27" i="20"/>
  <c r="X27" i="20" s="1"/>
  <c r="K24" i="25"/>
  <c r="V32" i="22"/>
  <c r="I32" i="22"/>
  <c r="J25" i="21"/>
  <c r="H25" i="21"/>
  <c r="P23" i="25"/>
  <c r="V23" i="24"/>
  <c r="X24" i="25"/>
  <c r="AB24" i="23"/>
  <c r="J32" i="22"/>
  <c r="AA24" i="24"/>
  <c r="AB24" i="24"/>
  <c r="AA24" i="23"/>
  <c r="J25" i="16"/>
  <c r="AC25" i="16" s="1"/>
  <c r="S24" i="24"/>
  <c r="G25" i="22"/>
  <c r="Q25" i="22" s="1"/>
  <c r="C28" i="21"/>
  <c r="E28" i="21" s="1"/>
  <c r="H25" i="16"/>
  <c r="U25" i="16" s="1"/>
  <c r="H26" i="25"/>
  <c r="V26" i="25" s="1"/>
  <c r="N32" i="25"/>
  <c r="P23" i="23"/>
  <c r="E26" i="16"/>
  <c r="H26" i="16" s="1"/>
  <c r="G33" i="22"/>
  <c r="Z24" i="24"/>
  <c r="F32" i="22"/>
  <c r="K32" i="22" s="1"/>
  <c r="G32" i="22"/>
  <c r="R32" i="22" s="1"/>
  <c r="W23" i="22"/>
  <c r="V23" i="22"/>
  <c r="X23" i="22"/>
  <c r="U23" i="22"/>
  <c r="X24" i="20"/>
  <c r="U24" i="20"/>
  <c r="B39" i="22"/>
  <c r="C39" i="22"/>
  <c r="C34" i="23"/>
  <c r="B34" i="23"/>
  <c r="F25" i="16"/>
  <c r="N25" i="16" s="1"/>
  <c r="K32" i="25"/>
  <c r="Q24" i="24"/>
  <c r="H32" i="23"/>
  <c r="U32" i="23" s="1"/>
  <c r="D26" i="20"/>
  <c r="E26" i="21"/>
  <c r="F26" i="21" s="1"/>
  <c r="I25" i="16"/>
  <c r="S23" i="20"/>
  <c r="R23" i="20"/>
  <c r="P23" i="20"/>
  <c r="S24" i="23"/>
  <c r="R24" i="23"/>
  <c r="P32" i="22"/>
  <c r="F25" i="24"/>
  <c r="J25" i="24"/>
  <c r="P24" i="24"/>
  <c r="D26" i="21"/>
  <c r="I26" i="20"/>
  <c r="J26" i="20"/>
  <c r="F26" i="20"/>
  <c r="G26" i="20"/>
  <c r="H26" i="20"/>
  <c r="F32" i="23"/>
  <c r="L32" i="23" s="1"/>
  <c r="AA23" i="20"/>
  <c r="B27" i="21"/>
  <c r="E27" i="21" s="1"/>
  <c r="AB23" i="20"/>
  <c r="C6" i="17"/>
  <c r="V24" i="25"/>
  <c r="U24" i="25"/>
  <c r="W23" i="16"/>
  <c r="V23" i="16"/>
  <c r="J33" i="16"/>
  <c r="H33" i="16"/>
  <c r="F33" i="16"/>
  <c r="I33" i="16"/>
  <c r="G33" i="16"/>
  <c r="S33" i="16" s="1"/>
  <c r="P25" i="24"/>
  <c r="Q25" i="24"/>
  <c r="S25" i="24"/>
  <c r="R25" i="24"/>
  <c r="C34" i="21"/>
  <c r="B34" i="21"/>
  <c r="E26" i="23"/>
  <c r="D26" i="23"/>
  <c r="V23" i="23"/>
  <c r="W23" i="23"/>
  <c r="U23" i="23"/>
  <c r="F33" i="23"/>
  <c r="J33" i="23"/>
  <c r="K24" i="21"/>
  <c r="M24" i="21"/>
  <c r="E26" i="2"/>
  <c r="C7" i="7"/>
  <c r="D26" i="2"/>
  <c r="AB34" i="22"/>
  <c r="AC34" i="22"/>
  <c r="Z34" i="22"/>
  <c r="AA34" i="22"/>
  <c r="H38" i="22"/>
  <c r="F38" i="22"/>
  <c r="I38" i="22"/>
  <c r="G38" i="22"/>
  <c r="J38" i="22"/>
  <c r="J24" i="2"/>
  <c r="I24" i="2"/>
  <c r="F24" i="2"/>
  <c r="G24" i="2"/>
  <c r="H24" i="2"/>
  <c r="R32" i="25"/>
  <c r="S32" i="25"/>
  <c r="AC33" i="22"/>
  <c r="AA33" i="22"/>
  <c r="AB33" i="22"/>
  <c r="Z33" i="22"/>
  <c r="AC35" i="22"/>
  <c r="Z35" i="22"/>
  <c r="AB35" i="22"/>
  <c r="AA35" i="22"/>
  <c r="H33" i="23"/>
  <c r="U33" i="23" s="1"/>
  <c r="Q32" i="25"/>
  <c r="N24" i="21"/>
  <c r="B27" i="24"/>
  <c r="C27" i="24"/>
  <c r="F25" i="22"/>
  <c r="J25" i="22"/>
  <c r="H25" i="22"/>
  <c r="G25" i="23"/>
  <c r="F25" i="23"/>
  <c r="I25" i="23"/>
  <c r="M23" i="25"/>
  <c r="N23" i="25"/>
  <c r="K23" i="25"/>
  <c r="L23" i="25"/>
  <c r="E33" i="21"/>
  <c r="D33" i="21"/>
  <c r="B27" i="23"/>
  <c r="C27" i="23"/>
  <c r="M23" i="23"/>
  <c r="N23" i="23"/>
  <c r="L23" i="23"/>
  <c r="D7" i="7"/>
  <c r="C27" i="2"/>
  <c r="B27" i="2"/>
  <c r="W34" i="22"/>
  <c r="X34" i="22"/>
  <c r="U34" i="22"/>
  <c r="V34" i="22"/>
  <c r="G32" i="2"/>
  <c r="I32" i="2"/>
  <c r="F32" i="2"/>
  <c r="J32" i="2"/>
  <c r="H32" i="2"/>
  <c r="AC23" i="16"/>
  <c r="AA23" i="16"/>
  <c r="Z23" i="16"/>
  <c r="X32" i="25"/>
  <c r="V32" i="25"/>
  <c r="U32" i="25"/>
  <c r="W32" i="25"/>
  <c r="AB32" i="25"/>
  <c r="AA32" i="25"/>
  <c r="S33" i="22"/>
  <c r="R33" i="22"/>
  <c r="P33" i="22"/>
  <c r="Q33" i="22"/>
  <c r="X35" i="22"/>
  <c r="V35" i="22"/>
  <c r="W35" i="22"/>
  <c r="U35" i="22"/>
  <c r="L24" i="21"/>
  <c r="G25" i="20"/>
  <c r="F25" i="20"/>
  <c r="D26" i="24"/>
  <c r="E26" i="24"/>
  <c r="AB23" i="25"/>
  <c r="AA23" i="25"/>
  <c r="AC23" i="25"/>
  <c r="Z23" i="25"/>
  <c r="I32" i="21"/>
  <c r="F32" i="21"/>
  <c r="G32" i="21"/>
  <c r="H32" i="21"/>
  <c r="J32" i="21"/>
  <c r="S24" i="20"/>
  <c r="Q24" i="20"/>
  <c r="P24" i="20"/>
  <c r="C34" i="16"/>
  <c r="B34" i="16"/>
  <c r="N34" i="22"/>
  <c r="M34" i="22"/>
  <c r="K34" i="22"/>
  <c r="L34" i="22"/>
  <c r="D33" i="2"/>
  <c r="C14" i="7"/>
  <c r="E33" i="2"/>
  <c r="P23" i="16"/>
  <c r="S23" i="16"/>
  <c r="Q23" i="16"/>
  <c r="M23" i="16"/>
  <c r="L23" i="16"/>
  <c r="N23" i="16"/>
  <c r="G25" i="2"/>
  <c r="F25" i="2"/>
  <c r="H25" i="2"/>
  <c r="J25" i="2"/>
  <c r="I25" i="2"/>
  <c r="D33" i="16"/>
  <c r="X33" i="22"/>
  <c r="W33" i="22"/>
  <c r="V33" i="22"/>
  <c r="U33" i="22"/>
  <c r="N35" i="22"/>
  <c r="K35" i="22"/>
  <c r="L35" i="22"/>
  <c r="M35" i="22"/>
  <c r="G33" i="23"/>
  <c r="R33" i="23" s="1"/>
  <c r="J25" i="20"/>
  <c r="AA25" i="20" s="1"/>
  <c r="W23" i="24"/>
  <c r="X23" i="24"/>
  <c r="U25" i="24"/>
  <c r="X25" i="24"/>
  <c r="W25" i="24"/>
  <c r="V25" i="24"/>
  <c r="S23" i="25"/>
  <c r="R23" i="25"/>
  <c r="Q23" i="23"/>
  <c r="R23" i="23"/>
  <c r="U24" i="21"/>
  <c r="X24" i="21"/>
  <c r="V24" i="21"/>
  <c r="W24" i="21"/>
  <c r="AB24" i="20"/>
  <c r="Z24" i="20"/>
  <c r="AC24" i="20"/>
  <c r="AA24" i="20"/>
  <c r="M33" i="22"/>
  <c r="K33" i="22"/>
  <c r="N33" i="22"/>
  <c r="L33" i="22"/>
  <c r="Q34" i="22"/>
  <c r="S34" i="22"/>
  <c r="R34" i="22"/>
  <c r="B34" i="2"/>
  <c r="C34" i="2"/>
  <c r="D14" i="7"/>
  <c r="J26" i="25"/>
  <c r="P35" i="22"/>
  <c r="R35" i="22"/>
  <c r="S35" i="22"/>
  <c r="Q35" i="22"/>
  <c r="U27" i="20"/>
  <c r="W27" i="20"/>
  <c r="V27" i="20"/>
  <c r="R27" i="20"/>
  <c r="S27" i="20"/>
  <c r="H25" i="25"/>
  <c r="G25" i="25"/>
  <c r="F25" i="25"/>
  <c r="I25" i="25"/>
  <c r="J25" i="25"/>
  <c r="E33" i="24"/>
  <c r="D33" i="24"/>
  <c r="X26" i="25"/>
  <c r="U26" i="25"/>
  <c r="W26" i="25"/>
  <c r="R32" i="23"/>
  <c r="S32" i="23"/>
  <c r="P32" i="23"/>
  <c r="Q32" i="23"/>
  <c r="D34" i="25"/>
  <c r="E34" i="25"/>
  <c r="R24" i="21"/>
  <c r="Q24" i="21"/>
  <c r="P24" i="21"/>
  <c r="S24" i="21"/>
  <c r="X23" i="20"/>
  <c r="U23" i="20"/>
  <c r="V23" i="20"/>
  <c r="W23" i="20"/>
  <c r="V25" i="20"/>
  <c r="W25" i="20"/>
  <c r="U25" i="20"/>
  <c r="X25" i="20"/>
  <c r="AB23" i="21"/>
  <c r="Z23" i="21"/>
  <c r="AC23" i="21"/>
  <c r="AA23" i="21"/>
  <c r="C35" i="20"/>
  <c r="B35" i="20"/>
  <c r="K24" i="16"/>
  <c r="L24" i="16"/>
  <c r="M24" i="16"/>
  <c r="N24" i="16"/>
  <c r="Q33" i="16"/>
  <c r="C28" i="16"/>
  <c r="B28" i="16"/>
  <c r="P25" i="16"/>
  <c r="S25" i="16"/>
  <c r="R25" i="16"/>
  <c r="Q25" i="16"/>
  <c r="X23" i="2"/>
  <c r="AC4" i="7" s="1"/>
  <c r="AB4" i="7" s="1"/>
  <c r="W23" i="2"/>
  <c r="Z4" i="7" s="1"/>
  <c r="Y4" i="7" s="1"/>
  <c r="V23" i="2"/>
  <c r="W4" i="7" s="1"/>
  <c r="V4" i="7" s="1"/>
  <c r="U23" i="2"/>
  <c r="T4" i="7" s="1"/>
  <c r="S4" i="7" s="1"/>
  <c r="I32" i="24"/>
  <c r="J32" i="24"/>
  <c r="F32" i="24"/>
  <c r="G32" i="24"/>
  <c r="H32" i="24"/>
  <c r="Z32" i="23"/>
  <c r="AC32" i="23"/>
  <c r="AA32" i="23"/>
  <c r="AB32" i="23"/>
  <c r="AC24" i="22"/>
  <c r="AB24" i="22"/>
  <c r="Z24" i="22"/>
  <c r="AA24" i="22"/>
  <c r="Q25" i="21"/>
  <c r="P25" i="21"/>
  <c r="S25" i="21"/>
  <c r="R25" i="21"/>
  <c r="D33" i="20"/>
  <c r="E33" i="20"/>
  <c r="L23" i="21"/>
  <c r="K23" i="21"/>
  <c r="M23" i="21"/>
  <c r="N23" i="21"/>
  <c r="R25" i="22"/>
  <c r="S25" i="22"/>
  <c r="R23" i="21"/>
  <c r="P23" i="21"/>
  <c r="S23" i="21"/>
  <c r="Q23" i="21"/>
  <c r="D28" i="21"/>
  <c r="B7" i="17"/>
  <c r="A8" i="17" s="1"/>
  <c r="Z25" i="16"/>
  <c r="X25" i="16"/>
  <c r="D27" i="25"/>
  <c r="E27" i="25"/>
  <c r="B34" i="24"/>
  <c r="C34" i="24"/>
  <c r="Z25" i="23"/>
  <c r="AC25" i="23"/>
  <c r="AA25" i="23"/>
  <c r="AB25" i="23"/>
  <c r="S33" i="23"/>
  <c r="X32" i="23"/>
  <c r="V32" i="23"/>
  <c r="D26" i="22"/>
  <c r="E26" i="22"/>
  <c r="B35" i="25"/>
  <c r="C35" i="25"/>
  <c r="AB24" i="21"/>
  <c r="AC24" i="21"/>
  <c r="AA24" i="21"/>
  <c r="Z24" i="21"/>
  <c r="L24" i="22"/>
  <c r="M24" i="22"/>
  <c r="N24" i="22"/>
  <c r="K24" i="22"/>
  <c r="U23" i="21"/>
  <c r="X23" i="21"/>
  <c r="V23" i="21"/>
  <c r="W23" i="21"/>
  <c r="J28" i="20"/>
  <c r="G28" i="20"/>
  <c r="F28" i="20"/>
  <c r="H28" i="20"/>
  <c r="I28" i="20"/>
  <c r="D31" i="20"/>
  <c r="E31" i="20"/>
  <c r="E37" i="22"/>
  <c r="D37" i="22"/>
  <c r="J32" i="16"/>
  <c r="F32" i="16"/>
  <c r="G32" i="16"/>
  <c r="H32" i="16"/>
  <c r="I32" i="16"/>
  <c r="D27" i="16"/>
  <c r="E27" i="16"/>
  <c r="C28" i="25"/>
  <c r="B28" i="25"/>
  <c r="W25" i="23"/>
  <c r="X25" i="23"/>
  <c r="V25" i="23"/>
  <c r="U25" i="23"/>
  <c r="C27" i="22"/>
  <c r="B27" i="22"/>
  <c r="G33" i="25"/>
  <c r="H33" i="25"/>
  <c r="F33" i="25"/>
  <c r="J33" i="25"/>
  <c r="I33" i="25"/>
  <c r="H32" i="20"/>
  <c r="G32" i="20"/>
  <c r="F32" i="20"/>
  <c r="I32" i="20"/>
  <c r="J32" i="20"/>
  <c r="X24" i="22"/>
  <c r="V24" i="22"/>
  <c r="U24" i="22"/>
  <c r="W24" i="22"/>
  <c r="E34" i="20"/>
  <c r="D34" i="20"/>
  <c r="D30" i="20"/>
  <c r="E30" i="20"/>
  <c r="I36" i="22"/>
  <c r="F36" i="22"/>
  <c r="J36" i="22"/>
  <c r="G36" i="22"/>
  <c r="H36" i="22"/>
  <c r="U24" i="16"/>
  <c r="X24" i="16"/>
  <c r="W24" i="16"/>
  <c r="V24" i="16"/>
  <c r="I26" i="16"/>
  <c r="F26" i="16"/>
  <c r="P23" i="2"/>
  <c r="G4" i="7" s="1"/>
  <c r="F4" i="7" s="1"/>
  <c r="Q23" i="2"/>
  <c r="J4" i="7" s="1"/>
  <c r="I4" i="7" s="1"/>
  <c r="R23" i="2"/>
  <c r="M4" i="7" s="1"/>
  <c r="L4" i="7" s="1"/>
  <c r="S23" i="2"/>
  <c r="P4" i="7" s="1"/>
  <c r="O4" i="7" s="1"/>
  <c r="M27" i="20" l="1"/>
  <c r="E29" i="20"/>
  <c r="N27" i="20"/>
  <c r="I26" i="25"/>
  <c r="G26" i="25"/>
  <c r="AC25" i="20"/>
  <c r="I27" i="20"/>
  <c r="J27" i="20"/>
  <c r="M25" i="16"/>
  <c r="K32" i="23"/>
  <c r="AB25" i="16"/>
  <c r="J26" i="16"/>
  <c r="P33" i="23"/>
  <c r="V25" i="16"/>
  <c r="P33" i="16"/>
  <c r="Q32" i="22"/>
  <c r="U25" i="21"/>
  <c r="W25" i="21"/>
  <c r="V25" i="21"/>
  <c r="X25" i="21"/>
  <c r="G26" i="16"/>
  <c r="S26" i="16" s="1"/>
  <c r="J26" i="21"/>
  <c r="AA26" i="21" s="1"/>
  <c r="Q33" i="23"/>
  <c r="W25" i="16"/>
  <c r="AA25" i="16"/>
  <c r="R33" i="16"/>
  <c r="D27" i="21"/>
  <c r="V33" i="23"/>
  <c r="S32" i="22"/>
  <c r="Z25" i="21"/>
  <c r="AA25" i="21"/>
  <c r="AC25" i="21"/>
  <c r="AB25" i="21"/>
  <c r="H26" i="21"/>
  <c r="X26" i="21" s="1"/>
  <c r="W32" i="23"/>
  <c r="P25" i="22"/>
  <c r="B29" i="21"/>
  <c r="P27" i="20"/>
  <c r="K27" i="20"/>
  <c r="M32" i="22"/>
  <c r="N32" i="22"/>
  <c r="N32" i="23"/>
  <c r="L25" i="16"/>
  <c r="M32" i="23"/>
  <c r="K25" i="16"/>
  <c r="C29" i="21"/>
  <c r="B30" i="21" s="1"/>
  <c r="L32" i="22"/>
  <c r="AB32" i="22"/>
  <c r="AA32" i="22"/>
  <c r="AC32" i="22"/>
  <c r="Z32" i="22"/>
  <c r="I26" i="21"/>
  <c r="AC26" i="20"/>
  <c r="Z26" i="20"/>
  <c r="AA26" i="20"/>
  <c r="AB26" i="20"/>
  <c r="AC25" i="24"/>
  <c r="AA25" i="24"/>
  <c r="Z25" i="24"/>
  <c r="AB25" i="24"/>
  <c r="D39" i="22"/>
  <c r="M26" i="20"/>
  <c r="L26" i="20"/>
  <c r="N26" i="20"/>
  <c r="K26" i="20"/>
  <c r="E39" i="22"/>
  <c r="B40" i="22"/>
  <c r="C40" i="22"/>
  <c r="G26" i="21"/>
  <c r="R26" i="21" s="1"/>
  <c r="X26" i="20"/>
  <c r="V26" i="20"/>
  <c r="W26" i="20"/>
  <c r="U26" i="20"/>
  <c r="M25" i="24"/>
  <c r="L25" i="24"/>
  <c r="K25" i="24"/>
  <c r="N25" i="24"/>
  <c r="E34" i="23"/>
  <c r="D34" i="23"/>
  <c r="S26" i="20"/>
  <c r="Q26" i="20"/>
  <c r="R26" i="20"/>
  <c r="P26" i="20"/>
  <c r="B35" i="23"/>
  <c r="C35" i="23"/>
  <c r="W33" i="23"/>
  <c r="U25" i="2"/>
  <c r="T6" i="7" s="1"/>
  <c r="S6" i="7" s="1"/>
  <c r="W25" i="2"/>
  <c r="Z6" i="7" s="1"/>
  <c r="Y6" i="7" s="1"/>
  <c r="X25" i="2"/>
  <c r="AC6" i="7" s="1"/>
  <c r="AB6" i="7" s="1"/>
  <c r="V25" i="2"/>
  <c r="W6" i="7" s="1"/>
  <c r="V6" i="7" s="1"/>
  <c r="U32" i="21"/>
  <c r="X32" i="21"/>
  <c r="W32" i="21"/>
  <c r="V32" i="21"/>
  <c r="G26" i="24"/>
  <c r="J26" i="24"/>
  <c r="I26" i="24"/>
  <c r="F26" i="24"/>
  <c r="H26" i="24"/>
  <c r="L32" i="2"/>
  <c r="K32" i="2"/>
  <c r="M32" i="2"/>
  <c r="N32" i="2"/>
  <c r="B28" i="2"/>
  <c r="C28" i="2"/>
  <c r="D8" i="7"/>
  <c r="H33" i="21"/>
  <c r="I33" i="21"/>
  <c r="G33" i="21"/>
  <c r="J33" i="21"/>
  <c r="F33" i="21"/>
  <c r="U25" i="22"/>
  <c r="W25" i="22"/>
  <c r="X25" i="22"/>
  <c r="V25" i="22"/>
  <c r="E27" i="24"/>
  <c r="D27" i="24"/>
  <c r="M24" i="2"/>
  <c r="K24" i="2"/>
  <c r="N24" i="2"/>
  <c r="L24" i="2"/>
  <c r="S38" i="22"/>
  <c r="R38" i="22"/>
  <c r="P38" i="22"/>
  <c r="Q38" i="22"/>
  <c r="E34" i="21"/>
  <c r="D34" i="21"/>
  <c r="M33" i="16"/>
  <c r="L33" i="16"/>
  <c r="N33" i="16"/>
  <c r="K33" i="16"/>
  <c r="AC26" i="25"/>
  <c r="Z26" i="25"/>
  <c r="AB26" i="25"/>
  <c r="AA26" i="25"/>
  <c r="Z32" i="21"/>
  <c r="AA32" i="21"/>
  <c r="AC32" i="21"/>
  <c r="AB32" i="21"/>
  <c r="R25" i="20"/>
  <c r="Q25" i="20"/>
  <c r="S25" i="20"/>
  <c r="P25" i="20"/>
  <c r="AA32" i="2"/>
  <c r="AB32" i="2"/>
  <c r="AC32" i="2"/>
  <c r="Z32" i="2"/>
  <c r="S25" i="23"/>
  <c r="Q25" i="23"/>
  <c r="R25" i="23"/>
  <c r="P25" i="23"/>
  <c r="S24" i="2"/>
  <c r="P5" i="7" s="1"/>
  <c r="O5" i="7" s="1"/>
  <c r="Q24" i="2"/>
  <c r="J5" i="7" s="1"/>
  <c r="I5" i="7" s="1"/>
  <c r="R24" i="2"/>
  <c r="M5" i="7" s="1"/>
  <c r="L5" i="7" s="1"/>
  <c r="P24" i="2"/>
  <c r="G5" i="7" s="1"/>
  <c r="F5" i="7" s="1"/>
  <c r="AC38" i="22"/>
  <c r="AA38" i="22"/>
  <c r="Z38" i="22"/>
  <c r="AB38" i="22"/>
  <c r="W38" i="22"/>
  <c r="U38" i="22"/>
  <c r="X38" i="22"/>
  <c r="V38" i="22"/>
  <c r="I26" i="23"/>
  <c r="H26" i="23"/>
  <c r="F26" i="23"/>
  <c r="J26" i="23"/>
  <c r="G26" i="23"/>
  <c r="AB25" i="20"/>
  <c r="X33" i="23"/>
  <c r="C35" i="2"/>
  <c r="D15" i="7"/>
  <c r="B35" i="2"/>
  <c r="K25" i="2"/>
  <c r="M25" i="2"/>
  <c r="N25" i="2"/>
  <c r="L25" i="2"/>
  <c r="I33" i="2"/>
  <c r="J33" i="2"/>
  <c r="H33" i="2"/>
  <c r="G33" i="2"/>
  <c r="F33" i="2"/>
  <c r="R32" i="21"/>
  <c r="Q32" i="21"/>
  <c r="S32" i="21"/>
  <c r="P32" i="21"/>
  <c r="C28" i="23"/>
  <c r="B28" i="23"/>
  <c r="AC25" i="22"/>
  <c r="Z25" i="22"/>
  <c r="AB25" i="22"/>
  <c r="AA25" i="22"/>
  <c r="AA33" i="23"/>
  <c r="AB33" i="23"/>
  <c r="AC33" i="23"/>
  <c r="Z33" i="23"/>
  <c r="C35" i="21"/>
  <c r="B35" i="21"/>
  <c r="U33" i="16"/>
  <c r="W33" i="16"/>
  <c r="X33" i="16"/>
  <c r="V33" i="16"/>
  <c r="Z25" i="2"/>
  <c r="AA25" i="2"/>
  <c r="AB25" i="2"/>
  <c r="AC25" i="2"/>
  <c r="C35" i="16"/>
  <c r="B35" i="16"/>
  <c r="D27" i="2"/>
  <c r="E27" i="2"/>
  <c r="C8" i="7"/>
  <c r="B28" i="24"/>
  <c r="C28" i="24"/>
  <c r="Z25" i="20"/>
  <c r="N26" i="25"/>
  <c r="L26" i="25"/>
  <c r="K26" i="25"/>
  <c r="M26" i="25"/>
  <c r="D34" i="2"/>
  <c r="C15" i="7"/>
  <c r="E34" i="2"/>
  <c r="S25" i="2"/>
  <c r="P6" i="7" s="1"/>
  <c r="O6" i="7" s="1"/>
  <c r="R25" i="2"/>
  <c r="M6" i="7" s="1"/>
  <c r="L6" i="7" s="1"/>
  <c r="Q25" i="2"/>
  <c r="J6" i="7" s="1"/>
  <c r="I6" i="7" s="1"/>
  <c r="P25" i="2"/>
  <c r="G6" i="7" s="1"/>
  <c r="F6" i="7" s="1"/>
  <c r="D34" i="16"/>
  <c r="E34" i="16"/>
  <c r="N32" i="21"/>
  <c r="L32" i="21"/>
  <c r="K32" i="21"/>
  <c r="M32" i="21"/>
  <c r="L25" i="20"/>
  <c r="M25" i="20"/>
  <c r="K25" i="20"/>
  <c r="N25" i="20"/>
  <c r="X32" i="2"/>
  <c r="AC13" i="7" s="1"/>
  <c r="AB13" i="7" s="1"/>
  <c r="W32" i="2"/>
  <c r="Z13" i="7" s="1"/>
  <c r="Y13" i="7" s="1"/>
  <c r="V32" i="2"/>
  <c r="W13" i="7" s="1"/>
  <c r="V13" i="7" s="1"/>
  <c r="U32" i="2"/>
  <c r="T13" i="7" s="1"/>
  <c r="S13" i="7" s="1"/>
  <c r="P32" i="2"/>
  <c r="G13" i="7" s="1"/>
  <c r="F13" i="7" s="1"/>
  <c r="R32" i="2"/>
  <c r="M13" i="7" s="1"/>
  <c r="L13" i="7" s="1"/>
  <c r="S32" i="2"/>
  <c r="P13" i="7" s="1"/>
  <c r="O13" i="7" s="1"/>
  <c r="Q32" i="2"/>
  <c r="J13" i="7" s="1"/>
  <c r="I13" i="7" s="1"/>
  <c r="D27" i="23"/>
  <c r="E27" i="23"/>
  <c r="L25" i="23"/>
  <c r="K25" i="23"/>
  <c r="M25" i="23"/>
  <c r="N25" i="23"/>
  <c r="L25" i="22"/>
  <c r="N25" i="22"/>
  <c r="K25" i="22"/>
  <c r="M25" i="22"/>
  <c r="V24" i="2"/>
  <c r="W5" i="7" s="1"/>
  <c r="V5" i="7" s="1"/>
  <c r="X24" i="2"/>
  <c r="AC5" i="7" s="1"/>
  <c r="AB5" i="7" s="1"/>
  <c r="U24" i="2"/>
  <c r="T5" i="7" s="1"/>
  <c r="S5" i="7" s="1"/>
  <c r="W24" i="2"/>
  <c r="Z5" i="7" s="1"/>
  <c r="Y5" i="7" s="1"/>
  <c r="Z24" i="2"/>
  <c r="AB24" i="2"/>
  <c r="AC24" i="2"/>
  <c r="AA24" i="2"/>
  <c r="M38" i="22"/>
  <c r="N38" i="22"/>
  <c r="L38" i="22"/>
  <c r="K38" i="22"/>
  <c r="F26" i="2"/>
  <c r="G26" i="2"/>
  <c r="H26" i="2"/>
  <c r="I26" i="2"/>
  <c r="J26" i="2"/>
  <c r="L33" i="23"/>
  <c r="K33" i="23"/>
  <c r="N33" i="23"/>
  <c r="M33" i="23"/>
  <c r="AB33" i="16"/>
  <c r="Z33" i="16"/>
  <c r="AC33" i="16"/>
  <c r="AA33" i="16"/>
  <c r="C35" i="24"/>
  <c r="B35" i="24"/>
  <c r="B8" i="17"/>
  <c r="A9" i="17" s="1"/>
  <c r="W32" i="24"/>
  <c r="U32" i="24"/>
  <c r="V32" i="24"/>
  <c r="X32" i="24"/>
  <c r="B36" i="20"/>
  <c r="C36" i="20"/>
  <c r="E28" i="16"/>
  <c r="D28" i="16"/>
  <c r="L25" i="25"/>
  <c r="M25" i="25"/>
  <c r="K25" i="25"/>
  <c r="N25" i="25"/>
  <c r="U36" i="22"/>
  <c r="W36" i="22"/>
  <c r="X36" i="22"/>
  <c r="V36" i="22"/>
  <c r="U32" i="20"/>
  <c r="W32" i="20"/>
  <c r="X32" i="20"/>
  <c r="V32" i="20"/>
  <c r="F27" i="16"/>
  <c r="I27" i="16"/>
  <c r="G27" i="16"/>
  <c r="J27" i="16"/>
  <c r="H27" i="16"/>
  <c r="Q32" i="16"/>
  <c r="R32" i="16"/>
  <c r="P32" i="16"/>
  <c r="S32" i="16"/>
  <c r="G37" i="22"/>
  <c r="F37" i="22"/>
  <c r="I37" i="22"/>
  <c r="H37" i="22"/>
  <c r="J37" i="22"/>
  <c r="AA28" i="20"/>
  <c r="AB28" i="20"/>
  <c r="Z28" i="20"/>
  <c r="AC28" i="20"/>
  <c r="Z26" i="16"/>
  <c r="AB26" i="16"/>
  <c r="AA26" i="16"/>
  <c r="AC26" i="16"/>
  <c r="V26" i="21"/>
  <c r="Q33" i="25"/>
  <c r="S33" i="25"/>
  <c r="P33" i="25"/>
  <c r="R33" i="25"/>
  <c r="L32" i="16"/>
  <c r="M32" i="16"/>
  <c r="N32" i="16"/>
  <c r="K32" i="16"/>
  <c r="R32" i="24"/>
  <c r="S32" i="24"/>
  <c r="P32" i="24"/>
  <c r="Q32" i="24"/>
  <c r="P26" i="16"/>
  <c r="R26" i="16"/>
  <c r="AC36" i="22"/>
  <c r="AB36" i="22"/>
  <c r="Z36" i="22"/>
  <c r="AA36" i="22"/>
  <c r="G34" i="20"/>
  <c r="J34" i="20"/>
  <c r="I34" i="20"/>
  <c r="H34" i="20"/>
  <c r="F34" i="20"/>
  <c r="L32" i="20"/>
  <c r="M32" i="20"/>
  <c r="N32" i="20"/>
  <c r="K32" i="20"/>
  <c r="AB33" i="25"/>
  <c r="AC33" i="25"/>
  <c r="AA33" i="25"/>
  <c r="Z33" i="25"/>
  <c r="E27" i="22"/>
  <c r="D27" i="22"/>
  <c r="E28" i="25"/>
  <c r="D28" i="25"/>
  <c r="Z32" i="16"/>
  <c r="AA32" i="16"/>
  <c r="AC32" i="16"/>
  <c r="AB32" i="16"/>
  <c r="J31" i="20"/>
  <c r="I31" i="20"/>
  <c r="F31" i="20"/>
  <c r="G31" i="20"/>
  <c r="H31" i="20"/>
  <c r="N28" i="20"/>
  <c r="K28" i="20"/>
  <c r="L28" i="20"/>
  <c r="M28" i="20"/>
  <c r="D35" i="25"/>
  <c r="E35" i="25"/>
  <c r="F27" i="25"/>
  <c r="I27" i="25"/>
  <c r="J27" i="25"/>
  <c r="H27" i="25"/>
  <c r="G27" i="25"/>
  <c r="G29" i="20"/>
  <c r="J29" i="20"/>
  <c r="H29" i="20"/>
  <c r="I29" i="20"/>
  <c r="F29" i="20"/>
  <c r="M32" i="24"/>
  <c r="N32" i="24"/>
  <c r="K32" i="24"/>
  <c r="L32" i="24"/>
  <c r="C29" i="16"/>
  <c r="B29" i="16"/>
  <c r="C30" i="21"/>
  <c r="B31" i="21" s="1"/>
  <c r="G27" i="21"/>
  <c r="J27" i="21"/>
  <c r="I27" i="21"/>
  <c r="F27" i="21"/>
  <c r="H27" i="21"/>
  <c r="H33" i="24"/>
  <c r="G33" i="24"/>
  <c r="J33" i="24"/>
  <c r="I33" i="24"/>
  <c r="F33" i="24"/>
  <c r="R25" i="25"/>
  <c r="Q25" i="25"/>
  <c r="P25" i="25"/>
  <c r="S25" i="25"/>
  <c r="K26" i="16"/>
  <c r="L26" i="16"/>
  <c r="M26" i="16"/>
  <c r="N26" i="16"/>
  <c r="Z32" i="20"/>
  <c r="AB32" i="20"/>
  <c r="AC32" i="20"/>
  <c r="AA32" i="20"/>
  <c r="V33" i="25"/>
  <c r="W33" i="25"/>
  <c r="X33" i="25"/>
  <c r="U33" i="25"/>
  <c r="Q36" i="22"/>
  <c r="P36" i="22"/>
  <c r="R36" i="22"/>
  <c r="S36" i="22"/>
  <c r="X28" i="20"/>
  <c r="U28" i="20"/>
  <c r="W28" i="20"/>
  <c r="V28" i="20"/>
  <c r="B36" i="25"/>
  <c r="C36" i="25"/>
  <c r="D34" i="24"/>
  <c r="E34" i="24"/>
  <c r="W26" i="16"/>
  <c r="U26" i="16"/>
  <c r="V26" i="16"/>
  <c r="X26" i="16"/>
  <c r="N36" i="22"/>
  <c r="L36" i="22"/>
  <c r="K36" i="22"/>
  <c r="M36" i="22"/>
  <c r="I30" i="20"/>
  <c r="J30" i="20"/>
  <c r="G30" i="20"/>
  <c r="H30" i="20"/>
  <c r="F30" i="20"/>
  <c r="P26" i="21"/>
  <c r="S26" i="21"/>
  <c r="M26" i="21"/>
  <c r="N26" i="21"/>
  <c r="K26" i="21"/>
  <c r="L26" i="21"/>
  <c r="P32" i="20"/>
  <c r="R32" i="20"/>
  <c r="S32" i="20"/>
  <c r="Q32" i="20"/>
  <c r="K33" i="25"/>
  <c r="L33" i="25"/>
  <c r="N33" i="25"/>
  <c r="M33" i="25"/>
  <c r="C28" i="22"/>
  <c r="B28" i="22"/>
  <c r="C29" i="25"/>
  <c r="B29" i="25"/>
  <c r="U32" i="16"/>
  <c r="X32" i="16"/>
  <c r="V32" i="16"/>
  <c r="W32" i="16"/>
  <c r="Q28" i="20"/>
  <c r="R28" i="20"/>
  <c r="P28" i="20"/>
  <c r="S28" i="20"/>
  <c r="H26" i="22"/>
  <c r="J26" i="22"/>
  <c r="F26" i="22"/>
  <c r="G26" i="22"/>
  <c r="I26" i="22"/>
  <c r="C7" i="17"/>
  <c r="H28" i="21"/>
  <c r="J28" i="21"/>
  <c r="G28" i="21"/>
  <c r="F28" i="21"/>
  <c r="I28" i="21"/>
  <c r="I33" i="20"/>
  <c r="J33" i="20"/>
  <c r="G33" i="20"/>
  <c r="F33" i="20"/>
  <c r="H33" i="20"/>
  <c r="AC32" i="24"/>
  <c r="AB32" i="24"/>
  <c r="AA32" i="24"/>
  <c r="Z32" i="24"/>
  <c r="D35" i="20"/>
  <c r="E35" i="20"/>
  <c r="I34" i="25"/>
  <c r="H34" i="25"/>
  <c r="J34" i="25"/>
  <c r="G34" i="25"/>
  <c r="F34" i="25"/>
  <c r="Z25" i="25"/>
  <c r="AC25" i="25"/>
  <c r="AB25" i="25"/>
  <c r="AA25" i="25"/>
  <c r="V25" i="25"/>
  <c r="U25" i="25"/>
  <c r="X25" i="25"/>
  <c r="W25" i="25"/>
  <c r="E29" i="21" l="1"/>
  <c r="Q26" i="25"/>
  <c r="R26" i="25"/>
  <c r="P26" i="25"/>
  <c r="S26" i="25"/>
  <c r="AB26" i="21"/>
  <c r="D29" i="21"/>
  <c r="AC27" i="20"/>
  <c r="Z27" i="20"/>
  <c r="AA27" i="20"/>
  <c r="AB27" i="20"/>
  <c r="Q26" i="21"/>
  <c r="Z26" i="21"/>
  <c r="Q26" i="16"/>
  <c r="W26" i="21"/>
  <c r="E28" i="24"/>
  <c r="H28" i="24" s="1"/>
  <c r="V28" i="24" s="1"/>
  <c r="AC26" i="21"/>
  <c r="U26" i="21"/>
  <c r="C36" i="23"/>
  <c r="B36" i="23"/>
  <c r="E40" i="22"/>
  <c r="D40" i="22"/>
  <c r="J34" i="23"/>
  <c r="H34" i="23"/>
  <c r="G34" i="23"/>
  <c r="I34" i="23"/>
  <c r="F34" i="23"/>
  <c r="I39" i="22"/>
  <c r="F39" i="22"/>
  <c r="H39" i="22"/>
  <c r="J39" i="22"/>
  <c r="G39" i="22"/>
  <c r="D35" i="23"/>
  <c r="E35" i="23"/>
  <c r="C41" i="22"/>
  <c r="B41" i="22"/>
  <c r="E35" i="16"/>
  <c r="D35" i="16"/>
  <c r="H34" i="16"/>
  <c r="G34" i="16"/>
  <c r="J34" i="16"/>
  <c r="F34" i="16"/>
  <c r="I34" i="16"/>
  <c r="B36" i="16"/>
  <c r="C36" i="16"/>
  <c r="X26" i="23"/>
  <c r="V26" i="23"/>
  <c r="W26" i="23"/>
  <c r="U26" i="23"/>
  <c r="Q33" i="21"/>
  <c r="P33" i="21"/>
  <c r="S33" i="21"/>
  <c r="R33" i="21"/>
  <c r="B29" i="2"/>
  <c r="C29" i="2"/>
  <c r="D9" i="7"/>
  <c r="F34" i="21"/>
  <c r="I34" i="21"/>
  <c r="G34" i="21"/>
  <c r="J34" i="21"/>
  <c r="H34" i="21"/>
  <c r="N26" i="24"/>
  <c r="L26" i="24"/>
  <c r="K26" i="24"/>
  <c r="M26" i="24"/>
  <c r="S26" i="2"/>
  <c r="P7" i="7" s="1"/>
  <c r="O7" i="7" s="1"/>
  <c r="P26" i="2"/>
  <c r="G7" i="7" s="1"/>
  <c r="F7" i="7" s="1"/>
  <c r="R26" i="2"/>
  <c r="M7" i="7" s="1"/>
  <c r="L7" i="7" s="1"/>
  <c r="Q26" i="2"/>
  <c r="J7" i="7" s="1"/>
  <c r="I7" i="7" s="1"/>
  <c r="C16" i="7"/>
  <c r="D35" i="2"/>
  <c r="E35" i="2"/>
  <c r="AB26" i="2"/>
  <c r="AC26" i="2"/>
  <c r="AA26" i="2"/>
  <c r="Z26" i="2"/>
  <c r="K26" i="2"/>
  <c r="M26" i="2"/>
  <c r="L26" i="2"/>
  <c r="N26" i="2"/>
  <c r="G27" i="2"/>
  <c r="H27" i="2"/>
  <c r="J27" i="2"/>
  <c r="I27" i="2"/>
  <c r="F27" i="2"/>
  <c r="D35" i="21"/>
  <c r="E35" i="21"/>
  <c r="U33" i="2"/>
  <c r="T14" i="7" s="1"/>
  <c r="S14" i="7" s="1"/>
  <c r="W33" i="2"/>
  <c r="Z14" i="7" s="1"/>
  <c r="Y14" i="7" s="1"/>
  <c r="V33" i="2"/>
  <c r="W14" i="7" s="1"/>
  <c r="V14" i="7" s="1"/>
  <c r="X33" i="2"/>
  <c r="AC14" i="7" s="1"/>
  <c r="AB14" i="7" s="1"/>
  <c r="Q26" i="23"/>
  <c r="P26" i="23"/>
  <c r="R26" i="23"/>
  <c r="S26" i="23"/>
  <c r="F27" i="24"/>
  <c r="J27" i="24"/>
  <c r="H27" i="24"/>
  <c r="G27" i="24"/>
  <c r="I27" i="24"/>
  <c r="C9" i="7"/>
  <c r="D28" i="2"/>
  <c r="E28" i="2"/>
  <c r="Z26" i="24"/>
  <c r="AB26" i="24"/>
  <c r="AA26" i="24"/>
  <c r="AC26" i="24"/>
  <c r="W26" i="2"/>
  <c r="Z7" i="7" s="1"/>
  <c r="Y7" i="7" s="1"/>
  <c r="X26" i="2"/>
  <c r="AC7" i="7" s="1"/>
  <c r="AB7" i="7" s="1"/>
  <c r="V26" i="2"/>
  <c r="W7" i="7" s="1"/>
  <c r="V7" i="7" s="1"/>
  <c r="U26" i="2"/>
  <c r="T7" i="7" s="1"/>
  <c r="S7" i="7" s="1"/>
  <c r="E28" i="23"/>
  <c r="D28" i="23"/>
  <c r="M33" i="2"/>
  <c r="L33" i="2"/>
  <c r="N33" i="2"/>
  <c r="K33" i="2"/>
  <c r="N26" i="23"/>
  <c r="K26" i="23"/>
  <c r="M26" i="23"/>
  <c r="L26" i="23"/>
  <c r="AC33" i="21"/>
  <c r="AB33" i="21"/>
  <c r="AA33" i="21"/>
  <c r="Z33" i="21"/>
  <c r="J28" i="24"/>
  <c r="AB28" i="24" s="1"/>
  <c r="B29" i="23"/>
  <c r="C29" i="23"/>
  <c r="Q33" i="2"/>
  <c r="J14" i="7" s="1"/>
  <c r="I14" i="7" s="1"/>
  <c r="S33" i="2"/>
  <c r="P14" i="7" s="1"/>
  <c r="O14" i="7" s="1"/>
  <c r="R33" i="2"/>
  <c r="M14" i="7" s="1"/>
  <c r="L14" i="7" s="1"/>
  <c r="P33" i="2"/>
  <c r="G14" i="7" s="1"/>
  <c r="F14" i="7" s="1"/>
  <c r="C8" i="17"/>
  <c r="F27" i="23"/>
  <c r="I27" i="23"/>
  <c r="H27" i="23"/>
  <c r="G27" i="23"/>
  <c r="J27" i="23"/>
  <c r="I34" i="2"/>
  <c r="F34" i="2"/>
  <c r="G34" i="2"/>
  <c r="J34" i="2"/>
  <c r="H34" i="2"/>
  <c r="D28" i="24"/>
  <c r="C29" i="24"/>
  <c r="B29" i="24"/>
  <c r="C36" i="21"/>
  <c r="B36" i="21"/>
  <c r="AC33" i="2"/>
  <c r="AB33" i="2"/>
  <c r="Z33" i="2"/>
  <c r="AA33" i="2"/>
  <c r="B36" i="2"/>
  <c r="C36" i="2"/>
  <c r="D16" i="7"/>
  <c r="AA26" i="23"/>
  <c r="AB26" i="23"/>
  <c r="AC26" i="23"/>
  <c r="Z26" i="23"/>
  <c r="L33" i="21"/>
  <c r="K33" i="21"/>
  <c r="M33" i="21"/>
  <c r="N33" i="21"/>
  <c r="V33" i="21"/>
  <c r="U33" i="21"/>
  <c r="X33" i="21"/>
  <c r="W33" i="21"/>
  <c r="U26" i="24"/>
  <c r="V26" i="24"/>
  <c r="X26" i="24"/>
  <c r="W26" i="24"/>
  <c r="R26" i="24"/>
  <c r="P26" i="24"/>
  <c r="Q26" i="24"/>
  <c r="S26" i="24"/>
  <c r="Z34" i="25"/>
  <c r="AA34" i="25"/>
  <c r="AB34" i="25"/>
  <c r="AC34" i="25"/>
  <c r="P28" i="21"/>
  <c r="R28" i="21"/>
  <c r="Q28" i="21"/>
  <c r="S28" i="21"/>
  <c r="D29" i="25"/>
  <c r="E29" i="25"/>
  <c r="N30" i="20"/>
  <c r="L30" i="20"/>
  <c r="K30" i="20"/>
  <c r="M30" i="20"/>
  <c r="I34" i="24"/>
  <c r="J34" i="24"/>
  <c r="H34" i="24"/>
  <c r="F34" i="24"/>
  <c r="G34" i="24"/>
  <c r="W33" i="20"/>
  <c r="U33" i="20"/>
  <c r="X33" i="20"/>
  <c r="V33" i="20"/>
  <c r="AA28" i="21"/>
  <c r="AB28" i="21"/>
  <c r="AC28" i="21"/>
  <c r="Z28" i="21"/>
  <c r="C30" i="25"/>
  <c r="B31" i="25" s="1"/>
  <c r="B30" i="25"/>
  <c r="AB33" i="24"/>
  <c r="Z33" i="24"/>
  <c r="AC33" i="24"/>
  <c r="AA33" i="24"/>
  <c r="N27" i="21"/>
  <c r="M27" i="21"/>
  <c r="K27" i="21"/>
  <c r="L27" i="21"/>
  <c r="E30" i="21"/>
  <c r="D30" i="21"/>
  <c r="V27" i="25"/>
  <c r="U27" i="25"/>
  <c r="W27" i="25"/>
  <c r="X27" i="25"/>
  <c r="X31" i="20"/>
  <c r="U31" i="20"/>
  <c r="V31" i="20"/>
  <c r="W31" i="20"/>
  <c r="AB31" i="20"/>
  <c r="AA31" i="20"/>
  <c r="AC31" i="20"/>
  <c r="Z31" i="20"/>
  <c r="I27" i="22"/>
  <c r="F27" i="22"/>
  <c r="J27" i="22"/>
  <c r="H27" i="22"/>
  <c r="G27" i="22"/>
  <c r="F28" i="16"/>
  <c r="J28" i="16"/>
  <c r="G28" i="16"/>
  <c r="H28" i="16"/>
  <c r="I28" i="16"/>
  <c r="N34" i="25"/>
  <c r="M34" i="25"/>
  <c r="K34" i="25"/>
  <c r="L34" i="25"/>
  <c r="M33" i="20"/>
  <c r="N33" i="20"/>
  <c r="K33" i="20"/>
  <c r="L33" i="20"/>
  <c r="V28" i="21"/>
  <c r="W28" i="21"/>
  <c r="U28" i="21"/>
  <c r="X28" i="21"/>
  <c r="V26" i="22"/>
  <c r="X26" i="22"/>
  <c r="U26" i="22"/>
  <c r="W26" i="22"/>
  <c r="D28" i="22"/>
  <c r="E28" i="22"/>
  <c r="S30" i="20"/>
  <c r="P30" i="20"/>
  <c r="R30" i="20"/>
  <c r="Q30" i="20"/>
  <c r="X28" i="24"/>
  <c r="S33" i="24"/>
  <c r="Q33" i="24"/>
  <c r="P33" i="24"/>
  <c r="R33" i="24"/>
  <c r="E31" i="21"/>
  <c r="D31" i="21"/>
  <c r="AA29" i="20"/>
  <c r="Z29" i="20"/>
  <c r="AB29" i="20"/>
  <c r="AC29" i="20"/>
  <c r="AA27" i="25"/>
  <c r="Z27" i="25"/>
  <c r="AB27" i="25"/>
  <c r="AC27" i="25"/>
  <c r="S31" i="20"/>
  <c r="P31" i="20"/>
  <c r="R31" i="20"/>
  <c r="Q31" i="20"/>
  <c r="N34" i="20"/>
  <c r="K34" i="20"/>
  <c r="L34" i="20"/>
  <c r="M34" i="20"/>
  <c r="P34" i="20"/>
  <c r="S34" i="20"/>
  <c r="Q34" i="20"/>
  <c r="R34" i="20"/>
  <c r="K37" i="22"/>
  <c r="N37" i="22"/>
  <c r="L37" i="22"/>
  <c r="M37" i="22"/>
  <c r="R27" i="16"/>
  <c r="P27" i="16"/>
  <c r="Q27" i="16"/>
  <c r="S27" i="16"/>
  <c r="G29" i="21"/>
  <c r="H29" i="21"/>
  <c r="I29" i="21"/>
  <c r="J29" i="21"/>
  <c r="F29" i="21"/>
  <c r="L26" i="22"/>
  <c r="N26" i="22"/>
  <c r="K26" i="22"/>
  <c r="M26" i="22"/>
  <c r="AC28" i="24"/>
  <c r="U34" i="25"/>
  <c r="W34" i="25"/>
  <c r="X34" i="25"/>
  <c r="V34" i="25"/>
  <c r="AC26" i="22"/>
  <c r="AA26" i="22"/>
  <c r="Z26" i="22"/>
  <c r="AB26" i="22"/>
  <c r="X30" i="20"/>
  <c r="V30" i="20"/>
  <c r="W30" i="20"/>
  <c r="U30" i="20"/>
  <c r="U29" i="20"/>
  <c r="V29" i="20"/>
  <c r="W29" i="20"/>
  <c r="X29" i="20"/>
  <c r="Z34" i="20"/>
  <c r="AC34" i="20"/>
  <c r="AA34" i="20"/>
  <c r="AB34" i="20"/>
  <c r="AB27" i="16"/>
  <c r="Z27" i="16"/>
  <c r="AC27" i="16"/>
  <c r="AA27" i="16"/>
  <c r="R34" i="25"/>
  <c r="P34" i="25"/>
  <c r="S34" i="25"/>
  <c r="Q34" i="25"/>
  <c r="I35" i="20"/>
  <c r="H35" i="20"/>
  <c r="G35" i="20"/>
  <c r="J35" i="20"/>
  <c r="F35" i="20"/>
  <c r="Q33" i="20"/>
  <c r="R33" i="20"/>
  <c r="P33" i="20"/>
  <c r="S33" i="20"/>
  <c r="N28" i="21"/>
  <c r="K28" i="21"/>
  <c r="L28" i="21"/>
  <c r="M28" i="21"/>
  <c r="P26" i="22"/>
  <c r="S26" i="22"/>
  <c r="R26" i="22"/>
  <c r="Q26" i="22"/>
  <c r="B29" i="22"/>
  <c r="C29" i="22"/>
  <c r="AC30" i="20"/>
  <c r="Z30" i="20"/>
  <c r="AB30" i="20"/>
  <c r="AA30" i="20"/>
  <c r="C37" i="25"/>
  <c r="B37" i="25"/>
  <c r="K33" i="24"/>
  <c r="L33" i="24"/>
  <c r="M33" i="24"/>
  <c r="N33" i="24"/>
  <c r="X33" i="24"/>
  <c r="V33" i="24"/>
  <c r="U33" i="24"/>
  <c r="W33" i="24"/>
  <c r="AC27" i="21"/>
  <c r="Z27" i="21"/>
  <c r="AB27" i="21"/>
  <c r="AA27" i="21"/>
  <c r="D29" i="16"/>
  <c r="E29" i="16"/>
  <c r="K29" i="20"/>
  <c r="L29" i="20"/>
  <c r="M29" i="20"/>
  <c r="N29" i="20"/>
  <c r="S29" i="20"/>
  <c r="R29" i="20"/>
  <c r="P29" i="20"/>
  <c r="Q29" i="20"/>
  <c r="H35" i="25"/>
  <c r="G35" i="25"/>
  <c r="J35" i="25"/>
  <c r="F35" i="25"/>
  <c r="I35" i="25"/>
  <c r="N31" i="20"/>
  <c r="L31" i="20"/>
  <c r="K31" i="20"/>
  <c r="M31" i="20"/>
  <c r="I28" i="25"/>
  <c r="F28" i="25"/>
  <c r="H28" i="25"/>
  <c r="J28" i="25"/>
  <c r="G28" i="25"/>
  <c r="W34" i="20"/>
  <c r="U34" i="20"/>
  <c r="V34" i="20"/>
  <c r="X34" i="20"/>
  <c r="AA37" i="22"/>
  <c r="AB37" i="22"/>
  <c r="Z37" i="22"/>
  <c r="AC37" i="22"/>
  <c r="R37" i="22"/>
  <c r="S37" i="22"/>
  <c r="Q37" i="22"/>
  <c r="P37" i="22"/>
  <c r="C37" i="20"/>
  <c r="B37" i="20"/>
  <c r="B9" i="17"/>
  <c r="A10" i="17" s="1"/>
  <c r="E35" i="24"/>
  <c r="D35" i="24"/>
  <c r="AA33" i="20"/>
  <c r="AB33" i="20"/>
  <c r="Z33" i="20"/>
  <c r="AC33" i="20"/>
  <c r="D36" i="25"/>
  <c r="E36" i="25"/>
  <c r="U27" i="21"/>
  <c r="W27" i="21"/>
  <c r="V27" i="21"/>
  <c r="X27" i="21"/>
  <c r="P27" i="21"/>
  <c r="R27" i="21"/>
  <c r="Q27" i="21"/>
  <c r="S27" i="21"/>
  <c r="B30" i="16"/>
  <c r="C30" i="16"/>
  <c r="B31" i="16" s="1"/>
  <c r="Q27" i="25"/>
  <c r="P27" i="25"/>
  <c r="S27" i="25"/>
  <c r="R27" i="25"/>
  <c r="K27" i="25"/>
  <c r="L27" i="25"/>
  <c r="N27" i="25"/>
  <c r="M27" i="25"/>
  <c r="W37" i="22"/>
  <c r="U37" i="22"/>
  <c r="X37" i="22"/>
  <c r="V37" i="22"/>
  <c r="U27" i="16"/>
  <c r="X27" i="16"/>
  <c r="W27" i="16"/>
  <c r="V27" i="16"/>
  <c r="L27" i="16"/>
  <c r="M27" i="16"/>
  <c r="N27" i="16"/>
  <c r="K27" i="16"/>
  <c r="E36" i="20"/>
  <c r="D36" i="20"/>
  <c r="C36" i="24"/>
  <c r="B36" i="24"/>
  <c r="Z28" i="24" l="1"/>
  <c r="AA28" i="24"/>
  <c r="F28" i="24"/>
  <c r="M28" i="24" s="1"/>
  <c r="U28" i="24"/>
  <c r="I28" i="24"/>
  <c r="W28" i="24"/>
  <c r="G28" i="24"/>
  <c r="R28" i="24" s="1"/>
  <c r="K28" i="24"/>
  <c r="U39" i="22"/>
  <c r="V39" i="22"/>
  <c r="X39" i="22"/>
  <c r="W39" i="22"/>
  <c r="D41" i="22"/>
  <c r="E41" i="22"/>
  <c r="Q34" i="23"/>
  <c r="S34" i="23"/>
  <c r="P34" i="23"/>
  <c r="R34" i="23"/>
  <c r="C42" i="22"/>
  <c r="B42" i="22"/>
  <c r="P39" i="22"/>
  <c r="S39" i="22"/>
  <c r="Q39" i="22"/>
  <c r="R39" i="22"/>
  <c r="X34" i="23"/>
  <c r="U34" i="23"/>
  <c r="V34" i="23"/>
  <c r="W34" i="23"/>
  <c r="E36" i="23"/>
  <c r="D36" i="23"/>
  <c r="K39" i="22"/>
  <c r="M39" i="22"/>
  <c r="N39" i="22"/>
  <c r="L39" i="22"/>
  <c r="F40" i="22"/>
  <c r="J40" i="22"/>
  <c r="I40" i="22"/>
  <c r="G40" i="22"/>
  <c r="H40" i="22"/>
  <c r="F35" i="23"/>
  <c r="I35" i="23"/>
  <c r="H35" i="23"/>
  <c r="G35" i="23"/>
  <c r="J35" i="23"/>
  <c r="Z39" i="22"/>
  <c r="AC39" i="22"/>
  <c r="AA39" i="22"/>
  <c r="AB39" i="22"/>
  <c r="K34" i="23"/>
  <c r="M34" i="23"/>
  <c r="N34" i="23"/>
  <c r="L34" i="23"/>
  <c r="Z34" i="23"/>
  <c r="AC34" i="23"/>
  <c r="AA34" i="23"/>
  <c r="AB34" i="23"/>
  <c r="B37" i="23"/>
  <c r="C37" i="23"/>
  <c r="D36" i="2"/>
  <c r="C17" i="7"/>
  <c r="E36" i="2"/>
  <c r="D29" i="24"/>
  <c r="E29" i="24"/>
  <c r="Z34" i="2"/>
  <c r="AA34" i="2"/>
  <c r="AC34" i="2"/>
  <c r="AB34" i="2"/>
  <c r="Z27" i="23"/>
  <c r="AA27" i="23"/>
  <c r="AB27" i="23"/>
  <c r="AC27" i="23"/>
  <c r="L27" i="23"/>
  <c r="M27" i="23"/>
  <c r="N27" i="23"/>
  <c r="K27" i="23"/>
  <c r="E29" i="23"/>
  <c r="D29" i="23"/>
  <c r="G28" i="2"/>
  <c r="F28" i="2"/>
  <c r="J28" i="2"/>
  <c r="H28" i="2"/>
  <c r="I28" i="2"/>
  <c r="R27" i="24"/>
  <c r="S27" i="24"/>
  <c r="Q27" i="24"/>
  <c r="P27" i="24"/>
  <c r="L27" i="2"/>
  <c r="N27" i="2"/>
  <c r="K27" i="2"/>
  <c r="M27" i="2"/>
  <c r="S27" i="2"/>
  <c r="P8" i="7" s="1"/>
  <c r="O8" i="7" s="1"/>
  <c r="P27" i="2"/>
  <c r="G8" i="7" s="1"/>
  <c r="F8" i="7" s="1"/>
  <c r="R27" i="2"/>
  <c r="M8" i="7" s="1"/>
  <c r="L8" i="7" s="1"/>
  <c r="Q27" i="2"/>
  <c r="J8" i="7" s="1"/>
  <c r="I8" i="7" s="1"/>
  <c r="C10" i="7"/>
  <c r="D29" i="2"/>
  <c r="E29" i="2"/>
  <c r="L34" i="16"/>
  <c r="M34" i="16"/>
  <c r="N34" i="16"/>
  <c r="K34" i="16"/>
  <c r="C37" i="21"/>
  <c r="B37" i="21"/>
  <c r="W34" i="2"/>
  <c r="Z15" i="7" s="1"/>
  <c r="Y15" i="7" s="1"/>
  <c r="X34" i="2"/>
  <c r="AC15" i="7" s="1"/>
  <c r="AB15" i="7" s="1"/>
  <c r="V34" i="2"/>
  <c r="W15" i="7" s="1"/>
  <c r="V15" i="7" s="1"/>
  <c r="U34" i="2"/>
  <c r="T15" i="7" s="1"/>
  <c r="S15" i="7" s="1"/>
  <c r="B30" i="23"/>
  <c r="C30" i="23"/>
  <c r="B31" i="23" s="1"/>
  <c r="N27" i="24"/>
  <c r="L27" i="24"/>
  <c r="K27" i="24"/>
  <c r="M27" i="24"/>
  <c r="B30" i="24"/>
  <c r="C30" i="24"/>
  <c r="B31" i="24" s="1"/>
  <c r="Q34" i="2"/>
  <c r="J15" i="7" s="1"/>
  <c r="I15" i="7" s="1"/>
  <c r="R34" i="2"/>
  <c r="M15" i="7" s="1"/>
  <c r="L15" i="7" s="1"/>
  <c r="S34" i="2"/>
  <c r="P15" i="7" s="1"/>
  <c r="O15" i="7" s="1"/>
  <c r="P34" i="2"/>
  <c r="G15" i="7" s="1"/>
  <c r="F15" i="7" s="1"/>
  <c r="P27" i="23"/>
  <c r="Q27" i="23"/>
  <c r="S27" i="23"/>
  <c r="R27" i="23"/>
  <c r="V27" i="24"/>
  <c r="U27" i="24"/>
  <c r="X27" i="24"/>
  <c r="W27" i="24"/>
  <c r="V34" i="21"/>
  <c r="U34" i="21"/>
  <c r="X34" i="21"/>
  <c r="W34" i="21"/>
  <c r="K34" i="21"/>
  <c r="N34" i="21"/>
  <c r="L34" i="21"/>
  <c r="M34" i="21"/>
  <c r="B37" i="16"/>
  <c r="C37" i="16"/>
  <c r="AC34" i="16"/>
  <c r="AB34" i="16"/>
  <c r="AA34" i="16"/>
  <c r="Z34" i="16"/>
  <c r="H28" i="23"/>
  <c r="J28" i="23"/>
  <c r="G28" i="23"/>
  <c r="F28" i="23"/>
  <c r="I28" i="23"/>
  <c r="U27" i="2"/>
  <c r="T8" i="7" s="1"/>
  <c r="S8" i="7" s="1"/>
  <c r="X27" i="2"/>
  <c r="AC8" i="7" s="1"/>
  <c r="AB8" i="7" s="1"/>
  <c r="W27" i="2"/>
  <c r="Z8" i="7" s="1"/>
  <c r="Y8" i="7" s="1"/>
  <c r="V27" i="2"/>
  <c r="W8" i="7" s="1"/>
  <c r="V8" i="7" s="1"/>
  <c r="Q34" i="21"/>
  <c r="R34" i="21"/>
  <c r="P34" i="21"/>
  <c r="S34" i="21"/>
  <c r="B30" i="2"/>
  <c r="D10" i="7"/>
  <c r="C30" i="2"/>
  <c r="X34" i="16"/>
  <c r="V34" i="16"/>
  <c r="U34" i="16"/>
  <c r="W34" i="16"/>
  <c r="B37" i="2"/>
  <c r="C37" i="2"/>
  <c r="D17" i="7"/>
  <c r="E36" i="21"/>
  <c r="D36" i="21"/>
  <c r="L34" i="2"/>
  <c r="K34" i="2"/>
  <c r="N34" i="2"/>
  <c r="M34" i="2"/>
  <c r="V27" i="23"/>
  <c r="W27" i="23"/>
  <c r="U27" i="23"/>
  <c r="X27" i="23"/>
  <c r="AA27" i="24"/>
  <c r="AB27" i="24"/>
  <c r="Z27" i="24"/>
  <c r="AC27" i="24"/>
  <c r="I35" i="21"/>
  <c r="F35" i="21"/>
  <c r="J35" i="21"/>
  <c r="G35" i="21"/>
  <c r="H35" i="21"/>
  <c r="AB27" i="2"/>
  <c r="AC27" i="2"/>
  <c r="AA27" i="2"/>
  <c r="Z27" i="2"/>
  <c r="J35" i="2"/>
  <c r="G35" i="2"/>
  <c r="I35" i="2"/>
  <c r="F35" i="2"/>
  <c r="H35" i="2"/>
  <c r="AB34" i="21"/>
  <c r="Z34" i="21"/>
  <c r="AC34" i="21"/>
  <c r="AA34" i="21"/>
  <c r="E36" i="16"/>
  <c r="D36" i="16"/>
  <c r="Q34" i="16"/>
  <c r="P34" i="16"/>
  <c r="R34" i="16"/>
  <c r="S34" i="16"/>
  <c r="I35" i="16"/>
  <c r="J35" i="16"/>
  <c r="F35" i="16"/>
  <c r="H35" i="16"/>
  <c r="G35" i="16"/>
  <c r="E37" i="20"/>
  <c r="D37" i="20"/>
  <c r="N35" i="20"/>
  <c r="L35" i="20"/>
  <c r="M35" i="20"/>
  <c r="K35" i="20"/>
  <c r="Z28" i="16"/>
  <c r="AC28" i="16"/>
  <c r="AA28" i="16"/>
  <c r="AB28" i="16"/>
  <c r="E36" i="24"/>
  <c r="D36" i="24"/>
  <c r="E30" i="16"/>
  <c r="D30" i="16"/>
  <c r="J35" i="24"/>
  <c r="I35" i="24"/>
  <c r="F35" i="24"/>
  <c r="G35" i="24"/>
  <c r="H35" i="24"/>
  <c r="B38" i="20"/>
  <c r="C38" i="20"/>
  <c r="AA28" i="25"/>
  <c r="AC28" i="25"/>
  <c r="Z28" i="25"/>
  <c r="AB28" i="25"/>
  <c r="V35" i="25"/>
  <c r="U35" i="25"/>
  <c r="X35" i="25"/>
  <c r="W35" i="25"/>
  <c r="G29" i="16"/>
  <c r="F29" i="16"/>
  <c r="I29" i="16"/>
  <c r="J29" i="16"/>
  <c r="H29" i="16"/>
  <c r="B38" i="25"/>
  <c r="C38" i="25"/>
  <c r="AA35" i="20"/>
  <c r="AC35" i="20"/>
  <c r="AB35" i="20"/>
  <c r="Z35" i="20"/>
  <c r="N28" i="16"/>
  <c r="K28" i="16"/>
  <c r="L28" i="16"/>
  <c r="M28" i="16"/>
  <c r="U27" i="22"/>
  <c r="X27" i="22"/>
  <c r="W27" i="22"/>
  <c r="V27" i="22"/>
  <c r="E30" i="25"/>
  <c r="D30" i="25"/>
  <c r="X34" i="24"/>
  <c r="W34" i="24"/>
  <c r="V34" i="24"/>
  <c r="U34" i="24"/>
  <c r="D31" i="16"/>
  <c r="E31" i="16"/>
  <c r="AA29" i="21"/>
  <c r="AC29" i="21"/>
  <c r="Z29" i="21"/>
  <c r="AB29" i="21"/>
  <c r="R27" i="22"/>
  <c r="P27" i="22"/>
  <c r="S27" i="22"/>
  <c r="Q27" i="22"/>
  <c r="K34" i="24"/>
  <c r="L34" i="24"/>
  <c r="M34" i="24"/>
  <c r="N34" i="24"/>
  <c r="J29" i="25"/>
  <c r="F29" i="25"/>
  <c r="H29" i="25"/>
  <c r="G29" i="25"/>
  <c r="I29" i="25"/>
  <c r="B37" i="24"/>
  <c r="C37" i="24"/>
  <c r="G36" i="25"/>
  <c r="F36" i="25"/>
  <c r="H36" i="25"/>
  <c r="J36" i="25"/>
  <c r="I36" i="25"/>
  <c r="C9" i="17"/>
  <c r="V28" i="25"/>
  <c r="U28" i="25"/>
  <c r="X28" i="25"/>
  <c r="W28" i="25"/>
  <c r="M35" i="25"/>
  <c r="K35" i="25"/>
  <c r="L35" i="25"/>
  <c r="N35" i="25"/>
  <c r="C30" i="22"/>
  <c r="B31" i="22" s="1"/>
  <c r="B30" i="22"/>
  <c r="Q35" i="20"/>
  <c r="S35" i="20"/>
  <c r="R35" i="20"/>
  <c r="P35" i="20"/>
  <c r="W29" i="21"/>
  <c r="U29" i="21"/>
  <c r="X29" i="21"/>
  <c r="V29" i="21"/>
  <c r="W28" i="16"/>
  <c r="U28" i="16"/>
  <c r="V28" i="16"/>
  <c r="X28" i="16"/>
  <c r="AB27" i="22"/>
  <c r="AC27" i="22"/>
  <c r="AA27" i="22"/>
  <c r="Z27" i="22"/>
  <c r="J30" i="21"/>
  <c r="H30" i="21"/>
  <c r="I30" i="21"/>
  <c r="F30" i="21"/>
  <c r="G30" i="21"/>
  <c r="E31" i="25"/>
  <c r="D31" i="25"/>
  <c r="AC34" i="24"/>
  <c r="AB34" i="24"/>
  <c r="Z34" i="24"/>
  <c r="AA34" i="24"/>
  <c r="J36" i="20"/>
  <c r="H36" i="20"/>
  <c r="F36" i="20"/>
  <c r="I36" i="20"/>
  <c r="G36" i="20"/>
  <c r="Q28" i="25"/>
  <c r="P28" i="25"/>
  <c r="S28" i="25"/>
  <c r="R28" i="25"/>
  <c r="P35" i="25"/>
  <c r="S35" i="25"/>
  <c r="Q35" i="25"/>
  <c r="R35" i="25"/>
  <c r="E37" i="25"/>
  <c r="D37" i="25"/>
  <c r="B10" i="17"/>
  <c r="A11" i="17" s="1"/>
  <c r="L28" i="25"/>
  <c r="K28" i="25"/>
  <c r="N28" i="25"/>
  <c r="M28" i="25"/>
  <c r="AB35" i="25"/>
  <c r="AC35" i="25"/>
  <c r="AA35" i="25"/>
  <c r="Z35" i="25"/>
  <c r="D29" i="22"/>
  <c r="E29" i="22"/>
  <c r="V35" i="20"/>
  <c r="X35" i="20"/>
  <c r="U35" i="20"/>
  <c r="W35" i="20"/>
  <c r="K29" i="21"/>
  <c r="L29" i="21"/>
  <c r="M29" i="21"/>
  <c r="N29" i="21"/>
  <c r="Q29" i="21"/>
  <c r="P29" i="21"/>
  <c r="R29" i="21"/>
  <c r="S29" i="21"/>
  <c r="G31" i="21"/>
  <c r="F31" i="21"/>
  <c r="J31" i="21"/>
  <c r="I31" i="21"/>
  <c r="H31" i="21"/>
  <c r="H28" i="22"/>
  <c r="G28" i="22"/>
  <c r="F28" i="22"/>
  <c r="J28" i="22"/>
  <c r="I28" i="22"/>
  <c r="P28" i="16"/>
  <c r="S28" i="16"/>
  <c r="Q28" i="16"/>
  <c r="R28" i="16"/>
  <c r="M27" i="22"/>
  <c r="N27" i="22"/>
  <c r="K27" i="22"/>
  <c r="L27" i="22"/>
  <c r="S34" i="24"/>
  <c r="P34" i="24"/>
  <c r="R34" i="24"/>
  <c r="Q34" i="24"/>
  <c r="Q28" i="24" l="1"/>
  <c r="P28" i="24"/>
  <c r="S28" i="24"/>
  <c r="N28" i="24"/>
  <c r="L28" i="24"/>
  <c r="R35" i="23"/>
  <c r="S35" i="23"/>
  <c r="P35" i="23"/>
  <c r="Q35" i="23"/>
  <c r="K40" i="22"/>
  <c r="L40" i="22"/>
  <c r="M40" i="22"/>
  <c r="N40" i="22"/>
  <c r="C38" i="23"/>
  <c r="B38" i="23"/>
  <c r="X35" i="23"/>
  <c r="W35" i="23"/>
  <c r="V35" i="23"/>
  <c r="U35" i="23"/>
  <c r="P40" i="22"/>
  <c r="Q40" i="22"/>
  <c r="R40" i="22"/>
  <c r="S40" i="22"/>
  <c r="D37" i="23"/>
  <c r="E37" i="23"/>
  <c r="F36" i="23"/>
  <c r="J36" i="23"/>
  <c r="G36" i="23"/>
  <c r="I36" i="23"/>
  <c r="H36" i="23"/>
  <c r="G41" i="22"/>
  <c r="H41" i="22"/>
  <c r="I41" i="22"/>
  <c r="F41" i="22"/>
  <c r="J41" i="22"/>
  <c r="W40" i="22"/>
  <c r="X40" i="22"/>
  <c r="U40" i="22"/>
  <c r="V40" i="22"/>
  <c r="C43" i="22"/>
  <c r="B43" i="22"/>
  <c r="AB35" i="23"/>
  <c r="AC35" i="23"/>
  <c r="Z35" i="23"/>
  <c r="AA35" i="23"/>
  <c r="N35" i="23"/>
  <c r="M35" i="23"/>
  <c r="L35" i="23"/>
  <c r="K35" i="23"/>
  <c r="AA40" i="22"/>
  <c r="Z40" i="22"/>
  <c r="AB40" i="22"/>
  <c r="AC40" i="22"/>
  <c r="E42" i="22"/>
  <c r="D42" i="22"/>
  <c r="Z35" i="21"/>
  <c r="AA35" i="21"/>
  <c r="AB35" i="21"/>
  <c r="AC35" i="21"/>
  <c r="Z35" i="16"/>
  <c r="AB35" i="16"/>
  <c r="AA35" i="16"/>
  <c r="AC35" i="16"/>
  <c r="X35" i="2"/>
  <c r="AC16" i="7" s="1"/>
  <c r="AB16" i="7" s="1"/>
  <c r="W35" i="2"/>
  <c r="Z16" i="7" s="1"/>
  <c r="Y16" i="7" s="1"/>
  <c r="U35" i="2"/>
  <c r="T16" i="7" s="1"/>
  <c r="S16" i="7" s="1"/>
  <c r="V35" i="2"/>
  <c r="W16" i="7" s="1"/>
  <c r="V16" i="7" s="1"/>
  <c r="Z35" i="2"/>
  <c r="AC35" i="2"/>
  <c r="AB35" i="2"/>
  <c r="AA35" i="2"/>
  <c r="M35" i="21"/>
  <c r="L35" i="21"/>
  <c r="N35" i="21"/>
  <c r="K35" i="21"/>
  <c r="Q28" i="23"/>
  <c r="R28" i="23"/>
  <c r="P28" i="23"/>
  <c r="S28" i="23"/>
  <c r="D37" i="16"/>
  <c r="E37" i="16"/>
  <c r="D37" i="21"/>
  <c r="E37" i="21"/>
  <c r="L28" i="2"/>
  <c r="M28" i="2"/>
  <c r="K28" i="2"/>
  <c r="N28" i="2"/>
  <c r="F29" i="24"/>
  <c r="G29" i="24"/>
  <c r="J29" i="24"/>
  <c r="H29" i="24"/>
  <c r="I29" i="24"/>
  <c r="H36" i="2"/>
  <c r="G36" i="2"/>
  <c r="I36" i="2"/>
  <c r="F36" i="2"/>
  <c r="J36" i="2"/>
  <c r="N35" i="16"/>
  <c r="M35" i="16"/>
  <c r="K35" i="16"/>
  <c r="L35" i="16"/>
  <c r="J36" i="16"/>
  <c r="I36" i="16"/>
  <c r="G36" i="16"/>
  <c r="H36" i="16"/>
  <c r="F36" i="16"/>
  <c r="B38" i="16"/>
  <c r="C38" i="16"/>
  <c r="AA28" i="2"/>
  <c r="AB28" i="2"/>
  <c r="AC28" i="2"/>
  <c r="Z28" i="2"/>
  <c r="H29" i="23"/>
  <c r="G29" i="23"/>
  <c r="I29" i="23"/>
  <c r="F29" i="23"/>
  <c r="J29" i="23"/>
  <c r="C10" i="17"/>
  <c r="P35" i="16"/>
  <c r="R35" i="16"/>
  <c r="Q35" i="16"/>
  <c r="S35" i="16"/>
  <c r="L35" i="2"/>
  <c r="K35" i="2"/>
  <c r="M35" i="2"/>
  <c r="N35" i="2"/>
  <c r="V35" i="21"/>
  <c r="X35" i="21"/>
  <c r="U35" i="21"/>
  <c r="W35" i="21"/>
  <c r="B38" i="2"/>
  <c r="D18" i="7"/>
  <c r="C38" i="2"/>
  <c r="C11" i="7"/>
  <c r="D30" i="2"/>
  <c r="E30" i="2"/>
  <c r="AB28" i="23"/>
  <c r="AC28" i="23"/>
  <c r="Z28" i="23"/>
  <c r="AA28" i="23"/>
  <c r="B38" i="21"/>
  <c r="C38" i="21"/>
  <c r="P28" i="2"/>
  <c r="G9" i="7" s="1"/>
  <c r="F9" i="7" s="1"/>
  <c r="Q28" i="2"/>
  <c r="J9" i="7" s="1"/>
  <c r="I9" i="7" s="1"/>
  <c r="R28" i="2"/>
  <c r="M9" i="7" s="1"/>
  <c r="L9" i="7" s="1"/>
  <c r="S28" i="2"/>
  <c r="P9" i="7" s="1"/>
  <c r="O9" i="7" s="1"/>
  <c r="Q35" i="2"/>
  <c r="J16" i="7" s="1"/>
  <c r="I16" i="7" s="1"/>
  <c r="R35" i="2"/>
  <c r="M16" i="7" s="1"/>
  <c r="L16" i="7" s="1"/>
  <c r="S35" i="2"/>
  <c r="P16" i="7" s="1"/>
  <c r="O16" i="7" s="1"/>
  <c r="P35" i="2"/>
  <c r="G16" i="7" s="1"/>
  <c r="F16" i="7" s="1"/>
  <c r="I36" i="21"/>
  <c r="H36" i="21"/>
  <c r="G36" i="21"/>
  <c r="F36" i="21"/>
  <c r="J36" i="21"/>
  <c r="B31" i="2"/>
  <c r="D11" i="7"/>
  <c r="M28" i="23"/>
  <c r="N28" i="23"/>
  <c r="K28" i="23"/>
  <c r="L28" i="23"/>
  <c r="D30" i="24"/>
  <c r="E30" i="24"/>
  <c r="D30" i="23"/>
  <c r="E30" i="23"/>
  <c r="X35" i="16"/>
  <c r="W35" i="16"/>
  <c r="U35" i="16"/>
  <c r="V35" i="16"/>
  <c r="R35" i="21"/>
  <c r="Q35" i="21"/>
  <c r="S35" i="21"/>
  <c r="P35" i="21"/>
  <c r="D37" i="2"/>
  <c r="C18" i="7"/>
  <c r="E37" i="2"/>
  <c r="X28" i="23"/>
  <c r="W28" i="23"/>
  <c r="V28" i="23"/>
  <c r="U28" i="23"/>
  <c r="D31" i="24"/>
  <c r="E31" i="24"/>
  <c r="E31" i="23"/>
  <c r="D31" i="23"/>
  <c r="F29" i="2"/>
  <c r="G29" i="2"/>
  <c r="I29" i="2"/>
  <c r="H29" i="2"/>
  <c r="J29" i="2"/>
  <c r="X28" i="2"/>
  <c r="AC9" i="7" s="1"/>
  <c r="AB9" i="7" s="1"/>
  <c r="V28" i="2"/>
  <c r="W9" i="7" s="1"/>
  <c r="V9" i="7" s="1"/>
  <c r="W28" i="2"/>
  <c r="Z9" i="7" s="1"/>
  <c r="Y9" i="7" s="1"/>
  <c r="U28" i="2"/>
  <c r="T9" i="7" s="1"/>
  <c r="S9" i="7" s="1"/>
  <c r="U30" i="21"/>
  <c r="W30" i="21"/>
  <c r="X30" i="21"/>
  <c r="V30" i="21"/>
  <c r="E31" i="22"/>
  <c r="D31" i="22"/>
  <c r="N28" i="22"/>
  <c r="K28" i="22"/>
  <c r="L28" i="22"/>
  <c r="M28" i="22"/>
  <c r="J29" i="22"/>
  <c r="G29" i="22"/>
  <c r="I29" i="22"/>
  <c r="H29" i="22"/>
  <c r="F29" i="22"/>
  <c r="I37" i="25"/>
  <c r="F37" i="25"/>
  <c r="H37" i="25"/>
  <c r="G37" i="25"/>
  <c r="J37" i="25"/>
  <c r="W36" i="20"/>
  <c r="X36" i="20"/>
  <c r="V36" i="20"/>
  <c r="U36" i="20"/>
  <c r="R30" i="21"/>
  <c r="Q30" i="21"/>
  <c r="S30" i="21"/>
  <c r="P30" i="21"/>
  <c r="Z30" i="21"/>
  <c r="AB30" i="21"/>
  <c r="AC30" i="21"/>
  <c r="AA30" i="21"/>
  <c r="K36" i="25"/>
  <c r="N36" i="25"/>
  <c r="L36" i="25"/>
  <c r="M36" i="25"/>
  <c r="C38" i="24"/>
  <c r="B38" i="24"/>
  <c r="X29" i="25"/>
  <c r="V29" i="25"/>
  <c r="U29" i="25"/>
  <c r="W29" i="25"/>
  <c r="H31" i="16"/>
  <c r="F31" i="16"/>
  <c r="J31" i="16"/>
  <c r="I31" i="16"/>
  <c r="G31" i="16"/>
  <c r="C39" i="25"/>
  <c r="B39" i="25"/>
  <c r="E38" i="20"/>
  <c r="D38" i="20"/>
  <c r="AB28" i="22"/>
  <c r="AC28" i="22"/>
  <c r="Z28" i="22"/>
  <c r="AA28" i="22"/>
  <c r="P31" i="21"/>
  <c r="R31" i="21"/>
  <c r="S31" i="21"/>
  <c r="Q31" i="21"/>
  <c r="I31" i="25"/>
  <c r="H31" i="25"/>
  <c r="G31" i="25"/>
  <c r="F31" i="25"/>
  <c r="J31" i="25"/>
  <c r="I30" i="25"/>
  <c r="F30" i="25"/>
  <c r="H30" i="25"/>
  <c r="G30" i="25"/>
  <c r="J30" i="25"/>
  <c r="F30" i="16"/>
  <c r="J30" i="16"/>
  <c r="I30" i="16"/>
  <c r="H30" i="16"/>
  <c r="G30" i="16"/>
  <c r="P28" i="22"/>
  <c r="Q28" i="22"/>
  <c r="R28" i="22"/>
  <c r="S28" i="22"/>
  <c r="AC31" i="21"/>
  <c r="Z31" i="21"/>
  <c r="AB31" i="21"/>
  <c r="AA31" i="21"/>
  <c r="Q36" i="20"/>
  <c r="P36" i="20"/>
  <c r="S36" i="20"/>
  <c r="R36" i="20"/>
  <c r="Z36" i="20"/>
  <c r="AC36" i="20"/>
  <c r="AA36" i="20"/>
  <c r="AB36" i="20"/>
  <c r="N30" i="21"/>
  <c r="L30" i="21"/>
  <c r="K30" i="21"/>
  <c r="M30" i="21"/>
  <c r="S36" i="25"/>
  <c r="Q36" i="25"/>
  <c r="P36" i="25"/>
  <c r="R36" i="25"/>
  <c r="D37" i="24"/>
  <c r="E37" i="24"/>
  <c r="K29" i="25"/>
  <c r="L29" i="25"/>
  <c r="M29" i="25"/>
  <c r="N29" i="25"/>
  <c r="E38" i="25"/>
  <c r="D38" i="25"/>
  <c r="L29" i="16"/>
  <c r="M29" i="16"/>
  <c r="N29" i="16"/>
  <c r="K29" i="16"/>
  <c r="U35" i="24"/>
  <c r="W35" i="24"/>
  <c r="V35" i="24"/>
  <c r="X35" i="24"/>
  <c r="AC35" i="24"/>
  <c r="AB35" i="24"/>
  <c r="Z35" i="24"/>
  <c r="AA35" i="24"/>
  <c r="I36" i="24"/>
  <c r="G36" i="24"/>
  <c r="J36" i="24"/>
  <c r="F36" i="24"/>
  <c r="H36" i="24"/>
  <c r="X31" i="21"/>
  <c r="V31" i="21"/>
  <c r="W31" i="21"/>
  <c r="U31" i="21"/>
  <c r="K36" i="20"/>
  <c r="L36" i="20"/>
  <c r="M36" i="20"/>
  <c r="N36" i="20"/>
  <c r="V36" i="25"/>
  <c r="U36" i="25"/>
  <c r="X36" i="25"/>
  <c r="W36" i="25"/>
  <c r="P29" i="25"/>
  <c r="Q29" i="25"/>
  <c r="S29" i="25"/>
  <c r="R29" i="25"/>
  <c r="AC29" i="16"/>
  <c r="AA29" i="16"/>
  <c r="AB29" i="16"/>
  <c r="Z29" i="16"/>
  <c r="C39" i="20"/>
  <c r="B39" i="20"/>
  <c r="L35" i="24"/>
  <c r="N35" i="24"/>
  <c r="M35" i="24"/>
  <c r="K35" i="24"/>
  <c r="X28" i="22"/>
  <c r="V28" i="22"/>
  <c r="W28" i="22"/>
  <c r="U28" i="22"/>
  <c r="N31" i="21"/>
  <c r="L31" i="21"/>
  <c r="K31" i="21"/>
  <c r="M31" i="21"/>
  <c r="B11" i="17"/>
  <c r="A12" i="17" s="1"/>
  <c r="D30" i="22"/>
  <c r="E30" i="22"/>
  <c r="AB36" i="25"/>
  <c r="Z36" i="25"/>
  <c r="AC36" i="25"/>
  <c r="AA36" i="25"/>
  <c r="Z29" i="25"/>
  <c r="AA29" i="25"/>
  <c r="AB29" i="25"/>
  <c r="AC29" i="25"/>
  <c r="X29" i="16"/>
  <c r="W29" i="16"/>
  <c r="V29" i="16"/>
  <c r="U29" i="16"/>
  <c r="R29" i="16"/>
  <c r="S29" i="16"/>
  <c r="P29" i="16"/>
  <c r="Q29" i="16"/>
  <c r="R35" i="24"/>
  <c r="P35" i="24"/>
  <c r="Q35" i="24"/>
  <c r="S35" i="24"/>
  <c r="I37" i="20"/>
  <c r="G37" i="20"/>
  <c r="H37" i="20"/>
  <c r="F37" i="20"/>
  <c r="J37" i="20"/>
  <c r="D43" i="22" l="1"/>
  <c r="E43" i="22"/>
  <c r="AC41" i="22"/>
  <c r="AB41" i="22"/>
  <c r="Z41" i="22"/>
  <c r="AA41" i="22"/>
  <c r="S41" i="22"/>
  <c r="P41" i="22"/>
  <c r="Q41" i="22"/>
  <c r="R41" i="22"/>
  <c r="AA36" i="23"/>
  <c r="AC36" i="23"/>
  <c r="AB36" i="23"/>
  <c r="Z36" i="23"/>
  <c r="D38" i="23"/>
  <c r="E38" i="23"/>
  <c r="G37" i="23"/>
  <c r="I37" i="23"/>
  <c r="F37" i="23"/>
  <c r="H37" i="23"/>
  <c r="J37" i="23"/>
  <c r="B44" i="22"/>
  <c r="C44" i="22"/>
  <c r="U41" i="22"/>
  <c r="V41" i="22"/>
  <c r="X41" i="22"/>
  <c r="W41" i="22"/>
  <c r="P36" i="23"/>
  <c r="Q36" i="23"/>
  <c r="S36" i="23"/>
  <c r="R36" i="23"/>
  <c r="F42" i="22"/>
  <c r="I42" i="22"/>
  <c r="J42" i="22"/>
  <c r="H42" i="22"/>
  <c r="G42" i="22"/>
  <c r="L41" i="22"/>
  <c r="M41" i="22"/>
  <c r="N41" i="22"/>
  <c r="K41" i="22"/>
  <c r="U36" i="23"/>
  <c r="X36" i="23"/>
  <c r="W36" i="23"/>
  <c r="V36" i="23"/>
  <c r="L36" i="23"/>
  <c r="M36" i="23"/>
  <c r="N36" i="23"/>
  <c r="K36" i="23"/>
  <c r="C39" i="23"/>
  <c r="B39" i="23"/>
  <c r="AA29" i="2"/>
  <c r="AC29" i="2"/>
  <c r="Z29" i="2"/>
  <c r="AB29" i="2"/>
  <c r="L29" i="2"/>
  <c r="M29" i="2"/>
  <c r="K29" i="2"/>
  <c r="N29" i="2"/>
  <c r="L36" i="21"/>
  <c r="K36" i="21"/>
  <c r="M36" i="21"/>
  <c r="N36" i="21"/>
  <c r="C39" i="21"/>
  <c r="B39" i="21"/>
  <c r="J30" i="2"/>
  <c r="G30" i="2"/>
  <c r="H30" i="2"/>
  <c r="I30" i="2"/>
  <c r="F30" i="2"/>
  <c r="K29" i="23"/>
  <c r="L29" i="23"/>
  <c r="M29" i="23"/>
  <c r="N29" i="23"/>
  <c r="C39" i="16"/>
  <c r="B39" i="16"/>
  <c r="P36" i="16"/>
  <c r="R36" i="16"/>
  <c r="Q36" i="16"/>
  <c r="S36" i="16"/>
  <c r="L36" i="2"/>
  <c r="K36" i="2"/>
  <c r="M36" i="2"/>
  <c r="N36" i="2"/>
  <c r="M29" i="24"/>
  <c r="K29" i="24"/>
  <c r="L29" i="24"/>
  <c r="N29" i="24"/>
  <c r="Q29" i="2"/>
  <c r="J10" i="7" s="1"/>
  <c r="I10" i="7" s="1"/>
  <c r="P29" i="2"/>
  <c r="G10" i="7" s="1"/>
  <c r="F10" i="7" s="1"/>
  <c r="S29" i="2"/>
  <c r="P10" i="7" s="1"/>
  <c r="O10" i="7" s="1"/>
  <c r="R29" i="2"/>
  <c r="M10" i="7" s="1"/>
  <c r="L10" i="7" s="1"/>
  <c r="I31" i="24"/>
  <c r="H31" i="24"/>
  <c r="J31" i="24"/>
  <c r="F31" i="24"/>
  <c r="G31" i="24"/>
  <c r="G30" i="24"/>
  <c r="I30" i="24"/>
  <c r="J30" i="24"/>
  <c r="H30" i="24"/>
  <c r="F30" i="24"/>
  <c r="AA36" i="21"/>
  <c r="Z36" i="21"/>
  <c r="AC36" i="21"/>
  <c r="AB36" i="21"/>
  <c r="C39" i="2"/>
  <c r="B39" i="2"/>
  <c r="D19" i="7"/>
  <c r="AC29" i="23"/>
  <c r="AB29" i="23"/>
  <c r="AA29" i="23"/>
  <c r="Z29" i="23"/>
  <c r="V36" i="2"/>
  <c r="W17" i="7" s="1"/>
  <c r="V17" i="7" s="1"/>
  <c r="X36" i="2"/>
  <c r="AC17" i="7" s="1"/>
  <c r="AB17" i="7" s="1"/>
  <c r="W36" i="2"/>
  <c r="Z17" i="7" s="1"/>
  <c r="Y17" i="7" s="1"/>
  <c r="U36" i="2"/>
  <c r="T17" i="7" s="1"/>
  <c r="S17" i="7" s="1"/>
  <c r="Q29" i="24"/>
  <c r="R29" i="24"/>
  <c r="P29" i="24"/>
  <c r="S29" i="24"/>
  <c r="U29" i="2"/>
  <c r="T10" i="7" s="1"/>
  <c r="S10" i="7" s="1"/>
  <c r="V29" i="2"/>
  <c r="W10" i="7" s="1"/>
  <c r="V10" i="7" s="1"/>
  <c r="W29" i="2"/>
  <c r="Z10" i="7" s="1"/>
  <c r="Y10" i="7" s="1"/>
  <c r="X29" i="2"/>
  <c r="AC10" i="7" s="1"/>
  <c r="AB10" i="7" s="1"/>
  <c r="G37" i="2"/>
  <c r="H37" i="2"/>
  <c r="F37" i="2"/>
  <c r="J37" i="2"/>
  <c r="I37" i="2"/>
  <c r="G30" i="23"/>
  <c r="J30" i="23"/>
  <c r="I30" i="23"/>
  <c r="F30" i="23"/>
  <c r="H30" i="23"/>
  <c r="S36" i="21"/>
  <c r="Q36" i="21"/>
  <c r="R36" i="21"/>
  <c r="P36" i="21"/>
  <c r="D38" i="21"/>
  <c r="E38" i="21"/>
  <c r="E38" i="2"/>
  <c r="D38" i="2"/>
  <c r="C19" i="7"/>
  <c r="E38" i="16"/>
  <c r="D38" i="16"/>
  <c r="V29" i="24"/>
  <c r="W29" i="24"/>
  <c r="X29" i="24"/>
  <c r="U29" i="24"/>
  <c r="J37" i="21"/>
  <c r="I37" i="21"/>
  <c r="G37" i="21"/>
  <c r="F37" i="21"/>
  <c r="H37" i="21"/>
  <c r="F37" i="16"/>
  <c r="H37" i="16"/>
  <c r="I37" i="16"/>
  <c r="G37" i="16"/>
  <c r="J37" i="16"/>
  <c r="U29" i="23"/>
  <c r="V29" i="23"/>
  <c r="X29" i="23"/>
  <c r="W29" i="23"/>
  <c r="X36" i="16"/>
  <c r="U36" i="16"/>
  <c r="V36" i="16"/>
  <c r="W36" i="16"/>
  <c r="AA36" i="2"/>
  <c r="Z36" i="2"/>
  <c r="AC36" i="2"/>
  <c r="AB36" i="2"/>
  <c r="I31" i="23"/>
  <c r="F31" i="23"/>
  <c r="H31" i="23"/>
  <c r="G31" i="23"/>
  <c r="J31" i="23"/>
  <c r="D31" i="2"/>
  <c r="C12" i="7"/>
  <c r="E31" i="2"/>
  <c r="X36" i="21"/>
  <c r="W36" i="21"/>
  <c r="U36" i="21"/>
  <c r="V36" i="21"/>
  <c r="P29" i="23"/>
  <c r="S29" i="23"/>
  <c r="R29" i="23"/>
  <c r="Q29" i="23"/>
  <c r="M36" i="16"/>
  <c r="L36" i="16"/>
  <c r="N36" i="16"/>
  <c r="K36" i="16"/>
  <c r="AC36" i="16"/>
  <c r="AA36" i="16"/>
  <c r="AB36" i="16"/>
  <c r="Z36" i="16"/>
  <c r="Q36" i="2"/>
  <c r="J17" i="7" s="1"/>
  <c r="I17" i="7" s="1"/>
  <c r="S36" i="2"/>
  <c r="P17" i="7" s="1"/>
  <c r="O17" i="7" s="1"/>
  <c r="P36" i="2"/>
  <c r="G17" i="7" s="1"/>
  <c r="F17" i="7" s="1"/>
  <c r="R36" i="2"/>
  <c r="M17" i="7" s="1"/>
  <c r="L17" i="7" s="1"/>
  <c r="AC29" i="24"/>
  <c r="Z29" i="24"/>
  <c r="AB29" i="24"/>
  <c r="AA29" i="24"/>
  <c r="R30" i="16"/>
  <c r="Q30" i="16"/>
  <c r="S30" i="16"/>
  <c r="P30" i="16"/>
  <c r="K31" i="16"/>
  <c r="M31" i="16"/>
  <c r="N31" i="16"/>
  <c r="L31" i="16"/>
  <c r="S29" i="22"/>
  <c r="P29" i="22"/>
  <c r="R29" i="22"/>
  <c r="Q29" i="22"/>
  <c r="V36" i="24"/>
  <c r="W36" i="24"/>
  <c r="X36" i="24"/>
  <c r="U36" i="24"/>
  <c r="V30" i="16"/>
  <c r="U30" i="16"/>
  <c r="X30" i="16"/>
  <c r="W30" i="16"/>
  <c r="AA30" i="25"/>
  <c r="AB30" i="25"/>
  <c r="Z30" i="25"/>
  <c r="AC30" i="25"/>
  <c r="N31" i="25"/>
  <c r="K31" i="25"/>
  <c r="L31" i="25"/>
  <c r="M31" i="25"/>
  <c r="S31" i="16"/>
  <c r="P31" i="16"/>
  <c r="R31" i="16"/>
  <c r="Q31" i="16"/>
  <c r="V31" i="16"/>
  <c r="X31" i="16"/>
  <c r="W31" i="16"/>
  <c r="U31" i="16"/>
  <c r="R37" i="25"/>
  <c r="Q37" i="25"/>
  <c r="P37" i="25"/>
  <c r="S37" i="25"/>
  <c r="N29" i="22"/>
  <c r="K29" i="22"/>
  <c r="L29" i="22"/>
  <c r="M29" i="22"/>
  <c r="AC29" i="22"/>
  <c r="AB29" i="22"/>
  <c r="Z29" i="22"/>
  <c r="AA29" i="22"/>
  <c r="P36" i="24"/>
  <c r="Q36" i="24"/>
  <c r="R36" i="24"/>
  <c r="S36" i="24"/>
  <c r="N30" i="16"/>
  <c r="L30" i="16"/>
  <c r="K30" i="16"/>
  <c r="M30" i="16"/>
  <c r="N30" i="25"/>
  <c r="M30" i="25"/>
  <c r="K30" i="25"/>
  <c r="L30" i="25"/>
  <c r="AB31" i="25"/>
  <c r="Z31" i="25"/>
  <c r="AC31" i="25"/>
  <c r="AA31" i="25"/>
  <c r="B40" i="25"/>
  <c r="C40" i="25"/>
  <c r="S37" i="20"/>
  <c r="R37" i="20"/>
  <c r="Q37" i="20"/>
  <c r="P37" i="20"/>
  <c r="AA37" i="20"/>
  <c r="Z37" i="20"/>
  <c r="AB37" i="20"/>
  <c r="AC37" i="20"/>
  <c r="N36" i="24"/>
  <c r="L36" i="24"/>
  <c r="K36" i="24"/>
  <c r="M36" i="24"/>
  <c r="S30" i="25"/>
  <c r="P30" i="25"/>
  <c r="R30" i="25"/>
  <c r="Q30" i="25"/>
  <c r="S31" i="25"/>
  <c r="Q31" i="25"/>
  <c r="P31" i="25"/>
  <c r="R31" i="25"/>
  <c r="G38" i="20"/>
  <c r="H38" i="20"/>
  <c r="J38" i="20"/>
  <c r="F38" i="20"/>
  <c r="I38" i="20"/>
  <c r="D38" i="24"/>
  <c r="E38" i="24"/>
  <c r="W37" i="25"/>
  <c r="V37" i="25"/>
  <c r="U37" i="25"/>
  <c r="X37" i="25"/>
  <c r="X29" i="22"/>
  <c r="U29" i="22"/>
  <c r="W29" i="22"/>
  <c r="V29" i="22"/>
  <c r="X37" i="20"/>
  <c r="V37" i="20"/>
  <c r="W37" i="20"/>
  <c r="U37" i="20"/>
  <c r="B12" i="17"/>
  <c r="A13" i="17" s="1"/>
  <c r="B40" i="20"/>
  <c r="C40" i="20"/>
  <c r="J37" i="24"/>
  <c r="H37" i="24"/>
  <c r="F37" i="24"/>
  <c r="I37" i="24"/>
  <c r="G37" i="24"/>
  <c r="AB37" i="25"/>
  <c r="AA37" i="25"/>
  <c r="Z37" i="25"/>
  <c r="AC37" i="25"/>
  <c r="N37" i="20"/>
  <c r="L37" i="20"/>
  <c r="K37" i="20"/>
  <c r="M37" i="20"/>
  <c r="H30" i="22"/>
  <c r="F30" i="22"/>
  <c r="I30" i="22"/>
  <c r="G30" i="22"/>
  <c r="J30" i="22"/>
  <c r="C11" i="17"/>
  <c r="D39" i="20"/>
  <c r="E39" i="20"/>
  <c r="Z36" i="24"/>
  <c r="AC36" i="24"/>
  <c r="AB36" i="24"/>
  <c r="AA36" i="24"/>
  <c r="H38" i="25"/>
  <c r="J38" i="25"/>
  <c r="G38" i="25"/>
  <c r="F38" i="25"/>
  <c r="I38" i="25"/>
  <c r="Z30" i="16"/>
  <c r="AA30" i="16"/>
  <c r="AC30" i="16"/>
  <c r="AB30" i="16"/>
  <c r="U30" i="25"/>
  <c r="W30" i="25"/>
  <c r="X30" i="25"/>
  <c r="V30" i="25"/>
  <c r="X31" i="25"/>
  <c r="V31" i="25"/>
  <c r="U31" i="25"/>
  <c r="W31" i="25"/>
  <c r="E39" i="25"/>
  <c r="D39" i="25"/>
  <c r="AC31" i="16"/>
  <c r="Z31" i="16"/>
  <c r="AA31" i="16"/>
  <c r="AB31" i="16"/>
  <c r="B39" i="24"/>
  <c r="C39" i="24"/>
  <c r="N37" i="25"/>
  <c r="K37" i="25"/>
  <c r="L37" i="25"/>
  <c r="M37" i="25"/>
  <c r="H31" i="22"/>
  <c r="J31" i="22"/>
  <c r="F31" i="22"/>
  <c r="G31" i="22"/>
  <c r="I31" i="22"/>
  <c r="D39" i="23" l="1"/>
  <c r="E39" i="23"/>
  <c r="AB42" i="22"/>
  <c r="AC42" i="22"/>
  <c r="AA42" i="22"/>
  <c r="Z42" i="22"/>
  <c r="E44" i="22"/>
  <c r="D44" i="22"/>
  <c r="I43" i="22"/>
  <c r="F43" i="22"/>
  <c r="J43" i="22"/>
  <c r="G43" i="22"/>
  <c r="H43" i="22"/>
  <c r="S42" i="22"/>
  <c r="R42" i="22"/>
  <c r="P42" i="22"/>
  <c r="Q42" i="22"/>
  <c r="L42" i="22"/>
  <c r="N42" i="22"/>
  <c r="K42" i="22"/>
  <c r="M42" i="22"/>
  <c r="U37" i="23"/>
  <c r="X37" i="23"/>
  <c r="V37" i="23"/>
  <c r="W37" i="23"/>
  <c r="H38" i="23"/>
  <c r="J38" i="23"/>
  <c r="I38" i="23"/>
  <c r="F38" i="23"/>
  <c r="G38" i="23"/>
  <c r="V42" i="22"/>
  <c r="U42" i="22"/>
  <c r="X42" i="22"/>
  <c r="W42" i="22"/>
  <c r="C45" i="22"/>
  <c r="B45" i="22"/>
  <c r="L37" i="23"/>
  <c r="K37" i="23"/>
  <c r="M37" i="23"/>
  <c r="N37" i="23"/>
  <c r="B40" i="23"/>
  <c r="C40" i="23"/>
  <c r="AB37" i="23"/>
  <c r="AA37" i="23"/>
  <c r="Z37" i="23"/>
  <c r="AC37" i="23"/>
  <c r="R37" i="23"/>
  <c r="Q37" i="23"/>
  <c r="P37" i="23"/>
  <c r="S37" i="23"/>
  <c r="AA37" i="21"/>
  <c r="AB37" i="21"/>
  <c r="AC37" i="21"/>
  <c r="Z37" i="21"/>
  <c r="U37" i="2"/>
  <c r="T18" i="7" s="1"/>
  <c r="S18" i="7" s="1"/>
  <c r="X37" i="2"/>
  <c r="AC18" i="7" s="1"/>
  <c r="AB18" i="7" s="1"/>
  <c r="V37" i="2"/>
  <c r="W18" i="7" s="1"/>
  <c r="V18" i="7" s="1"/>
  <c r="W37" i="2"/>
  <c r="Z18" i="7" s="1"/>
  <c r="Y18" i="7" s="1"/>
  <c r="L31" i="23"/>
  <c r="N31" i="23"/>
  <c r="K31" i="23"/>
  <c r="M31" i="23"/>
  <c r="K37" i="21"/>
  <c r="M37" i="21"/>
  <c r="N37" i="21"/>
  <c r="L37" i="21"/>
  <c r="F38" i="2"/>
  <c r="G38" i="2"/>
  <c r="J38" i="2"/>
  <c r="H38" i="2"/>
  <c r="I38" i="2"/>
  <c r="M30" i="23"/>
  <c r="K30" i="23"/>
  <c r="N30" i="23"/>
  <c r="L30" i="23"/>
  <c r="P37" i="2"/>
  <c r="G18" i="7" s="1"/>
  <c r="F18" i="7" s="1"/>
  <c r="R37" i="2"/>
  <c r="M18" i="7" s="1"/>
  <c r="L18" i="7" s="1"/>
  <c r="Q37" i="2"/>
  <c r="J18" i="7" s="1"/>
  <c r="I18" i="7" s="1"/>
  <c r="S37" i="2"/>
  <c r="P18" i="7" s="1"/>
  <c r="O18" i="7" s="1"/>
  <c r="D39" i="2"/>
  <c r="C20" i="7"/>
  <c r="E39" i="2"/>
  <c r="Z30" i="24"/>
  <c r="AC30" i="24"/>
  <c r="AA30" i="24"/>
  <c r="AB30" i="24"/>
  <c r="K31" i="24"/>
  <c r="N31" i="24"/>
  <c r="L31" i="24"/>
  <c r="M31" i="24"/>
  <c r="L30" i="2"/>
  <c r="M30" i="2"/>
  <c r="K30" i="2"/>
  <c r="N30" i="2"/>
  <c r="AB30" i="2"/>
  <c r="Z30" i="2"/>
  <c r="AA30" i="2"/>
  <c r="AC30" i="2"/>
  <c r="W37" i="21"/>
  <c r="U37" i="21"/>
  <c r="X37" i="21"/>
  <c r="V37" i="21"/>
  <c r="W30" i="23"/>
  <c r="U30" i="23"/>
  <c r="X30" i="23"/>
  <c r="V30" i="23"/>
  <c r="P30" i="2"/>
  <c r="G11" i="7" s="1"/>
  <c r="F11" i="7" s="1"/>
  <c r="Q30" i="2"/>
  <c r="J11" i="7" s="1"/>
  <c r="I11" i="7" s="1"/>
  <c r="R30" i="2"/>
  <c r="M11" i="7" s="1"/>
  <c r="L11" i="7" s="1"/>
  <c r="S30" i="2"/>
  <c r="P11" i="7" s="1"/>
  <c r="O11" i="7" s="1"/>
  <c r="AC31" i="23"/>
  <c r="AB31" i="23"/>
  <c r="AA31" i="23"/>
  <c r="Z31" i="23"/>
  <c r="X37" i="16"/>
  <c r="U37" i="16"/>
  <c r="V37" i="16"/>
  <c r="W37" i="16"/>
  <c r="R37" i="21"/>
  <c r="S37" i="21"/>
  <c r="P37" i="21"/>
  <c r="Q37" i="21"/>
  <c r="J38" i="16"/>
  <c r="I38" i="16"/>
  <c r="H38" i="16"/>
  <c r="G38" i="16"/>
  <c r="F38" i="16"/>
  <c r="F38" i="21"/>
  <c r="G38" i="21"/>
  <c r="I38" i="21"/>
  <c r="J38" i="21"/>
  <c r="H38" i="21"/>
  <c r="Z37" i="2"/>
  <c r="AB37" i="2"/>
  <c r="AA37" i="2"/>
  <c r="AC37" i="2"/>
  <c r="C40" i="2"/>
  <c r="D20" i="7"/>
  <c r="B40" i="2"/>
  <c r="AB31" i="24"/>
  <c r="AC31" i="24"/>
  <c r="Z31" i="24"/>
  <c r="AA31" i="24"/>
  <c r="E39" i="21"/>
  <c r="D39" i="21"/>
  <c r="W31" i="23"/>
  <c r="X31" i="23"/>
  <c r="V31" i="23"/>
  <c r="U31" i="23"/>
  <c r="P37" i="16"/>
  <c r="R37" i="16"/>
  <c r="S37" i="16"/>
  <c r="Q37" i="16"/>
  <c r="S30" i="23"/>
  <c r="P30" i="23"/>
  <c r="R30" i="23"/>
  <c r="Q30" i="23"/>
  <c r="U30" i="24"/>
  <c r="X30" i="24"/>
  <c r="W30" i="24"/>
  <c r="V30" i="24"/>
  <c r="P31" i="24"/>
  <c r="Q31" i="24"/>
  <c r="S31" i="24"/>
  <c r="R31" i="24"/>
  <c r="C40" i="16"/>
  <c r="B40" i="16"/>
  <c r="F31" i="2"/>
  <c r="J31" i="2"/>
  <c r="I31" i="2"/>
  <c r="H31" i="2"/>
  <c r="G31" i="2"/>
  <c r="Q31" i="23"/>
  <c r="S31" i="23"/>
  <c r="R31" i="23"/>
  <c r="P31" i="23"/>
  <c r="AC37" i="16"/>
  <c r="Z37" i="16"/>
  <c r="AA37" i="16"/>
  <c r="AB37" i="16"/>
  <c r="K37" i="16"/>
  <c r="M37" i="16"/>
  <c r="N37" i="16"/>
  <c r="L37" i="16"/>
  <c r="Z30" i="23"/>
  <c r="AB30" i="23"/>
  <c r="AC30" i="23"/>
  <c r="AA30" i="23"/>
  <c r="M37" i="2"/>
  <c r="L37" i="2"/>
  <c r="K37" i="2"/>
  <c r="N37" i="2"/>
  <c r="M30" i="24"/>
  <c r="N30" i="24"/>
  <c r="L30" i="24"/>
  <c r="K30" i="24"/>
  <c r="P30" i="24"/>
  <c r="R30" i="24"/>
  <c r="S30" i="24"/>
  <c r="Q30" i="24"/>
  <c r="V31" i="24"/>
  <c r="U31" i="24"/>
  <c r="W31" i="24"/>
  <c r="X31" i="24"/>
  <c r="D39" i="16"/>
  <c r="E39" i="16"/>
  <c r="U30" i="2"/>
  <c r="T11" i="7" s="1"/>
  <c r="S11" i="7" s="1"/>
  <c r="X30" i="2"/>
  <c r="AC11" i="7" s="1"/>
  <c r="AB11" i="7" s="1"/>
  <c r="V30" i="2"/>
  <c r="W11" i="7" s="1"/>
  <c r="V11" i="7" s="1"/>
  <c r="W30" i="2"/>
  <c r="Z11" i="7" s="1"/>
  <c r="Y11" i="7" s="1"/>
  <c r="C40" i="21"/>
  <c r="B40" i="21"/>
  <c r="R30" i="22"/>
  <c r="S30" i="22"/>
  <c r="Q30" i="22"/>
  <c r="P30" i="22"/>
  <c r="AA37" i="24"/>
  <c r="Z37" i="24"/>
  <c r="AB37" i="24"/>
  <c r="AC37" i="24"/>
  <c r="D40" i="25"/>
  <c r="E40" i="25"/>
  <c r="Z31" i="22"/>
  <c r="AA31" i="22"/>
  <c r="AC31" i="22"/>
  <c r="AB31" i="22"/>
  <c r="X38" i="25"/>
  <c r="W38" i="25"/>
  <c r="V38" i="25"/>
  <c r="U38" i="25"/>
  <c r="C12" i="17"/>
  <c r="S38" i="20"/>
  <c r="P38" i="20"/>
  <c r="R38" i="20"/>
  <c r="Q38" i="20"/>
  <c r="X38" i="20"/>
  <c r="V38" i="20"/>
  <c r="W38" i="20"/>
  <c r="U38" i="20"/>
  <c r="W31" i="22"/>
  <c r="U31" i="22"/>
  <c r="X31" i="22"/>
  <c r="V31" i="22"/>
  <c r="I39" i="25"/>
  <c r="F39" i="25"/>
  <c r="G39" i="25"/>
  <c r="H39" i="25"/>
  <c r="J39" i="25"/>
  <c r="N38" i="25"/>
  <c r="M38" i="25"/>
  <c r="K38" i="25"/>
  <c r="L38" i="25"/>
  <c r="K30" i="22"/>
  <c r="L30" i="22"/>
  <c r="M30" i="22"/>
  <c r="N30" i="22"/>
  <c r="M37" i="24"/>
  <c r="L37" i="24"/>
  <c r="K37" i="24"/>
  <c r="N37" i="24"/>
  <c r="B13" i="17"/>
  <c r="A14" i="17" s="1"/>
  <c r="K38" i="20"/>
  <c r="N38" i="20"/>
  <c r="L38" i="20"/>
  <c r="M38" i="20"/>
  <c r="K31" i="22"/>
  <c r="L31" i="22"/>
  <c r="M31" i="22"/>
  <c r="N31" i="22"/>
  <c r="D39" i="24"/>
  <c r="E39" i="24"/>
  <c r="AB38" i="25"/>
  <c r="AA38" i="25"/>
  <c r="AC38" i="25"/>
  <c r="Z38" i="25"/>
  <c r="G39" i="20"/>
  <c r="H39" i="20"/>
  <c r="F39" i="20"/>
  <c r="I39" i="20"/>
  <c r="J39" i="20"/>
  <c r="S37" i="24"/>
  <c r="Q37" i="24"/>
  <c r="R37" i="24"/>
  <c r="P37" i="24"/>
  <c r="E40" i="20"/>
  <c r="D40" i="20"/>
  <c r="P31" i="22"/>
  <c r="R31" i="22"/>
  <c r="S31" i="22"/>
  <c r="Q31" i="22"/>
  <c r="C40" i="24"/>
  <c r="B40" i="24"/>
  <c r="R38" i="25"/>
  <c r="S38" i="25"/>
  <c r="Q38" i="25"/>
  <c r="P38" i="25"/>
  <c r="AA30" i="22"/>
  <c r="AC30" i="22"/>
  <c r="AB30" i="22"/>
  <c r="Z30" i="22"/>
  <c r="U30" i="22"/>
  <c r="X30" i="22"/>
  <c r="W30" i="22"/>
  <c r="V30" i="22"/>
  <c r="U37" i="24"/>
  <c r="X37" i="24"/>
  <c r="V37" i="24"/>
  <c r="W37" i="24"/>
  <c r="C41" i="20"/>
  <c r="B41" i="20"/>
  <c r="F38" i="24"/>
  <c r="H38" i="24"/>
  <c r="J38" i="24"/>
  <c r="G38" i="24"/>
  <c r="I38" i="24"/>
  <c r="AB38" i="20"/>
  <c r="Z38" i="20"/>
  <c r="AC38" i="20"/>
  <c r="AA38" i="20"/>
  <c r="C41" i="25"/>
  <c r="B41" i="25"/>
  <c r="R43" i="22" l="1"/>
  <c r="Q43" i="22"/>
  <c r="P43" i="22"/>
  <c r="S43" i="22"/>
  <c r="B41" i="23"/>
  <c r="C41" i="23"/>
  <c r="R38" i="23"/>
  <c r="Q38" i="23"/>
  <c r="S38" i="23"/>
  <c r="P38" i="23"/>
  <c r="W38" i="23"/>
  <c r="V38" i="23"/>
  <c r="U38" i="23"/>
  <c r="X38" i="23"/>
  <c r="M43" i="22"/>
  <c r="K43" i="22"/>
  <c r="N43" i="22"/>
  <c r="L43" i="22"/>
  <c r="H39" i="23"/>
  <c r="I39" i="23"/>
  <c r="F39" i="23"/>
  <c r="G39" i="23"/>
  <c r="J39" i="23"/>
  <c r="D45" i="22"/>
  <c r="E45" i="22"/>
  <c r="C46" i="22"/>
  <c r="B46" i="22"/>
  <c r="AA38" i="23"/>
  <c r="AB38" i="23"/>
  <c r="Z38" i="23"/>
  <c r="AC38" i="23"/>
  <c r="Z43" i="22"/>
  <c r="AA43" i="22"/>
  <c r="AB43" i="22"/>
  <c r="AC43" i="22"/>
  <c r="J44" i="22"/>
  <c r="F44" i="22"/>
  <c r="G44" i="22"/>
  <c r="H44" i="22"/>
  <c r="I44" i="22"/>
  <c r="E40" i="23"/>
  <c r="D40" i="23"/>
  <c r="M38" i="23"/>
  <c r="L38" i="23"/>
  <c r="N38" i="23"/>
  <c r="K38" i="23"/>
  <c r="V43" i="22"/>
  <c r="U43" i="22"/>
  <c r="W43" i="22"/>
  <c r="X43" i="22"/>
  <c r="Z31" i="2"/>
  <c r="AB31" i="2"/>
  <c r="AA31" i="2"/>
  <c r="AC31" i="2"/>
  <c r="J39" i="2"/>
  <c r="I39" i="2"/>
  <c r="F39" i="2"/>
  <c r="G39" i="2"/>
  <c r="H39" i="2"/>
  <c r="E40" i="21"/>
  <c r="D40" i="21"/>
  <c r="S31" i="2"/>
  <c r="P12" i="7" s="1"/>
  <c r="O12" i="7" s="1"/>
  <c r="P31" i="2"/>
  <c r="G12" i="7" s="1"/>
  <c r="F12" i="7" s="1"/>
  <c r="Q31" i="2"/>
  <c r="J12" i="7" s="1"/>
  <c r="I12" i="7" s="1"/>
  <c r="R31" i="2"/>
  <c r="M12" i="7" s="1"/>
  <c r="L12" i="7" s="1"/>
  <c r="L31" i="2"/>
  <c r="M31" i="2"/>
  <c r="K31" i="2"/>
  <c r="N31" i="2"/>
  <c r="I39" i="21"/>
  <c r="F39" i="21"/>
  <c r="J39" i="21"/>
  <c r="G39" i="21"/>
  <c r="H39" i="21"/>
  <c r="AC38" i="21"/>
  <c r="AB38" i="21"/>
  <c r="AA38" i="21"/>
  <c r="Z38" i="21"/>
  <c r="K38" i="16"/>
  <c r="M38" i="16"/>
  <c r="L38" i="16"/>
  <c r="N38" i="16"/>
  <c r="AC38" i="16"/>
  <c r="AB38" i="16"/>
  <c r="Z38" i="16"/>
  <c r="AA38" i="16"/>
  <c r="Z38" i="2"/>
  <c r="AB38" i="2"/>
  <c r="AC38" i="2"/>
  <c r="AA38" i="2"/>
  <c r="E40" i="2"/>
  <c r="D40" i="2"/>
  <c r="C21" i="7"/>
  <c r="W38" i="21"/>
  <c r="V38" i="21"/>
  <c r="U38" i="21"/>
  <c r="X38" i="21"/>
  <c r="M38" i="21"/>
  <c r="K38" i="21"/>
  <c r="L38" i="21"/>
  <c r="N38" i="21"/>
  <c r="C13" i="17"/>
  <c r="C41" i="21"/>
  <c r="B41" i="21"/>
  <c r="X31" i="2"/>
  <c r="AC12" i="7" s="1"/>
  <c r="AB12" i="7" s="1"/>
  <c r="W31" i="2"/>
  <c r="Z12" i="7" s="1"/>
  <c r="Y12" i="7" s="1"/>
  <c r="U31" i="2"/>
  <c r="T12" i="7" s="1"/>
  <c r="S12" i="7" s="1"/>
  <c r="V31" i="2"/>
  <c r="W12" i="7" s="1"/>
  <c r="V12" i="7" s="1"/>
  <c r="E40" i="16"/>
  <c r="D40" i="16"/>
  <c r="C41" i="2"/>
  <c r="D21" i="7"/>
  <c r="B41" i="2"/>
  <c r="R38" i="16"/>
  <c r="Q38" i="16"/>
  <c r="S38" i="16"/>
  <c r="P38" i="16"/>
  <c r="R38" i="2"/>
  <c r="M19" i="7" s="1"/>
  <c r="L19" i="7" s="1"/>
  <c r="S38" i="2"/>
  <c r="P19" i="7" s="1"/>
  <c r="O19" i="7" s="1"/>
  <c r="Q38" i="2"/>
  <c r="J19" i="7" s="1"/>
  <c r="I19" i="7" s="1"/>
  <c r="P38" i="2"/>
  <c r="G19" i="7" s="1"/>
  <c r="F19" i="7" s="1"/>
  <c r="V38" i="2"/>
  <c r="W19" i="7" s="1"/>
  <c r="V19" i="7" s="1"/>
  <c r="U38" i="2"/>
  <c r="T19" i="7" s="1"/>
  <c r="S19" i="7" s="1"/>
  <c r="W38" i="2"/>
  <c r="Z19" i="7" s="1"/>
  <c r="Y19" i="7" s="1"/>
  <c r="X38" i="2"/>
  <c r="AC19" i="7" s="1"/>
  <c r="AB19" i="7" s="1"/>
  <c r="I39" i="16"/>
  <c r="F39" i="16"/>
  <c r="J39" i="16"/>
  <c r="H39" i="16"/>
  <c r="G39" i="16"/>
  <c r="C41" i="16"/>
  <c r="B41" i="16"/>
  <c r="S38" i="21"/>
  <c r="Q38" i="21"/>
  <c r="P38" i="21"/>
  <c r="R38" i="21"/>
  <c r="V38" i="16"/>
  <c r="W38" i="16"/>
  <c r="X38" i="16"/>
  <c r="U38" i="16"/>
  <c r="M38" i="2"/>
  <c r="N38" i="2"/>
  <c r="L38" i="2"/>
  <c r="K38" i="2"/>
  <c r="B41" i="24"/>
  <c r="C41" i="24"/>
  <c r="W39" i="25"/>
  <c r="X39" i="25"/>
  <c r="V39" i="25"/>
  <c r="U39" i="25"/>
  <c r="U38" i="24"/>
  <c r="X38" i="24"/>
  <c r="V38" i="24"/>
  <c r="W38" i="24"/>
  <c r="L39" i="20"/>
  <c r="M39" i="20"/>
  <c r="N39" i="20"/>
  <c r="K39" i="20"/>
  <c r="J39" i="24"/>
  <c r="G39" i="24"/>
  <c r="H39" i="24"/>
  <c r="F39" i="24"/>
  <c r="I39" i="24"/>
  <c r="P39" i="25"/>
  <c r="R39" i="25"/>
  <c r="S39" i="25"/>
  <c r="Q39" i="25"/>
  <c r="Z38" i="24"/>
  <c r="AA38" i="24"/>
  <c r="AC38" i="24"/>
  <c r="AB38" i="24"/>
  <c r="E41" i="25"/>
  <c r="D41" i="25"/>
  <c r="L38" i="24"/>
  <c r="K38" i="24"/>
  <c r="M38" i="24"/>
  <c r="N38" i="24"/>
  <c r="H40" i="20"/>
  <c r="I40" i="20"/>
  <c r="F40" i="20"/>
  <c r="J40" i="20"/>
  <c r="G40" i="20"/>
  <c r="X39" i="20"/>
  <c r="U39" i="20"/>
  <c r="W39" i="20"/>
  <c r="V39" i="20"/>
  <c r="M39" i="25"/>
  <c r="L39" i="25"/>
  <c r="N39" i="25"/>
  <c r="K39" i="25"/>
  <c r="J40" i="25"/>
  <c r="G40" i="25"/>
  <c r="F40" i="25"/>
  <c r="H40" i="25"/>
  <c r="I40" i="25"/>
  <c r="C42" i="20"/>
  <c r="B42" i="20"/>
  <c r="B42" i="25"/>
  <c r="C42" i="25"/>
  <c r="P38" i="24"/>
  <c r="R38" i="24"/>
  <c r="Q38" i="24"/>
  <c r="S38" i="24"/>
  <c r="E41" i="20"/>
  <c r="D41" i="20"/>
  <c r="D40" i="24"/>
  <c r="E40" i="24"/>
  <c r="Z39" i="20"/>
  <c r="AB39" i="20"/>
  <c r="AC39" i="20"/>
  <c r="AA39" i="20"/>
  <c r="P39" i="20"/>
  <c r="S39" i="20"/>
  <c r="Q39" i="20"/>
  <c r="R39" i="20"/>
  <c r="B14" i="17"/>
  <c r="A15" i="17" s="1"/>
  <c r="AC39" i="25"/>
  <c r="AA39" i="25"/>
  <c r="Z39" i="25"/>
  <c r="AB39" i="25"/>
  <c r="AC44" i="22" l="1"/>
  <c r="AA44" i="22"/>
  <c r="AB44" i="22"/>
  <c r="Z44" i="22"/>
  <c r="U44" i="22"/>
  <c r="X44" i="22"/>
  <c r="W44" i="22"/>
  <c r="V44" i="22"/>
  <c r="D46" i="22"/>
  <c r="E46" i="22"/>
  <c r="AB39" i="23"/>
  <c r="AC39" i="23"/>
  <c r="Z39" i="23"/>
  <c r="AA39" i="23"/>
  <c r="W39" i="23"/>
  <c r="X39" i="23"/>
  <c r="V39" i="23"/>
  <c r="U39" i="23"/>
  <c r="Q44" i="22"/>
  <c r="P44" i="22"/>
  <c r="S44" i="22"/>
  <c r="R44" i="22"/>
  <c r="C47" i="22"/>
  <c r="B47" i="22"/>
  <c r="Q39" i="23"/>
  <c r="R39" i="23"/>
  <c r="P39" i="23"/>
  <c r="S39" i="23"/>
  <c r="C42" i="23"/>
  <c r="B42" i="23"/>
  <c r="F40" i="23"/>
  <c r="H40" i="23"/>
  <c r="J40" i="23"/>
  <c r="G40" i="23"/>
  <c r="I40" i="23"/>
  <c r="N44" i="22"/>
  <c r="M44" i="22"/>
  <c r="L44" i="22"/>
  <c r="K44" i="22"/>
  <c r="J45" i="22"/>
  <c r="H45" i="22"/>
  <c r="G45" i="22"/>
  <c r="I45" i="22"/>
  <c r="F45" i="22"/>
  <c r="N39" i="23"/>
  <c r="L39" i="23"/>
  <c r="K39" i="23"/>
  <c r="M39" i="23"/>
  <c r="D41" i="23"/>
  <c r="E41" i="23"/>
  <c r="Q39" i="16"/>
  <c r="S39" i="16"/>
  <c r="P39" i="16"/>
  <c r="R39" i="16"/>
  <c r="F40" i="16"/>
  <c r="H40" i="16"/>
  <c r="J40" i="16"/>
  <c r="I40" i="16"/>
  <c r="G40" i="16"/>
  <c r="Q39" i="21"/>
  <c r="S39" i="21"/>
  <c r="P39" i="21"/>
  <c r="R39" i="21"/>
  <c r="K39" i="2"/>
  <c r="N39" i="2"/>
  <c r="L39" i="2"/>
  <c r="M39" i="2"/>
  <c r="W39" i="16"/>
  <c r="U39" i="16"/>
  <c r="X39" i="16"/>
  <c r="V39" i="16"/>
  <c r="C42" i="2"/>
  <c r="D22" i="7"/>
  <c r="B42" i="2"/>
  <c r="D41" i="21"/>
  <c r="E41" i="21"/>
  <c r="Z39" i="21"/>
  <c r="AC39" i="21"/>
  <c r="AA39" i="21"/>
  <c r="AB39" i="21"/>
  <c r="I40" i="21"/>
  <c r="J40" i="21"/>
  <c r="H40" i="21"/>
  <c r="F40" i="21"/>
  <c r="G40" i="21"/>
  <c r="C42" i="16"/>
  <c r="B42" i="16"/>
  <c r="M39" i="16"/>
  <c r="N39" i="16"/>
  <c r="L39" i="16"/>
  <c r="K39" i="16"/>
  <c r="C22" i="7"/>
  <c r="E41" i="2"/>
  <c r="D41" i="2"/>
  <c r="W39" i="21"/>
  <c r="U39" i="21"/>
  <c r="V39" i="21"/>
  <c r="X39" i="21"/>
  <c r="S39" i="2"/>
  <c r="P20" i="7" s="1"/>
  <c r="O20" i="7" s="1"/>
  <c r="Q39" i="2"/>
  <c r="J20" i="7" s="1"/>
  <c r="I20" i="7" s="1"/>
  <c r="P39" i="2"/>
  <c r="G20" i="7" s="1"/>
  <c r="F20" i="7" s="1"/>
  <c r="R39" i="2"/>
  <c r="M20" i="7" s="1"/>
  <c r="L20" i="7" s="1"/>
  <c r="D41" i="16"/>
  <c r="E41" i="16"/>
  <c r="AC39" i="16"/>
  <c r="AB39" i="16"/>
  <c r="Z39" i="16"/>
  <c r="AA39" i="16"/>
  <c r="C42" i="21"/>
  <c r="B42" i="21"/>
  <c r="H40" i="2"/>
  <c r="I40" i="2"/>
  <c r="G40" i="2"/>
  <c r="F40" i="2"/>
  <c r="J40" i="2"/>
  <c r="M39" i="21"/>
  <c r="N39" i="21"/>
  <c r="K39" i="21"/>
  <c r="L39" i="21"/>
  <c r="W39" i="2"/>
  <c r="Z20" i="7" s="1"/>
  <c r="Y20" i="7" s="1"/>
  <c r="X39" i="2"/>
  <c r="AC20" i="7" s="1"/>
  <c r="AB20" i="7" s="1"/>
  <c r="U39" i="2"/>
  <c r="T20" i="7" s="1"/>
  <c r="S20" i="7" s="1"/>
  <c r="V39" i="2"/>
  <c r="W20" i="7" s="1"/>
  <c r="V20" i="7" s="1"/>
  <c r="AB39" i="2"/>
  <c r="AA39" i="2"/>
  <c r="AC39" i="2"/>
  <c r="Z39" i="2"/>
  <c r="I40" i="24"/>
  <c r="G40" i="24"/>
  <c r="H40" i="24"/>
  <c r="J40" i="24"/>
  <c r="F40" i="24"/>
  <c r="Z40" i="25"/>
  <c r="AC40" i="25"/>
  <c r="AA40" i="25"/>
  <c r="AB40" i="25"/>
  <c r="X39" i="24"/>
  <c r="W39" i="24"/>
  <c r="U39" i="24"/>
  <c r="V39" i="24"/>
  <c r="E42" i="25"/>
  <c r="D42" i="25"/>
  <c r="V40" i="25"/>
  <c r="W40" i="25"/>
  <c r="U40" i="25"/>
  <c r="X40" i="25"/>
  <c r="S40" i="20"/>
  <c r="Q40" i="20"/>
  <c r="R40" i="20"/>
  <c r="P40" i="20"/>
  <c r="W40" i="20"/>
  <c r="V40" i="20"/>
  <c r="U40" i="20"/>
  <c r="X40" i="20"/>
  <c r="R39" i="24"/>
  <c r="S39" i="24"/>
  <c r="P39" i="24"/>
  <c r="Q39" i="24"/>
  <c r="E42" i="20"/>
  <c r="D42" i="20"/>
  <c r="N40" i="25"/>
  <c r="K40" i="25"/>
  <c r="L40" i="25"/>
  <c r="M40" i="25"/>
  <c r="Z40" i="20"/>
  <c r="AA40" i="20"/>
  <c r="AB40" i="20"/>
  <c r="AC40" i="20"/>
  <c r="AC39" i="24"/>
  <c r="AA39" i="24"/>
  <c r="Z39" i="24"/>
  <c r="AB39" i="24"/>
  <c r="C42" i="24"/>
  <c r="B42" i="24"/>
  <c r="C43" i="25"/>
  <c r="B43" i="25"/>
  <c r="B15" i="17"/>
  <c r="A16" i="17" s="1"/>
  <c r="C14" i="17"/>
  <c r="I41" i="20"/>
  <c r="J41" i="20"/>
  <c r="H41" i="20"/>
  <c r="G41" i="20"/>
  <c r="F41" i="20"/>
  <c r="B43" i="20"/>
  <c r="C43" i="20"/>
  <c r="Q40" i="25"/>
  <c r="R40" i="25"/>
  <c r="P40" i="25"/>
  <c r="S40" i="25"/>
  <c r="K40" i="20"/>
  <c r="L40" i="20"/>
  <c r="M40" i="20"/>
  <c r="N40" i="20"/>
  <c r="H41" i="25"/>
  <c r="I41" i="25"/>
  <c r="F41" i="25"/>
  <c r="G41" i="25"/>
  <c r="J41" i="25"/>
  <c r="N39" i="24"/>
  <c r="K39" i="24"/>
  <c r="L39" i="24"/>
  <c r="M39" i="24"/>
  <c r="E41" i="24"/>
  <c r="D41" i="24"/>
  <c r="K40" i="23" l="1"/>
  <c r="L40" i="23"/>
  <c r="M40" i="23"/>
  <c r="N40" i="23"/>
  <c r="C48" i="22"/>
  <c r="B48" i="22"/>
  <c r="M45" i="22"/>
  <c r="N45" i="22"/>
  <c r="L45" i="22"/>
  <c r="K45" i="22"/>
  <c r="Z45" i="22"/>
  <c r="AB45" i="22"/>
  <c r="AA45" i="22"/>
  <c r="AC45" i="22"/>
  <c r="H41" i="23"/>
  <c r="F41" i="23"/>
  <c r="J41" i="23"/>
  <c r="I41" i="23"/>
  <c r="G41" i="23"/>
  <c r="S45" i="22"/>
  <c r="Q45" i="22"/>
  <c r="R45" i="22"/>
  <c r="P45" i="22"/>
  <c r="P40" i="23"/>
  <c r="Q40" i="23"/>
  <c r="R40" i="23"/>
  <c r="S40" i="23"/>
  <c r="D42" i="23"/>
  <c r="E42" i="23"/>
  <c r="I46" i="22"/>
  <c r="F46" i="22"/>
  <c r="H46" i="22"/>
  <c r="J46" i="22"/>
  <c r="G46" i="22"/>
  <c r="V40" i="23"/>
  <c r="W40" i="23"/>
  <c r="X40" i="23"/>
  <c r="U40" i="23"/>
  <c r="E47" i="22"/>
  <c r="D47" i="22"/>
  <c r="X45" i="22"/>
  <c r="U45" i="22"/>
  <c r="V45" i="22"/>
  <c r="W45" i="22"/>
  <c r="AC40" i="23"/>
  <c r="Z40" i="23"/>
  <c r="AB40" i="23"/>
  <c r="AA40" i="23"/>
  <c r="B43" i="23"/>
  <c r="C43" i="23"/>
  <c r="U40" i="16"/>
  <c r="V40" i="16"/>
  <c r="W40" i="16"/>
  <c r="X40" i="16"/>
  <c r="G41" i="16"/>
  <c r="H41" i="16"/>
  <c r="I41" i="16"/>
  <c r="F41" i="16"/>
  <c r="J41" i="16"/>
  <c r="K40" i="21"/>
  <c r="L40" i="21"/>
  <c r="N40" i="21"/>
  <c r="M40" i="21"/>
  <c r="F41" i="21"/>
  <c r="H41" i="21"/>
  <c r="G41" i="21"/>
  <c r="I41" i="21"/>
  <c r="J41" i="21"/>
  <c r="C43" i="2"/>
  <c r="D23" i="7"/>
  <c r="B43" i="2"/>
  <c r="R40" i="16"/>
  <c r="P40" i="16"/>
  <c r="Q40" i="16"/>
  <c r="S40" i="16"/>
  <c r="N40" i="16"/>
  <c r="L40" i="16"/>
  <c r="M40" i="16"/>
  <c r="K40" i="16"/>
  <c r="R40" i="2"/>
  <c r="M21" i="7" s="1"/>
  <c r="L21" i="7" s="1"/>
  <c r="P40" i="2"/>
  <c r="G21" i="7" s="1"/>
  <c r="F21" i="7" s="1"/>
  <c r="S40" i="2"/>
  <c r="P21" i="7" s="1"/>
  <c r="O21" i="7" s="1"/>
  <c r="Q40" i="2"/>
  <c r="J21" i="7" s="1"/>
  <c r="I21" i="7" s="1"/>
  <c r="Q40" i="21"/>
  <c r="S40" i="21"/>
  <c r="P40" i="21"/>
  <c r="R40" i="21"/>
  <c r="Z40" i="2"/>
  <c r="AC40" i="2"/>
  <c r="AB40" i="2"/>
  <c r="AA40" i="2"/>
  <c r="U40" i="2"/>
  <c r="T21" i="7" s="1"/>
  <c r="S21" i="7" s="1"/>
  <c r="X40" i="2"/>
  <c r="AC21" i="7" s="1"/>
  <c r="AB21" i="7" s="1"/>
  <c r="V40" i="2"/>
  <c r="W21" i="7" s="1"/>
  <c r="V21" i="7" s="1"/>
  <c r="W40" i="2"/>
  <c r="Z21" i="7" s="1"/>
  <c r="Y21" i="7" s="1"/>
  <c r="D42" i="16"/>
  <c r="E42" i="16"/>
  <c r="X40" i="21"/>
  <c r="W40" i="21"/>
  <c r="U40" i="21"/>
  <c r="V40" i="21"/>
  <c r="B43" i="21"/>
  <c r="C43" i="21"/>
  <c r="J41" i="2"/>
  <c r="H41" i="2"/>
  <c r="F41" i="2"/>
  <c r="G41" i="2"/>
  <c r="I41" i="2"/>
  <c r="K40" i="2"/>
  <c r="N40" i="2"/>
  <c r="L40" i="2"/>
  <c r="M40" i="2"/>
  <c r="E42" i="21"/>
  <c r="D42" i="21"/>
  <c r="C43" i="16"/>
  <c r="B43" i="16"/>
  <c r="AA40" i="21"/>
  <c r="Z40" i="21"/>
  <c r="AC40" i="21"/>
  <c r="AB40" i="21"/>
  <c r="E42" i="2"/>
  <c r="C23" i="7"/>
  <c r="D42" i="2"/>
  <c r="AB40" i="16"/>
  <c r="Z40" i="16"/>
  <c r="AC40" i="16"/>
  <c r="AA40" i="16"/>
  <c r="P41" i="20"/>
  <c r="S41" i="20"/>
  <c r="Q41" i="20"/>
  <c r="R41" i="20"/>
  <c r="W40" i="24"/>
  <c r="V40" i="24"/>
  <c r="X40" i="24"/>
  <c r="U40" i="24"/>
  <c r="U41" i="20"/>
  <c r="W41" i="20"/>
  <c r="V41" i="20"/>
  <c r="X41" i="20"/>
  <c r="E42" i="24"/>
  <c r="D42" i="24"/>
  <c r="H42" i="25"/>
  <c r="G42" i="25"/>
  <c r="J42" i="25"/>
  <c r="F42" i="25"/>
  <c r="I42" i="25"/>
  <c r="P40" i="24"/>
  <c r="R40" i="24"/>
  <c r="Q40" i="24"/>
  <c r="S40" i="24"/>
  <c r="Z41" i="25"/>
  <c r="AB41" i="25"/>
  <c r="AC41" i="25"/>
  <c r="AA41" i="25"/>
  <c r="W41" i="25"/>
  <c r="U41" i="25"/>
  <c r="V41" i="25"/>
  <c r="X41" i="25"/>
  <c r="E43" i="20"/>
  <c r="D43" i="20"/>
  <c r="AC41" i="20"/>
  <c r="Z41" i="20"/>
  <c r="AA41" i="20"/>
  <c r="AB41" i="20"/>
  <c r="C15" i="17"/>
  <c r="C43" i="24"/>
  <c r="B43" i="24"/>
  <c r="F42" i="20"/>
  <c r="G42" i="20"/>
  <c r="I42" i="20"/>
  <c r="H42" i="20"/>
  <c r="J42" i="20"/>
  <c r="L40" i="24"/>
  <c r="M40" i="24"/>
  <c r="N40" i="24"/>
  <c r="K40" i="24"/>
  <c r="F41" i="24"/>
  <c r="J41" i="24"/>
  <c r="I41" i="24"/>
  <c r="G41" i="24"/>
  <c r="H41" i="24"/>
  <c r="K41" i="25"/>
  <c r="M41" i="25"/>
  <c r="N41" i="25"/>
  <c r="L41" i="25"/>
  <c r="C44" i="25"/>
  <c r="B44" i="25"/>
  <c r="C44" i="20"/>
  <c r="B44" i="20"/>
  <c r="B16" i="17"/>
  <c r="A17" i="17" s="1"/>
  <c r="R41" i="25"/>
  <c r="Q41" i="25"/>
  <c r="P41" i="25"/>
  <c r="S41" i="25"/>
  <c r="N41" i="20"/>
  <c r="K41" i="20"/>
  <c r="L41" i="20"/>
  <c r="M41" i="20"/>
  <c r="D43" i="25"/>
  <c r="E43" i="25"/>
  <c r="AA40" i="24"/>
  <c r="AC40" i="24"/>
  <c r="AB40" i="24"/>
  <c r="Z40" i="24"/>
  <c r="U46" i="22" l="1"/>
  <c r="W46" i="22"/>
  <c r="X46" i="22"/>
  <c r="V46" i="22"/>
  <c r="G47" i="22"/>
  <c r="J47" i="22"/>
  <c r="F47" i="22"/>
  <c r="I47" i="22"/>
  <c r="H47" i="22"/>
  <c r="M46" i="22"/>
  <c r="K46" i="22"/>
  <c r="N46" i="22"/>
  <c r="L46" i="22"/>
  <c r="C44" i="23"/>
  <c r="B44" i="23"/>
  <c r="P46" i="22"/>
  <c r="S46" i="22"/>
  <c r="R46" i="22"/>
  <c r="Q46" i="22"/>
  <c r="E48" i="22"/>
  <c r="D48" i="22"/>
  <c r="M41" i="23"/>
  <c r="L41" i="23"/>
  <c r="N41" i="23"/>
  <c r="K41" i="23"/>
  <c r="S41" i="23"/>
  <c r="Q41" i="23"/>
  <c r="R41" i="23"/>
  <c r="P41" i="23"/>
  <c r="V41" i="23"/>
  <c r="X41" i="23"/>
  <c r="U41" i="23"/>
  <c r="W41" i="23"/>
  <c r="C16" i="17"/>
  <c r="E43" i="23"/>
  <c r="D43" i="23"/>
  <c r="AC46" i="22"/>
  <c r="AB46" i="22"/>
  <c r="AA46" i="22"/>
  <c r="Z46" i="22"/>
  <c r="G42" i="23"/>
  <c r="I42" i="23"/>
  <c r="H42" i="23"/>
  <c r="F42" i="23"/>
  <c r="J42" i="23"/>
  <c r="Z41" i="23"/>
  <c r="AB41" i="23"/>
  <c r="AA41" i="23"/>
  <c r="AC41" i="23"/>
  <c r="C49" i="22"/>
  <c r="B49" i="22"/>
  <c r="Q41" i="2"/>
  <c r="J22" i="7" s="1"/>
  <c r="I22" i="7" s="1"/>
  <c r="P41" i="2"/>
  <c r="G22" i="7" s="1"/>
  <c r="F22" i="7" s="1"/>
  <c r="R41" i="2"/>
  <c r="M22" i="7" s="1"/>
  <c r="L22" i="7" s="1"/>
  <c r="S41" i="2"/>
  <c r="P22" i="7" s="1"/>
  <c r="O22" i="7" s="1"/>
  <c r="C44" i="21"/>
  <c r="B44" i="21"/>
  <c r="F42" i="16"/>
  <c r="J42" i="16"/>
  <c r="I42" i="16"/>
  <c r="G42" i="16"/>
  <c r="H42" i="16"/>
  <c r="C44" i="2"/>
  <c r="B44" i="2"/>
  <c r="D24" i="7"/>
  <c r="V41" i="21"/>
  <c r="U41" i="21"/>
  <c r="X41" i="21"/>
  <c r="W41" i="21"/>
  <c r="K41" i="2"/>
  <c r="N41" i="2"/>
  <c r="L41" i="2"/>
  <c r="M41" i="2"/>
  <c r="E43" i="21"/>
  <c r="D43" i="21"/>
  <c r="AB41" i="21"/>
  <c r="AA41" i="21"/>
  <c r="Z41" i="21"/>
  <c r="AC41" i="21"/>
  <c r="L41" i="21"/>
  <c r="K41" i="21"/>
  <c r="M41" i="21"/>
  <c r="N41" i="21"/>
  <c r="U41" i="16"/>
  <c r="X41" i="16"/>
  <c r="W41" i="16"/>
  <c r="V41" i="16"/>
  <c r="B44" i="16"/>
  <c r="C44" i="16"/>
  <c r="G42" i="2"/>
  <c r="H42" i="2"/>
  <c r="J42" i="2"/>
  <c r="F42" i="2"/>
  <c r="I42" i="2"/>
  <c r="G42" i="21"/>
  <c r="H42" i="21"/>
  <c r="F42" i="21"/>
  <c r="J42" i="21"/>
  <c r="I42" i="21"/>
  <c r="X41" i="2"/>
  <c r="AC22" i="7" s="1"/>
  <c r="AB22" i="7" s="1"/>
  <c r="W41" i="2"/>
  <c r="Z22" i="7" s="1"/>
  <c r="Y22" i="7" s="1"/>
  <c r="V41" i="2"/>
  <c r="W22" i="7" s="1"/>
  <c r="V22" i="7" s="1"/>
  <c r="U41" i="2"/>
  <c r="T22" i="7" s="1"/>
  <c r="S22" i="7" s="1"/>
  <c r="D43" i="2"/>
  <c r="E43" i="2"/>
  <c r="C24" i="7"/>
  <c r="AC41" i="16"/>
  <c r="AB41" i="16"/>
  <c r="AA41" i="16"/>
  <c r="Z41" i="16"/>
  <c r="R41" i="16"/>
  <c r="P41" i="16"/>
  <c r="Q41" i="16"/>
  <c r="S41" i="16"/>
  <c r="E43" i="16"/>
  <c r="D43" i="16"/>
  <c r="Z41" i="2"/>
  <c r="AC41" i="2"/>
  <c r="AA41" i="2"/>
  <c r="AB41" i="2"/>
  <c r="P41" i="21"/>
  <c r="S41" i="21"/>
  <c r="Q41" i="21"/>
  <c r="R41" i="21"/>
  <c r="L41" i="16"/>
  <c r="N41" i="16"/>
  <c r="K41" i="16"/>
  <c r="M41" i="16"/>
  <c r="M41" i="24"/>
  <c r="K41" i="24"/>
  <c r="L41" i="24"/>
  <c r="N41" i="24"/>
  <c r="AA42" i="20"/>
  <c r="AC42" i="20"/>
  <c r="AB42" i="20"/>
  <c r="Z42" i="20"/>
  <c r="L42" i="20"/>
  <c r="M42" i="20"/>
  <c r="N42" i="20"/>
  <c r="K42" i="20"/>
  <c r="B17" i="17"/>
  <c r="A18" i="17" s="1"/>
  <c r="Q41" i="24"/>
  <c r="R41" i="24"/>
  <c r="S41" i="24"/>
  <c r="P41" i="24"/>
  <c r="W42" i="20"/>
  <c r="X42" i="20"/>
  <c r="V42" i="20"/>
  <c r="U42" i="20"/>
  <c r="E43" i="24"/>
  <c r="D43" i="24"/>
  <c r="F43" i="20"/>
  <c r="I43" i="20"/>
  <c r="G43" i="20"/>
  <c r="J43" i="20"/>
  <c r="H43" i="20"/>
  <c r="L42" i="25"/>
  <c r="M42" i="25"/>
  <c r="N42" i="25"/>
  <c r="K42" i="25"/>
  <c r="B45" i="20"/>
  <c r="C45" i="20"/>
  <c r="B45" i="25"/>
  <c r="C45" i="25"/>
  <c r="AB41" i="24"/>
  <c r="Z41" i="24"/>
  <c r="AA41" i="24"/>
  <c r="AC41" i="24"/>
  <c r="R42" i="20"/>
  <c r="P42" i="20"/>
  <c r="S42" i="20"/>
  <c r="Q42" i="20"/>
  <c r="P42" i="25"/>
  <c r="Q42" i="25"/>
  <c r="S42" i="25"/>
  <c r="R42" i="25"/>
  <c r="X41" i="24"/>
  <c r="V41" i="24"/>
  <c r="U41" i="24"/>
  <c r="W41" i="24"/>
  <c r="W42" i="25"/>
  <c r="V42" i="25"/>
  <c r="X42" i="25"/>
  <c r="U42" i="25"/>
  <c r="I43" i="25"/>
  <c r="J43" i="25"/>
  <c r="H43" i="25"/>
  <c r="G43" i="25"/>
  <c r="F43" i="25"/>
  <c r="D44" i="20"/>
  <c r="E44" i="20"/>
  <c r="D44" i="25"/>
  <c r="E44" i="25"/>
  <c r="C44" i="24"/>
  <c r="B44" i="24"/>
  <c r="AA42" i="25"/>
  <c r="AC42" i="25"/>
  <c r="AB42" i="25"/>
  <c r="Z42" i="25"/>
  <c r="I42" i="24"/>
  <c r="J42" i="24"/>
  <c r="G42" i="24"/>
  <c r="H42" i="24"/>
  <c r="F42" i="24"/>
  <c r="N42" i="23" l="1"/>
  <c r="M42" i="23"/>
  <c r="K42" i="23"/>
  <c r="L42" i="23"/>
  <c r="H48" i="22"/>
  <c r="G48" i="22"/>
  <c r="I48" i="22"/>
  <c r="J48" i="22"/>
  <c r="F48" i="22"/>
  <c r="E49" i="22"/>
  <c r="D49" i="22"/>
  <c r="W42" i="23"/>
  <c r="X42" i="23"/>
  <c r="U42" i="23"/>
  <c r="V42" i="23"/>
  <c r="H43" i="23"/>
  <c r="G43" i="23"/>
  <c r="F43" i="23"/>
  <c r="J43" i="23"/>
  <c r="I43" i="23"/>
  <c r="D44" i="23"/>
  <c r="E44" i="23"/>
  <c r="L47" i="22"/>
  <c r="K47" i="22"/>
  <c r="N47" i="22"/>
  <c r="M47" i="22"/>
  <c r="B50" i="22"/>
  <c r="C50" i="22"/>
  <c r="C45" i="23"/>
  <c r="B45" i="23"/>
  <c r="Z47" i="22"/>
  <c r="AC47" i="22"/>
  <c r="AA47" i="22"/>
  <c r="AB47" i="22"/>
  <c r="AB42" i="23"/>
  <c r="AA42" i="23"/>
  <c r="Z42" i="23"/>
  <c r="AC42" i="23"/>
  <c r="P42" i="23"/>
  <c r="Q42" i="23"/>
  <c r="R42" i="23"/>
  <c r="S42" i="23"/>
  <c r="W47" i="22"/>
  <c r="X47" i="22"/>
  <c r="V47" i="22"/>
  <c r="U47" i="22"/>
  <c r="P47" i="22"/>
  <c r="Q47" i="22"/>
  <c r="R47" i="22"/>
  <c r="S47" i="22"/>
  <c r="R42" i="21"/>
  <c r="P42" i="21"/>
  <c r="Q42" i="21"/>
  <c r="S42" i="21"/>
  <c r="U42" i="2"/>
  <c r="T23" i="7" s="1"/>
  <c r="S23" i="7" s="1"/>
  <c r="W42" i="2"/>
  <c r="Z23" i="7" s="1"/>
  <c r="Y23" i="7" s="1"/>
  <c r="V42" i="2"/>
  <c r="W23" i="7" s="1"/>
  <c r="V23" i="7" s="1"/>
  <c r="X42" i="2"/>
  <c r="AC23" i="7" s="1"/>
  <c r="AB23" i="7" s="1"/>
  <c r="J43" i="16"/>
  <c r="H43" i="16"/>
  <c r="I43" i="16"/>
  <c r="G43" i="16"/>
  <c r="F43" i="16"/>
  <c r="Z42" i="21"/>
  <c r="AB42" i="21"/>
  <c r="AC42" i="21"/>
  <c r="AA42" i="21"/>
  <c r="P42" i="2"/>
  <c r="G23" i="7" s="1"/>
  <c r="F23" i="7" s="1"/>
  <c r="R42" i="2"/>
  <c r="M23" i="7" s="1"/>
  <c r="L23" i="7" s="1"/>
  <c r="Q42" i="2"/>
  <c r="J23" i="7" s="1"/>
  <c r="I23" i="7" s="1"/>
  <c r="S42" i="2"/>
  <c r="P23" i="7" s="1"/>
  <c r="O23" i="7" s="1"/>
  <c r="H43" i="21"/>
  <c r="F43" i="21"/>
  <c r="G43" i="21"/>
  <c r="J43" i="21"/>
  <c r="I43" i="21"/>
  <c r="X42" i="16"/>
  <c r="U42" i="16"/>
  <c r="V42" i="16"/>
  <c r="W42" i="16"/>
  <c r="L42" i="16"/>
  <c r="M42" i="16"/>
  <c r="N42" i="16"/>
  <c r="K42" i="16"/>
  <c r="G43" i="2"/>
  <c r="I43" i="2"/>
  <c r="J43" i="2"/>
  <c r="H43" i="2"/>
  <c r="F43" i="2"/>
  <c r="D25" i="7"/>
  <c r="B45" i="2"/>
  <c r="C45" i="2"/>
  <c r="Z42" i="16"/>
  <c r="AC42" i="16"/>
  <c r="AB42" i="16"/>
  <c r="AA42" i="16"/>
  <c r="N42" i="21"/>
  <c r="K42" i="21"/>
  <c r="L42" i="21"/>
  <c r="M42" i="21"/>
  <c r="N42" i="2"/>
  <c r="M42" i="2"/>
  <c r="K42" i="2"/>
  <c r="L42" i="2"/>
  <c r="B45" i="16"/>
  <c r="C45" i="16"/>
  <c r="R42" i="16"/>
  <c r="Q42" i="16"/>
  <c r="P42" i="16"/>
  <c r="S42" i="16"/>
  <c r="D44" i="21"/>
  <c r="E44" i="21"/>
  <c r="W42" i="21"/>
  <c r="V42" i="21"/>
  <c r="X42" i="21"/>
  <c r="U42" i="21"/>
  <c r="Z42" i="2"/>
  <c r="AA42" i="2"/>
  <c r="AB42" i="2"/>
  <c r="AC42" i="2"/>
  <c r="D44" i="16"/>
  <c r="E44" i="16"/>
  <c r="D44" i="2"/>
  <c r="E44" i="2"/>
  <c r="C25" i="7"/>
  <c r="B45" i="21"/>
  <c r="C45" i="21"/>
  <c r="N42" i="24"/>
  <c r="K42" i="24"/>
  <c r="L42" i="24"/>
  <c r="M42" i="24"/>
  <c r="C45" i="24"/>
  <c r="B45" i="24"/>
  <c r="U43" i="25"/>
  <c r="X43" i="25"/>
  <c r="W43" i="25"/>
  <c r="V43" i="25"/>
  <c r="C46" i="25"/>
  <c r="B46" i="25"/>
  <c r="X42" i="24"/>
  <c r="W42" i="24"/>
  <c r="V42" i="24"/>
  <c r="U42" i="24"/>
  <c r="D45" i="25"/>
  <c r="E45" i="25"/>
  <c r="AB43" i="20"/>
  <c r="Z43" i="20"/>
  <c r="AA43" i="20"/>
  <c r="AC43" i="20"/>
  <c r="Q42" i="24"/>
  <c r="S42" i="24"/>
  <c r="R42" i="24"/>
  <c r="P42" i="24"/>
  <c r="J44" i="25"/>
  <c r="G44" i="25"/>
  <c r="H44" i="25"/>
  <c r="F44" i="25"/>
  <c r="I44" i="25"/>
  <c r="K43" i="25"/>
  <c r="M43" i="25"/>
  <c r="L43" i="25"/>
  <c r="N43" i="25"/>
  <c r="B46" i="20"/>
  <c r="C46" i="20"/>
  <c r="P43" i="20"/>
  <c r="R43" i="20"/>
  <c r="Q43" i="20"/>
  <c r="S43" i="20"/>
  <c r="H43" i="24"/>
  <c r="F43" i="24"/>
  <c r="G43" i="24"/>
  <c r="I43" i="24"/>
  <c r="J43" i="24"/>
  <c r="C17" i="17"/>
  <c r="J44" i="20"/>
  <c r="I44" i="20"/>
  <c r="G44" i="20"/>
  <c r="F44" i="20"/>
  <c r="H44" i="20"/>
  <c r="V43" i="20"/>
  <c r="U43" i="20"/>
  <c r="W43" i="20"/>
  <c r="X43" i="20"/>
  <c r="L43" i="20"/>
  <c r="M43" i="20"/>
  <c r="N43" i="20"/>
  <c r="K43" i="20"/>
  <c r="AB43" i="25"/>
  <c r="AA43" i="25"/>
  <c r="AC43" i="25"/>
  <c r="Z43" i="25"/>
  <c r="B18" i="17"/>
  <c r="A19" i="17" s="1"/>
  <c r="AC42" i="24"/>
  <c r="Z42" i="24"/>
  <c r="AA42" i="24"/>
  <c r="AB42" i="24"/>
  <c r="D44" i="24"/>
  <c r="E44" i="24"/>
  <c r="P43" i="25"/>
  <c r="S43" i="25"/>
  <c r="R43" i="25"/>
  <c r="Q43" i="25"/>
  <c r="D45" i="20"/>
  <c r="E45" i="20"/>
  <c r="B51" i="22" l="1"/>
  <c r="C51" i="22"/>
  <c r="AC48" i="22"/>
  <c r="AB48" i="22"/>
  <c r="Z48" i="22"/>
  <c r="AA48" i="22"/>
  <c r="D50" i="22"/>
  <c r="E50" i="22"/>
  <c r="AB43" i="23"/>
  <c r="Z43" i="23"/>
  <c r="AA43" i="23"/>
  <c r="AC43" i="23"/>
  <c r="W43" i="23"/>
  <c r="U43" i="23"/>
  <c r="V43" i="23"/>
  <c r="X43" i="23"/>
  <c r="D45" i="23"/>
  <c r="E45" i="23"/>
  <c r="J44" i="23"/>
  <c r="F44" i="23"/>
  <c r="H44" i="23"/>
  <c r="I44" i="23"/>
  <c r="G44" i="23"/>
  <c r="M43" i="23"/>
  <c r="L43" i="23"/>
  <c r="N43" i="23"/>
  <c r="K43" i="23"/>
  <c r="H49" i="22"/>
  <c r="I49" i="22"/>
  <c r="G49" i="22"/>
  <c r="J49" i="22"/>
  <c r="F49" i="22"/>
  <c r="Q48" i="22"/>
  <c r="R48" i="22"/>
  <c r="S48" i="22"/>
  <c r="P48" i="22"/>
  <c r="C46" i="23"/>
  <c r="B46" i="23"/>
  <c r="P43" i="23"/>
  <c r="S43" i="23"/>
  <c r="R43" i="23"/>
  <c r="Q43" i="23"/>
  <c r="N48" i="22"/>
  <c r="L48" i="22"/>
  <c r="M48" i="22"/>
  <c r="K48" i="22"/>
  <c r="V48" i="22"/>
  <c r="W48" i="22"/>
  <c r="U48" i="22"/>
  <c r="X48" i="22"/>
  <c r="G44" i="2"/>
  <c r="H44" i="2"/>
  <c r="J44" i="2"/>
  <c r="F44" i="2"/>
  <c r="I44" i="2"/>
  <c r="M43" i="2"/>
  <c r="L43" i="2"/>
  <c r="N43" i="2"/>
  <c r="K43" i="2"/>
  <c r="P43" i="2"/>
  <c r="G24" i="7" s="1"/>
  <c r="F24" i="7" s="1"/>
  <c r="S43" i="2"/>
  <c r="P24" i="7" s="1"/>
  <c r="O24" i="7" s="1"/>
  <c r="Q43" i="2"/>
  <c r="J24" i="7" s="1"/>
  <c r="I24" i="7" s="1"/>
  <c r="R43" i="2"/>
  <c r="M24" i="7" s="1"/>
  <c r="L24" i="7" s="1"/>
  <c r="L43" i="21"/>
  <c r="M43" i="21"/>
  <c r="K43" i="21"/>
  <c r="N43" i="21"/>
  <c r="H44" i="21"/>
  <c r="G44" i="21"/>
  <c r="I44" i="21"/>
  <c r="J44" i="21"/>
  <c r="F44" i="21"/>
  <c r="B46" i="21"/>
  <c r="C46" i="21"/>
  <c r="C46" i="16"/>
  <c r="B46" i="16"/>
  <c r="B46" i="2"/>
  <c r="D26" i="7"/>
  <c r="C46" i="2"/>
  <c r="U43" i="2"/>
  <c r="T24" i="7" s="1"/>
  <c r="S24" i="7" s="1"/>
  <c r="W43" i="2"/>
  <c r="Z24" i="7" s="1"/>
  <c r="Y24" i="7" s="1"/>
  <c r="X43" i="2"/>
  <c r="AC24" i="7" s="1"/>
  <c r="AB24" i="7" s="1"/>
  <c r="V43" i="2"/>
  <c r="W24" i="7" s="1"/>
  <c r="V24" i="7" s="1"/>
  <c r="X43" i="21"/>
  <c r="W43" i="21"/>
  <c r="V43" i="21"/>
  <c r="U43" i="21"/>
  <c r="V43" i="16"/>
  <c r="W43" i="16"/>
  <c r="U43" i="16"/>
  <c r="X43" i="16"/>
  <c r="Q43" i="21"/>
  <c r="P43" i="21"/>
  <c r="R43" i="21"/>
  <c r="S43" i="21"/>
  <c r="P43" i="16"/>
  <c r="R43" i="16"/>
  <c r="Q43" i="16"/>
  <c r="S43" i="16"/>
  <c r="C18" i="17"/>
  <c r="D45" i="21"/>
  <c r="E45" i="21"/>
  <c r="J44" i="16"/>
  <c r="G44" i="16"/>
  <c r="F44" i="16"/>
  <c r="I44" i="16"/>
  <c r="H44" i="16"/>
  <c r="E45" i="16"/>
  <c r="D45" i="16"/>
  <c r="C26" i="7"/>
  <c r="D45" i="2"/>
  <c r="E45" i="2"/>
  <c r="Z43" i="2"/>
  <c r="AC43" i="2"/>
  <c r="AB43" i="2"/>
  <c r="AA43" i="2"/>
  <c r="AB43" i="21"/>
  <c r="AA43" i="21"/>
  <c r="Z43" i="21"/>
  <c r="AC43" i="21"/>
  <c r="N43" i="16"/>
  <c r="K43" i="16"/>
  <c r="L43" i="16"/>
  <c r="M43" i="16"/>
  <c r="AA43" i="16"/>
  <c r="AB43" i="16"/>
  <c r="AC43" i="16"/>
  <c r="Z43" i="16"/>
  <c r="Q44" i="20"/>
  <c r="P44" i="20"/>
  <c r="S44" i="20"/>
  <c r="R44" i="20"/>
  <c r="X44" i="25"/>
  <c r="U44" i="25"/>
  <c r="V44" i="25"/>
  <c r="W44" i="25"/>
  <c r="W43" i="24"/>
  <c r="U43" i="24"/>
  <c r="X43" i="24"/>
  <c r="V43" i="24"/>
  <c r="B19" i="17"/>
  <c r="A20" i="17" s="1"/>
  <c r="V44" i="20"/>
  <c r="W44" i="20"/>
  <c r="X44" i="20"/>
  <c r="U44" i="20"/>
  <c r="AA44" i="20"/>
  <c r="AC44" i="20"/>
  <c r="Z44" i="20"/>
  <c r="AB44" i="20"/>
  <c r="B47" i="20"/>
  <c r="C47" i="20"/>
  <c r="AB44" i="25"/>
  <c r="AC44" i="25"/>
  <c r="AA44" i="25"/>
  <c r="Z44" i="25"/>
  <c r="F45" i="25"/>
  <c r="J45" i="25"/>
  <c r="I45" i="25"/>
  <c r="G45" i="25"/>
  <c r="H45" i="25"/>
  <c r="D46" i="25"/>
  <c r="E46" i="25"/>
  <c r="E45" i="24"/>
  <c r="D45" i="24"/>
  <c r="K43" i="24"/>
  <c r="L43" i="24"/>
  <c r="M43" i="24"/>
  <c r="N43" i="24"/>
  <c r="AA43" i="24"/>
  <c r="Z43" i="24"/>
  <c r="AC43" i="24"/>
  <c r="AB43" i="24"/>
  <c r="P44" i="25"/>
  <c r="R44" i="25"/>
  <c r="S44" i="25"/>
  <c r="Q44" i="25"/>
  <c r="F45" i="20"/>
  <c r="H45" i="20"/>
  <c r="I45" i="20"/>
  <c r="G45" i="20"/>
  <c r="J45" i="20"/>
  <c r="F44" i="24"/>
  <c r="J44" i="24"/>
  <c r="G44" i="24"/>
  <c r="I44" i="24"/>
  <c r="H44" i="24"/>
  <c r="N44" i="20"/>
  <c r="K44" i="20"/>
  <c r="L44" i="20"/>
  <c r="M44" i="20"/>
  <c r="Q43" i="24"/>
  <c r="S43" i="24"/>
  <c r="P43" i="24"/>
  <c r="R43" i="24"/>
  <c r="E46" i="20"/>
  <c r="D46" i="20"/>
  <c r="L44" i="25"/>
  <c r="N44" i="25"/>
  <c r="K44" i="25"/>
  <c r="M44" i="25"/>
  <c r="B47" i="25"/>
  <c r="C47" i="25"/>
  <c r="C46" i="24"/>
  <c r="B46" i="24"/>
  <c r="K49" i="22" l="1"/>
  <c r="N49" i="22"/>
  <c r="M49" i="22"/>
  <c r="L49" i="22"/>
  <c r="U49" i="22"/>
  <c r="X49" i="22"/>
  <c r="V49" i="22"/>
  <c r="W49" i="22"/>
  <c r="D46" i="23"/>
  <c r="E46" i="23"/>
  <c r="Q49" i="22"/>
  <c r="R49" i="22"/>
  <c r="P49" i="22"/>
  <c r="S49" i="22"/>
  <c r="J45" i="23"/>
  <c r="H45" i="23"/>
  <c r="I45" i="23"/>
  <c r="F45" i="23"/>
  <c r="G45" i="23"/>
  <c r="C52" i="22"/>
  <c r="B52" i="22"/>
  <c r="M44" i="23"/>
  <c r="L44" i="23"/>
  <c r="N44" i="23"/>
  <c r="K44" i="23"/>
  <c r="G50" i="22"/>
  <c r="J50" i="22"/>
  <c r="H50" i="22"/>
  <c r="F50" i="22"/>
  <c r="I50" i="22"/>
  <c r="AB49" i="22"/>
  <c r="AC49" i="22"/>
  <c r="AA49" i="22"/>
  <c r="Z49" i="22"/>
  <c r="P44" i="23"/>
  <c r="S44" i="23"/>
  <c r="Q44" i="23"/>
  <c r="R44" i="23"/>
  <c r="AA44" i="23"/>
  <c r="Z44" i="23"/>
  <c r="AC44" i="23"/>
  <c r="AB44" i="23"/>
  <c r="C47" i="23"/>
  <c r="B47" i="23"/>
  <c r="V44" i="23"/>
  <c r="W44" i="23"/>
  <c r="U44" i="23"/>
  <c r="X44" i="23"/>
  <c r="E51" i="22"/>
  <c r="D51" i="22"/>
  <c r="V44" i="16"/>
  <c r="X44" i="16"/>
  <c r="W44" i="16"/>
  <c r="U44" i="16"/>
  <c r="D46" i="16"/>
  <c r="E46" i="16"/>
  <c r="C47" i="21"/>
  <c r="B47" i="21"/>
  <c r="N44" i="2"/>
  <c r="M44" i="2"/>
  <c r="K44" i="2"/>
  <c r="L44" i="2"/>
  <c r="J45" i="21"/>
  <c r="H45" i="21"/>
  <c r="I45" i="21"/>
  <c r="G45" i="21"/>
  <c r="F45" i="21"/>
  <c r="D27" i="7"/>
  <c r="B47" i="2"/>
  <c r="C47" i="2"/>
  <c r="C47" i="16"/>
  <c r="B47" i="16"/>
  <c r="D46" i="21"/>
  <c r="E46" i="21"/>
  <c r="P44" i="21"/>
  <c r="Q44" i="21"/>
  <c r="R44" i="21"/>
  <c r="S44" i="21"/>
  <c r="AC44" i="2"/>
  <c r="AB44" i="2"/>
  <c r="Z44" i="2"/>
  <c r="AA44" i="2"/>
  <c r="AB44" i="16"/>
  <c r="Z44" i="16"/>
  <c r="AA44" i="16"/>
  <c r="AC44" i="16"/>
  <c r="M44" i="16"/>
  <c r="N44" i="16"/>
  <c r="K44" i="16"/>
  <c r="L44" i="16"/>
  <c r="N44" i="21"/>
  <c r="M44" i="21"/>
  <c r="K44" i="21"/>
  <c r="L44" i="21"/>
  <c r="U44" i="21"/>
  <c r="X44" i="21"/>
  <c r="V44" i="21"/>
  <c r="W44" i="21"/>
  <c r="X44" i="2"/>
  <c r="AC25" i="7" s="1"/>
  <c r="AB25" i="7" s="1"/>
  <c r="V44" i="2"/>
  <c r="W25" i="7" s="1"/>
  <c r="V25" i="7" s="1"/>
  <c r="W44" i="2"/>
  <c r="Z25" i="7" s="1"/>
  <c r="Y25" i="7" s="1"/>
  <c r="U44" i="2"/>
  <c r="T25" i="7" s="1"/>
  <c r="S25" i="7" s="1"/>
  <c r="J45" i="2"/>
  <c r="H45" i="2"/>
  <c r="I45" i="2"/>
  <c r="G45" i="2"/>
  <c r="F45" i="2"/>
  <c r="I45" i="16"/>
  <c r="F45" i="16"/>
  <c r="G45" i="16"/>
  <c r="J45" i="16"/>
  <c r="H45" i="16"/>
  <c r="S44" i="16"/>
  <c r="R44" i="16"/>
  <c r="Q44" i="16"/>
  <c r="P44" i="16"/>
  <c r="D46" i="2"/>
  <c r="E46" i="2"/>
  <c r="C27" i="7"/>
  <c r="AC44" i="21"/>
  <c r="AB44" i="21"/>
  <c r="Z44" i="21"/>
  <c r="AA44" i="21"/>
  <c r="R44" i="2"/>
  <c r="M25" i="7" s="1"/>
  <c r="L25" i="7" s="1"/>
  <c r="P44" i="2"/>
  <c r="G25" i="7" s="1"/>
  <c r="F25" i="7" s="1"/>
  <c r="Q44" i="2"/>
  <c r="J25" i="7" s="1"/>
  <c r="I25" i="7" s="1"/>
  <c r="S44" i="2"/>
  <c r="P25" i="7" s="1"/>
  <c r="O25" i="7" s="1"/>
  <c r="D46" i="24"/>
  <c r="E46" i="24"/>
  <c r="S44" i="24"/>
  <c r="R44" i="24"/>
  <c r="Q44" i="24"/>
  <c r="P44" i="24"/>
  <c r="R45" i="20"/>
  <c r="Q45" i="20"/>
  <c r="S45" i="20"/>
  <c r="P45" i="20"/>
  <c r="U45" i="25"/>
  <c r="X45" i="25"/>
  <c r="V45" i="25"/>
  <c r="W45" i="25"/>
  <c r="K45" i="25"/>
  <c r="L45" i="25"/>
  <c r="M45" i="25"/>
  <c r="N45" i="25"/>
  <c r="B20" i="17"/>
  <c r="A21" i="17" s="1"/>
  <c r="C47" i="24"/>
  <c r="B47" i="24"/>
  <c r="I46" i="20"/>
  <c r="F46" i="20"/>
  <c r="H46" i="20"/>
  <c r="G46" i="20"/>
  <c r="J46" i="20"/>
  <c r="AC44" i="24"/>
  <c r="Z44" i="24"/>
  <c r="AB44" i="24"/>
  <c r="AA44" i="24"/>
  <c r="I45" i="24"/>
  <c r="J45" i="24"/>
  <c r="H45" i="24"/>
  <c r="G45" i="24"/>
  <c r="F45" i="24"/>
  <c r="S45" i="25"/>
  <c r="R45" i="25"/>
  <c r="P45" i="25"/>
  <c r="Q45" i="25"/>
  <c r="B48" i="20"/>
  <c r="C48" i="20"/>
  <c r="B48" i="25"/>
  <c r="C48" i="25"/>
  <c r="X44" i="24"/>
  <c r="U44" i="24"/>
  <c r="V44" i="24"/>
  <c r="W44" i="24"/>
  <c r="L44" i="24"/>
  <c r="M44" i="24"/>
  <c r="N44" i="24"/>
  <c r="K44" i="24"/>
  <c r="U45" i="20"/>
  <c r="V45" i="20"/>
  <c r="W45" i="20"/>
  <c r="X45" i="20"/>
  <c r="F46" i="25"/>
  <c r="G46" i="25"/>
  <c r="H46" i="25"/>
  <c r="I46" i="25"/>
  <c r="J46" i="25"/>
  <c r="E47" i="20"/>
  <c r="D47" i="20"/>
  <c r="D47" i="25"/>
  <c r="E47" i="25"/>
  <c r="AB45" i="20"/>
  <c r="AA45" i="20"/>
  <c r="Z45" i="20"/>
  <c r="AC45" i="20"/>
  <c r="N45" i="20"/>
  <c r="K45" i="20"/>
  <c r="L45" i="20"/>
  <c r="M45" i="20"/>
  <c r="AA45" i="25"/>
  <c r="AC45" i="25"/>
  <c r="AB45" i="25"/>
  <c r="Z45" i="25"/>
  <c r="C19" i="17"/>
  <c r="X50" i="22" l="1"/>
  <c r="V50" i="22"/>
  <c r="W50" i="22"/>
  <c r="U50" i="22"/>
  <c r="V45" i="23"/>
  <c r="W45" i="23"/>
  <c r="X45" i="23"/>
  <c r="U45" i="23"/>
  <c r="B48" i="23"/>
  <c r="C48" i="23"/>
  <c r="AA50" i="22"/>
  <c r="Z50" i="22"/>
  <c r="AB50" i="22"/>
  <c r="AC50" i="22"/>
  <c r="P45" i="23"/>
  <c r="R45" i="23"/>
  <c r="Q45" i="23"/>
  <c r="S45" i="23"/>
  <c r="Z45" i="23"/>
  <c r="AC45" i="23"/>
  <c r="AB45" i="23"/>
  <c r="AA45" i="23"/>
  <c r="D47" i="23"/>
  <c r="E47" i="23"/>
  <c r="R50" i="22"/>
  <c r="Q50" i="22"/>
  <c r="S50" i="22"/>
  <c r="P50" i="22"/>
  <c r="L45" i="23"/>
  <c r="M45" i="23"/>
  <c r="N45" i="23"/>
  <c r="K45" i="23"/>
  <c r="H46" i="23"/>
  <c r="G46" i="23"/>
  <c r="F46" i="23"/>
  <c r="I46" i="23"/>
  <c r="J46" i="23"/>
  <c r="G51" i="22"/>
  <c r="J51" i="22"/>
  <c r="I51" i="22"/>
  <c r="H51" i="22"/>
  <c r="F51" i="22"/>
  <c r="L50" i="22"/>
  <c r="K50" i="22"/>
  <c r="M50" i="22"/>
  <c r="N50" i="22"/>
  <c r="E52" i="22"/>
  <c r="D52" i="22"/>
  <c r="X45" i="16"/>
  <c r="W45" i="16"/>
  <c r="V45" i="16"/>
  <c r="U45" i="16"/>
  <c r="W45" i="2"/>
  <c r="Z26" i="7" s="1"/>
  <c r="Y26" i="7" s="1"/>
  <c r="U45" i="2"/>
  <c r="T26" i="7" s="1"/>
  <c r="S26" i="7" s="1"/>
  <c r="X45" i="2"/>
  <c r="AC26" i="7" s="1"/>
  <c r="AB26" i="7" s="1"/>
  <c r="V45" i="2"/>
  <c r="W26" i="7" s="1"/>
  <c r="V26" i="7" s="1"/>
  <c r="E47" i="2"/>
  <c r="D47" i="2"/>
  <c r="C28" i="7"/>
  <c r="C48" i="21"/>
  <c r="B48" i="21"/>
  <c r="H46" i="21"/>
  <c r="F46" i="21"/>
  <c r="G46" i="21"/>
  <c r="I46" i="21"/>
  <c r="J46" i="21"/>
  <c r="B48" i="2"/>
  <c r="C48" i="2"/>
  <c r="D28" i="7"/>
  <c r="AA45" i="16"/>
  <c r="AC45" i="16"/>
  <c r="Z45" i="16"/>
  <c r="AB45" i="16"/>
  <c r="N45" i="2"/>
  <c r="K45" i="2"/>
  <c r="L45" i="2"/>
  <c r="M45" i="2"/>
  <c r="AB45" i="2"/>
  <c r="AC45" i="2"/>
  <c r="AA45" i="2"/>
  <c r="Z45" i="2"/>
  <c r="D47" i="16"/>
  <c r="E47" i="16"/>
  <c r="W45" i="21"/>
  <c r="X45" i="21"/>
  <c r="U45" i="21"/>
  <c r="V45" i="21"/>
  <c r="G46" i="16"/>
  <c r="H46" i="16"/>
  <c r="F46" i="16"/>
  <c r="J46" i="16"/>
  <c r="I46" i="16"/>
  <c r="L45" i="16"/>
  <c r="M45" i="16"/>
  <c r="N45" i="16"/>
  <c r="K45" i="16"/>
  <c r="P45" i="21"/>
  <c r="R45" i="21"/>
  <c r="S45" i="21"/>
  <c r="Q45" i="21"/>
  <c r="D47" i="21"/>
  <c r="E47" i="21"/>
  <c r="H46" i="2"/>
  <c r="I46" i="2"/>
  <c r="G46" i="2"/>
  <c r="J46" i="2"/>
  <c r="F46" i="2"/>
  <c r="R45" i="16"/>
  <c r="Q45" i="16"/>
  <c r="P45" i="16"/>
  <c r="S45" i="16"/>
  <c r="P45" i="2"/>
  <c r="G26" i="7" s="1"/>
  <c r="F26" i="7" s="1"/>
  <c r="S45" i="2"/>
  <c r="P26" i="7" s="1"/>
  <c r="O26" i="7" s="1"/>
  <c r="Q45" i="2"/>
  <c r="J26" i="7" s="1"/>
  <c r="I26" i="7" s="1"/>
  <c r="R45" i="2"/>
  <c r="M26" i="7" s="1"/>
  <c r="L26" i="7" s="1"/>
  <c r="B48" i="16"/>
  <c r="C48" i="16"/>
  <c r="N45" i="21"/>
  <c r="K45" i="21"/>
  <c r="M45" i="21"/>
  <c r="L45" i="21"/>
  <c r="Z45" i="21"/>
  <c r="AC45" i="21"/>
  <c r="AA45" i="21"/>
  <c r="AB45" i="21"/>
  <c r="C49" i="20"/>
  <c r="B49" i="20"/>
  <c r="E47" i="24"/>
  <c r="D47" i="24"/>
  <c r="W46" i="25"/>
  <c r="U46" i="25"/>
  <c r="V46" i="25"/>
  <c r="X46" i="25"/>
  <c r="D48" i="20"/>
  <c r="E48" i="20"/>
  <c r="C48" i="24"/>
  <c r="B48" i="24"/>
  <c r="I47" i="20"/>
  <c r="J47" i="20"/>
  <c r="G47" i="20"/>
  <c r="F47" i="20"/>
  <c r="H47" i="20"/>
  <c r="S46" i="25"/>
  <c r="P46" i="25"/>
  <c r="R46" i="25"/>
  <c r="Q46" i="25"/>
  <c r="C49" i="25"/>
  <c r="B49" i="25"/>
  <c r="N45" i="24"/>
  <c r="L45" i="24"/>
  <c r="K45" i="24"/>
  <c r="M45" i="24"/>
  <c r="N46" i="20"/>
  <c r="K46" i="20"/>
  <c r="L46" i="20"/>
  <c r="M46" i="20"/>
  <c r="C20" i="17"/>
  <c r="J46" i="24"/>
  <c r="G46" i="24"/>
  <c r="H46" i="24"/>
  <c r="I46" i="24"/>
  <c r="F46" i="24"/>
  <c r="V45" i="24"/>
  <c r="U45" i="24"/>
  <c r="W45" i="24"/>
  <c r="X45" i="24"/>
  <c r="Q46" i="20"/>
  <c r="P46" i="20"/>
  <c r="R46" i="20"/>
  <c r="S46" i="20"/>
  <c r="J47" i="25"/>
  <c r="G47" i="25"/>
  <c r="H47" i="25"/>
  <c r="I47" i="25"/>
  <c r="F47" i="25"/>
  <c r="AB45" i="24"/>
  <c r="Z45" i="24"/>
  <c r="AA45" i="24"/>
  <c r="AC45" i="24"/>
  <c r="W46" i="20"/>
  <c r="U46" i="20"/>
  <c r="V46" i="20"/>
  <c r="X46" i="20"/>
  <c r="AB46" i="25"/>
  <c r="AA46" i="25"/>
  <c r="AC46" i="25"/>
  <c r="Z46" i="25"/>
  <c r="L46" i="25"/>
  <c r="M46" i="25"/>
  <c r="N46" i="25"/>
  <c r="K46" i="25"/>
  <c r="E48" i="25"/>
  <c r="D48" i="25"/>
  <c r="R45" i="24"/>
  <c r="S45" i="24"/>
  <c r="P45" i="24"/>
  <c r="Q45" i="24"/>
  <c r="AC46" i="20"/>
  <c r="Z46" i="20"/>
  <c r="AB46" i="20"/>
  <c r="AA46" i="20"/>
  <c r="B21" i="17"/>
  <c r="A22" i="17" s="1"/>
  <c r="G52" i="22" l="1"/>
  <c r="H52" i="22"/>
  <c r="F52" i="22"/>
  <c r="J52" i="22"/>
  <c r="I52" i="22"/>
  <c r="AB51" i="22"/>
  <c r="Z51" i="22"/>
  <c r="AC51" i="22"/>
  <c r="AA51" i="22"/>
  <c r="K46" i="23"/>
  <c r="L46" i="23"/>
  <c r="M46" i="23"/>
  <c r="N46" i="23"/>
  <c r="C21" i="17"/>
  <c r="K51" i="22"/>
  <c r="N51" i="22"/>
  <c r="L51" i="22"/>
  <c r="M51" i="22"/>
  <c r="Q51" i="22"/>
  <c r="S51" i="22"/>
  <c r="R51" i="22"/>
  <c r="P51" i="22"/>
  <c r="Q46" i="23"/>
  <c r="S46" i="23"/>
  <c r="R46" i="23"/>
  <c r="P46" i="23"/>
  <c r="C49" i="23"/>
  <c r="B49" i="23"/>
  <c r="G47" i="23"/>
  <c r="J47" i="23"/>
  <c r="I47" i="23"/>
  <c r="F47" i="23"/>
  <c r="H47" i="23"/>
  <c r="U51" i="22"/>
  <c r="V51" i="22"/>
  <c r="X51" i="22"/>
  <c r="W51" i="22"/>
  <c r="Z46" i="23"/>
  <c r="AB46" i="23"/>
  <c r="AC46" i="23"/>
  <c r="AA46" i="23"/>
  <c r="U46" i="23"/>
  <c r="X46" i="23"/>
  <c r="V46" i="23"/>
  <c r="W46" i="23"/>
  <c r="D48" i="23"/>
  <c r="E48" i="23"/>
  <c r="D48" i="16"/>
  <c r="E48" i="16"/>
  <c r="B49" i="2"/>
  <c r="D29" i="7"/>
  <c r="C49" i="2"/>
  <c r="C49" i="21"/>
  <c r="B49" i="21"/>
  <c r="M46" i="2"/>
  <c r="N46" i="2"/>
  <c r="K46" i="2"/>
  <c r="L46" i="2"/>
  <c r="V46" i="2"/>
  <c r="W27" i="7" s="1"/>
  <c r="V27" i="7" s="1"/>
  <c r="W46" i="2"/>
  <c r="Z27" i="7" s="1"/>
  <c r="Y27" i="7" s="1"/>
  <c r="U46" i="2"/>
  <c r="T27" i="7" s="1"/>
  <c r="S27" i="7" s="1"/>
  <c r="X46" i="2"/>
  <c r="AC27" i="7" s="1"/>
  <c r="AB27" i="7" s="1"/>
  <c r="AC46" i="16"/>
  <c r="AB46" i="16"/>
  <c r="Z46" i="16"/>
  <c r="AA46" i="16"/>
  <c r="J47" i="16"/>
  <c r="I47" i="16"/>
  <c r="H47" i="16"/>
  <c r="F47" i="16"/>
  <c r="G47" i="16"/>
  <c r="E48" i="2"/>
  <c r="D48" i="2"/>
  <c r="C29" i="7"/>
  <c r="M46" i="21"/>
  <c r="K46" i="21"/>
  <c r="N46" i="21"/>
  <c r="L46" i="21"/>
  <c r="S46" i="16"/>
  <c r="R46" i="16"/>
  <c r="P46" i="16"/>
  <c r="Q46" i="16"/>
  <c r="S46" i="21"/>
  <c r="R46" i="21"/>
  <c r="P46" i="21"/>
  <c r="Q46" i="21"/>
  <c r="Z46" i="2"/>
  <c r="AB46" i="2"/>
  <c r="AC46" i="2"/>
  <c r="AA46" i="2"/>
  <c r="F47" i="21"/>
  <c r="J47" i="21"/>
  <c r="I47" i="21"/>
  <c r="G47" i="21"/>
  <c r="H47" i="21"/>
  <c r="N46" i="16"/>
  <c r="M46" i="16"/>
  <c r="K46" i="16"/>
  <c r="L46" i="16"/>
  <c r="AC46" i="21"/>
  <c r="AB46" i="21"/>
  <c r="Z46" i="21"/>
  <c r="AA46" i="21"/>
  <c r="X46" i="21"/>
  <c r="V46" i="21"/>
  <c r="U46" i="21"/>
  <c r="W46" i="21"/>
  <c r="C49" i="16"/>
  <c r="B49" i="16"/>
  <c r="S46" i="2"/>
  <c r="P27" i="7" s="1"/>
  <c r="O27" i="7" s="1"/>
  <c r="R46" i="2"/>
  <c r="M27" i="7" s="1"/>
  <c r="L27" i="7" s="1"/>
  <c r="Q46" i="2"/>
  <c r="J27" i="7" s="1"/>
  <c r="I27" i="7" s="1"/>
  <c r="P46" i="2"/>
  <c r="G27" i="7" s="1"/>
  <c r="F27" i="7" s="1"/>
  <c r="W46" i="16"/>
  <c r="V46" i="16"/>
  <c r="X46" i="16"/>
  <c r="U46" i="16"/>
  <c r="E48" i="21"/>
  <c r="D48" i="21"/>
  <c r="H47" i="2"/>
  <c r="I47" i="2"/>
  <c r="G47" i="2"/>
  <c r="F47" i="2"/>
  <c r="J47" i="2"/>
  <c r="S46" i="24"/>
  <c r="Q46" i="24"/>
  <c r="P46" i="24"/>
  <c r="R46" i="24"/>
  <c r="B50" i="25"/>
  <c r="C50" i="25"/>
  <c r="Z47" i="20"/>
  <c r="AC47" i="20"/>
  <c r="AA47" i="20"/>
  <c r="AB47" i="20"/>
  <c r="G48" i="20"/>
  <c r="J48" i="20"/>
  <c r="F48" i="20"/>
  <c r="I48" i="20"/>
  <c r="H48" i="20"/>
  <c r="S47" i="25"/>
  <c r="Q47" i="25"/>
  <c r="P47" i="25"/>
  <c r="R47" i="25"/>
  <c r="N47" i="20"/>
  <c r="K47" i="20"/>
  <c r="L47" i="20"/>
  <c r="M47" i="20"/>
  <c r="D48" i="24"/>
  <c r="E48" i="24"/>
  <c r="D49" i="20"/>
  <c r="E49" i="20"/>
  <c r="K47" i="25"/>
  <c r="L47" i="25"/>
  <c r="M47" i="25"/>
  <c r="N47" i="25"/>
  <c r="Z47" i="25"/>
  <c r="AB47" i="25"/>
  <c r="AC47" i="25"/>
  <c r="AA47" i="25"/>
  <c r="X46" i="24"/>
  <c r="U46" i="24"/>
  <c r="V46" i="24"/>
  <c r="W46" i="24"/>
  <c r="E49" i="25"/>
  <c r="D49" i="25"/>
  <c r="P47" i="20"/>
  <c r="R47" i="20"/>
  <c r="S47" i="20"/>
  <c r="Q47" i="20"/>
  <c r="C49" i="24"/>
  <c r="B49" i="24"/>
  <c r="C50" i="20"/>
  <c r="B50" i="20"/>
  <c r="J48" i="25"/>
  <c r="G48" i="25"/>
  <c r="F48" i="25"/>
  <c r="H48" i="25"/>
  <c r="I48" i="25"/>
  <c r="B22" i="17"/>
  <c r="A23" i="17" s="1"/>
  <c r="X47" i="25"/>
  <c r="V47" i="25"/>
  <c r="U47" i="25"/>
  <c r="W47" i="25"/>
  <c r="K46" i="24"/>
  <c r="M46" i="24"/>
  <c r="N46" i="24"/>
  <c r="L46" i="24"/>
  <c r="Z46" i="24"/>
  <c r="AA46" i="24"/>
  <c r="AC46" i="24"/>
  <c r="AB46" i="24"/>
  <c r="W47" i="20"/>
  <c r="U47" i="20"/>
  <c r="V47" i="20"/>
  <c r="X47" i="20"/>
  <c r="G47" i="24"/>
  <c r="I47" i="24"/>
  <c r="J47" i="24"/>
  <c r="F47" i="24"/>
  <c r="H47" i="24"/>
  <c r="L47" i="23" l="1"/>
  <c r="N47" i="23"/>
  <c r="M47" i="23"/>
  <c r="K47" i="23"/>
  <c r="F48" i="23"/>
  <c r="H48" i="23"/>
  <c r="J48" i="23"/>
  <c r="G48" i="23"/>
  <c r="I48" i="23"/>
  <c r="B50" i="23"/>
  <c r="C50" i="23"/>
  <c r="L52" i="22"/>
  <c r="M52" i="22"/>
  <c r="N52" i="22"/>
  <c r="K52" i="22"/>
  <c r="E49" i="23"/>
  <c r="D49" i="23"/>
  <c r="AC52" i="22"/>
  <c r="AB52" i="22"/>
  <c r="AA52" i="22"/>
  <c r="Z52" i="22"/>
  <c r="AB47" i="23"/>
  <c r="AA47" i="23"/>
  <c r="Z47" i="23"/>
  <c r="AC47" i="23"/>
  <c r="V52" i="22"/>
  <c r="X52" i="22"/>
  <c r="W52" i="22"/>
  <c r="U52" i="22"/>
  <c r="V47" i="23"/>
  <c r="W47" i="23"/>
  <c r="X47" i="23"/>
  <c r="U47" i="23"/>
  <c r="Q47" i="23"/>
  <c r="S47" i="23"/>
  <c r="P47" i="23"/>
  <c r="R47" i="23"/>
  <c r="Q52" i="22"/>
  <c r="P52" i="22"/>
  <c r="S52" i="22"/>
  <c r="R52" i="22"/>
  <c r="K47" i="2"/>
  <c r="M47" i="2"/>
  <c r="N47" i="2"/>
  <c r="L47" i="2"/>
  <c r="S47" i="2"/>
  <c r="P28" i="7" s="1"/>
  <c r="O28" i="7" s="1"/>
  <c r="P47" i="2"/>
  <c r="G28" i="7" s="1"/>
  <c r="F28" i="7" s="1"/>
  <c r="R47" i="2"/>
  <c r="M28" i="7" s="1"/>
  <c r="L28" i="7" s="1"/>
  <c r="Q47" i="2"/>
  <c r="J28" i="7" s="1"/>
  <c r="I28" i="7" s="1"/>
  <c r="J48" i="21"/>
  <c r="F48" i="21"/>
  <c r="H48" i="21"/>
  <c r="G48" i="21"/>
  <c r="I48" i="21"/>
  <c r="Q47" i="21"/>
  <c r="P47" i="21"/>
  <c r="R47" i="21"/>
  <c r="S47" i="21"/>
  <c r="K47" i="16"/>
  <c r="M47" i="16"/>
  <c r="N47" i="16"/>
  <c r="L47" i="16"/>
  <c r="E49" i="21"/>
  <c r="D49" i="21"/>
  <c r="D49" i="2"/>
  <c r="C30" i="7"/>
  <c r="E49" i="2"/>
  <c r="N47" i="21"/>
  <c r="L47" i="21"/>
  <c r="M47" i="21"/>
  <c r="K47" i="21"/>
  <c r="E49" i="16"/>
  <c r="D49" i="16"/>
  <c r="W47" i="16"/>
  <c r="X47" i="16"/>
  <c r="V47" i="16"/>
  <c r="U47" i="16"/>
  <c r="B50" i="21"/>
  <c r="C50" i="21"/>
  <c r="G48" i="16"/>
  <c r="F48" i="16"/>
  <c r="J48" i="16"/>
  <c r="I48" i="16"/>
  <c r="H48" i="16"/>
  <c r="V47" i="21"/>
  <c r="X47" i="21"/>
  <c r="W47" i="21"/>
  <c r="U47" i="21"/>
  <c r="P47" i="16"/>
  <c r="Q47" i="16"/>
  <c r="S47" i="16"/>
  <c r="R47" i="16"/>
  <c r="Z47" i="16"/>
  <c r="AA47" i="16"/>
  <c r="AC47" i="16"/>
  <c r="AB47" i="16"/>
  <c r="AB47" i="2"/>
  <c r="AA47" i="2"/>
  <c r="AC47" i="2"/>
  <c r="Z47" i="2"/>
  <c r="W47" i="2"/>
  <c r="Z28" i="7" s="1"/>
  <c r="Y28" i="7" s="1"/>
  <c r="X47" i="2"/>
  <c r="AC28" i="7" s="1"/>
  <c r="AB28" i="7" s="1"/>
  <c r="U47" i="2"/>
  <c r="T28" i="7" s="1"/>
  <c r="S28" i="7" s="1"/>
  <c r="V47" i="2"/>
  <c r="W28" i="7" s="1"/>
  <c r="V28" i="7" s="1"/>
  <c r="C50" i="16"/>
  <c r="B50" i="16"/>
  <c r="AC47" i="21"/>
  <c r="AB47" i="21"/>
  <c r="Z47" i="21"/>
  <c r="AA47" i="21"/>
  <c r="J48" i="2"/>
  <c r="G48" i="2"/>
  <c r="I48" i="2"/>
  <c r="H48" i="2"/>
  <c r="F48" i="2"/>
  <c r="D30" i="7"/>
  <c r="B50" i="2"/>
  <c r="C50" i="2"/>
  <c r="AC47" i="24"/>
  <c r="AB47" i="24"/>
  <c r="AA47" i="24"/>
  <c r="Z47" i="24"/>
  <c r="B23" i="17"/>
  <c r="A24" i="17" s="1"/>
  <c r="X48" i="25"/>
  <c r="V48" i="25"/>
  <c r="W48" i="25"/>
  <c r="U48" i="25"/>
  <c r="C50" i="24"/>
  <c r="B50" i="24"/>
  <c r="AB48" i="20"/>
  <c r="Z48" i="20"/>
  <c r="AC48" i="20"/>
  <c r="AA48" i="20"/>
  <c r="N48" i="25"/>
  <c r="K48" i="25"/>
  <c r="L48" i="25"/>
  <c r="M48" i="25"/>
  <c r="I49" i="20"/>
  <c r="F49" i="20"/>
  <c r="G49" i="20"/>
  <c r="H49" i="20"/>
  <c r="J49" i="20"/>
  <c r="V48" i="20"/>
  <c r="X48" i="20"/>
  <c r="U48" i="20"/>
  <c r="W48" i="20"/>
  <c r="W47" i="24"/>
  <c r="V47" i="24"/>
  <c r="U47" i="24"/>
  <c r="X47" i="24"/>
  <c r="Q47" i="24"/>
  <c r="S47" i="24"/>
  <c r="P47" i="24"/>
  <c r="R47" i="24"/>
  <c r="P48" i="25"/>
  <c r="S48" i="25"/>
  <c r="Q48" i="25"/>
  <c r="R48" i="25"/>
  <c r="I49" i="25"/>
  <c r="F49" i="25"/>
  <c r="G49" i="25"/>
  <c r="J49" i="25"/>
  <c r="H49" i="25"/>
  <c r="C51" i="25"/>
  <c r="B51" i="25"/>
  <c r="E50" i="20"/>
  <c r="D50" i="20"/>
  <c r="B51" i="20"/>
  <c r="C51" i="20"/>
  <c r="Q48" i="20"/>
  <c r="R48" i="20"/>
  <c r="S48" i="20"/>
  <c r="P48" i="20"/>
  <c r="L47" i="24"/>
  <c r="M47" i="24"/>
  <c r="N47" i="24"/>
  <c r="K47" i="24"/>
  <c r="C22" i="17"/>
  <c r="Z48" i="25"/>
  <c r="AC48" i="25"/>
  <c r="AA48" i="25"/>
  <c r="AB48" i="25"/>
  <c r="D49" i="24"/>
  <c r="E49" i="24"/>
  <c r="I48" i="24"/>
  <c r="J48" i="24"/>
  <c r="G48" i="24"/>
  <c r="F48" i="24"/>
  <c r="H48" i="24"/>
  <c r="N48" i="20"/>
  <c r="K48" i="20"/>
  <c r="L48" i="20"/>
  <c r="M48" i="20"/>
  <c r="D50" i="25"/>
  <c r="E50" i="25"/>
  <c r="Q48" i="23" l="1"/>
  <c r="S48" i="23"/>
  <c r="P48" i="23"/>
  <c r="R48" i="23"/>
  <c r="C51" i="23"/>
  <c r="B51" i="23"/>
  <c r="Z48" i="23"/>
  <c r="AC48" i="23"/>
  <c r="AB48" i="23"/>
  <c r="AA48" i="23"/>
  <c r="H49" i="23"/>
  <c r="I49" i="23"/>
  <c r="J49" i="23"/>
  <c r="G49" i="23"/>
  <c r="F49" i="23"/>
  <c r="D50" i="23"/>
  <c r="E50" i="23"/>
  <c r="W48" i="23"/>
  <c r="V48" i="23"/>
  <c r="U48" i="23"/>
  <c r="X48" i="23"/>
  <c r="M48" i="23"/>
  <c r="N48" i="23"/>
  <c r="L48" i="23"/>
  <c r="K48" i="23"/>
  <c r="D50" i="2"/>
  <c r="C31" i="7"/>
  <c r="E50" i="2"/>
  <c r="C51" i="16"/>
  <c r="B51" i="16"/>
  <c r="L48" i="16"/>
  <c r="M48" i="16"/>
  <c r="N48" i="16"/>
  <c r="K48" i="16"/>
  <c r="Q48" i="2"/>
  <c r="J29" i="7" s="1"/>
  <c r="I29" i="7" s="1"/>
  <c r="P48" i="2"/>
  <c r="G29" i="7" s="1"/>
  <c r="F29" i="7" s="1"/>
  <c r="S48" i="2"/>
  <c r="P29" i="7" s="1"/>
  <c r="O29" i="7" s="1"/>
  <c r="R48" i="2"/>
  <c r="M29" i="7" s="1"/>
  <c r="L29" i="7" s="1"/>
  <c r="W48" i="16"/>
  <c r="V48" i="16"/>
  <c r="X48" i="16"/>
  <c r="U48" i="16"/>
  <c r="S48" i="16"/>
  <c r="R48" i="16"/>
  <c r="Q48" i="16"/>
  <c r="P48" i="16"/>
  <c r="I49" i="16"/>
  <c r="J49" i="16"/>
  <c r="H49" i="16"/>
  <c r="G49" i="16"/>
  <c r="F49" i="16"/>
  <c r="V48" i="21"/>
  <c r="U48" i="21"/>
  <c r="W48" i="21"/>
  <c r="X48" i="21"/>
  <c r="Q48" i="21"/>
  <c r="R48" i="21"/>
  <c r="P48" i="21"/>
  <c r="S48" i="21"/>
  <c r="N48" i="2"/>
  <c r="K48" i="2"/>
  <c r="L48" i="2"/>
  <c r="M48" i="2"/>
  <c r="AA48" i="2"/>
  <c r="AB48" i="2"/>
  <c r="AC48" i="2"/>
  <c r="Z48" i="2"/>
  <c r="B51" i="21"/>
  <c r="C51" i="21"/>
  <c r="J49" i="2"/>
  <c r="F49" i="2"/>
  <c r="I49" i="2"/>
  <c r="G49" i="2"/>
  <c r="H49" i="2"/>
  <c r="J49" i="21"/>
  <c r="H49" i="21"/>
  <c r="G49" i="21"/>
  <c r="I49" i="21"/>
  <c r="F49" i="21"/>
  <c r="L48" i="21"/>
  <c r="K48" i="21"/>
  <c r="M48" i="21"/>
  <c r="N48" i="21"/>
  <c r="D31" i="7"/>
  <c r="C51" i="2"/>
  <c r="B51" i="2"/>
  <c r="U48" i="2"/>
  <c r="T29" i="7" s="1"/>
  <c r="S29" i="7" s="1"/>
  <c r="V48" i="2"/>
  <c r="W29" i="7" s="1"/>
  <c r="V29" i="7" s="1"/>
  <c r="W48" i="2"/>
  <c r="Z29" i="7" s="1"/>
  <c r="Y29" i="7" s="1"/>
  <c r="X48" i="2"/>
  <c r="AC29" i="7" s="1"/>
  <c r="AB29" i="7" s="1"/>
  <c r="E50" i="16"/>
  <c r="D50" i="16"/>
  <c r="AB48" i="16"/>
  <c r="Z48" i="16"/>
  <c r="AC48" i="16"/>
  <c r="AA48" i="16"/>
  <c r="E50" i="21"/>
  <c r="D50" i="21"/>
  <c r="AA48" i="21"/>
  <c r="Z48" i="21"/>
  <c r="AC48" i="21"/>
  <c r="AB48" i="21"/>
  <c r="G49" i="24"/>
  <c r="F49" i="24"/>
  <c r="I49" i="24"/>
  <c r="H49" i="24"/>
  <c r="J49" i="24"/>
  <c r="P49" i="20"/>
  <c r="Q49" i="20"/>
  <c r="R49" i="20"/>
  <c r="S49" i="20"/>
  <c r="C51" i="24"/>
  <c r="B51" i="24"/>
  <c r="V48" i="24"/>
  <c r="W48" i="24"/>
  <c r="X48" i="24"/>
  <c r="U48" i="24"/>
  <c r="J50" i="20"/>
  <c r="H50" i="20"/>
  <c r="I50" i="20"/>
  <c r="G50" i="20"/>
  <c r="F50" i="20"/>
  <c r="Q49" i="25"/>
  <c r="R49" i="25"/>
  <c r="P49" i="25"/>
  <c r="S49" i="25"/>
  <c r="K48" i="24"/>
  <c r="L48" i="24"/>
  <c r="M48" i="24"/>
  <c r="N48" i="24"/>
  <c r="M49" i="25"/>
  <c r="N49" i="25"/>
  <c r="K49" i="25"/>
  <c r="L49" i="25"/>
  <c r="AC49" i="20"/>
  <c r="AA49" i="20"/>
  <c r="AB49" i="20"/>
  <c r="Z49" i="20"/>
  <c r="C23" i="17"/>
  <c r="AC48" i="24"/>
  <c r="AA48" i="24"/>
  <c r="AB48" i="24"/>
  <c r="Z48" i="24"/>
  <c r="D51" i="20"/>
  <c r="E51" i="20"/>
  <c r="E51" i="25"/>
  <c r="D51" i="25"/>
  <c r="AC49" i="25"/>
  <c r="AA49" i="25"/>
  <c r="AB49" i="25"/>
  <c r="Z49" i="25"/>
  <c r="B52" i="25"/>
  <c r="C52" i="25"/>
  <c r="M49" i="20"/>
  <c r="N49" i="20"/>
  <c r="K49" i="20"/>
  <c r="L49" i="20"/>
  <c r="B24" i="17"/>
  <c r="A25" i="17" s="1"/>
  <c r="H50" i="25"/>
  <c r="G50" i="25"/>
  <c r="J50" i="25"/>
  <c r="F50" i="25"/>
  <c r="I50" i="25"/>
  <c r="S48" i="24"/>
  <c r="R48" i="24"/>
  <c r="Q48" i="24"/>
  <c r="P48" i="24"/>
  <c r="C52" i="20"/>
  <c r="B52" i="20"/>
  <c r="X49" i="25"/>
  <c r="W49" i="25"/>
  <c r="U49" i="25"/>
  <c r="V49" i="25"/>
  <c r="W49" i="20"/>
  <c r="V49" i="20"/>
  <c r="U49" i="20"/>
  <c r="X49" i="20"/>
  <c r="D50" i="24"/>
  <c r="E50" i="24"/>
  <c r="K49" i="23" l="1"/>
  <c r="L49" i="23"/>
  <c r="M49" i="23"/>
  <c r="N49" i="23"/>
  <c r="U49" i="23"/>
  <c r="W49" i="23"/>
  <c r="X49" i="23"/>
  <c r="V49" i="23"/>
  <c r="P49" i="23"/>
  <c r="R49" i="23"/>
  <c r="Q49" i="23"/>
  <c r="S49" i="23"/>
  <c r="E51" i="23"/>
  <c r="D51" i="23"/>
  <c r="C24" i="17"/>
  <c r="F50" i="23"/>
  <c r="I50" i="23"/>
  <c r="J50" i="23"/>
  <c r="H50" i="23"/>
  <c r="G50" i="23"/>
  <c r="AA49" i="23"/>
  <c r="Z49" i="23"/>
  <c r="AC49" i="23"/>
  <c r="AB49" i="23"/>
  <c r="C52" i="23"/>
  <c r="B52" i="23"/>
  <c r="J50" i="21"/>
  <c r="H50" i="21"/>
  <c r="I50" i="21"/>
  <c r="G50" i="21"/>
  <c r="F50" i="21"/>
  <c r="R49" i="2"/>
  <c r="M30" i="7" s="1"/>
  <c r="L30" i="7" s="1"/>
  <c r="Q49" i="2"/>
  <c r="J30" i="7" s="1"/>
  <c r="I30" i="7" s="1"/>
  <c r="S49" i="2"/>
  <c r="P30" i="7" s="1"/>
  <c r="O30" i="7" s="1"/>
  <c r="P49" i="2"/>
  <c r="G30" i="7" s="1"/>
  <c r="F30" i="7" s="1"/>
  <c r="C52" i="16"/>
  <c r="B52" i="16"/>
  <c r="X49" i="21"/>
  <c r="V49" i="21"/>
  <c r="U49" i="21"/>
  <c r="W49" i="21"/>
  <c r="D51" i="21"/>
  <c r="E51" i="21"/>
  <c r="AC49" i="16"/>
  <c r="AA49" i="16"/>
  <c r="AB49" i="16"/>
  <c r="Z49" i="16"/>
  <c r="H50" i="2"/>
  <c r="G50" i="2"/>
  <c r="J50" i="2"/>
  <c r="I50" i="2"/>
  <c r="F50" i="2"/>
  <c r="B52" i="2"/>
  <c r="C52" i="2"/>
  <c r="S49" i="21"/>
  <c r="P49" i="21"/>
  <c r="Q49" i="21"/>
  <c r="R49" i="21"/>
  <c r="C52" i="21"/>
  <c r="B52" i="21"/>
  <c r="X49" i="16"/>
  <c r="V49" i="16"/>
  <c r="U49" i="16"/>
  <c r="W49" i="16"/>
  <c r="H50" i="16"/>
  <c r="F50" i="16"/>
  <c r="J50" i="16"/>
  <c r="I50" i="16"/>
  <c r="G50" i="16"/>
  <c r="M49" i="21"/>
  <c r="N49" i="21"/>
  <c r="L49" i="21"/>
  <c r="K49" i="21"/>
  <c r="AA49" i="21"/>
  <c r="Z49" i="21"/>
  <c r="AC49" i="21"/>
  <c r="AB49" i="21"/>
  <c r="K49" i="2"/>
  <c r="N49" i="2"/>
  <c r="M49" i="2"/>
  <c r="L49" i="2"/>
  <c r="N49" i="16"/>
  <c r="K49" i="16"/>
  <c r="L49" i="16"/>
  <c r="M49" i="16"/>
  <c r="E51" i="2"/>
  <c r="D51" i="2"/>
  <c r="V49" i="2"/>
  <c r="W30" i="7" s="1"/>
  <c r="V30" i="7" s="1"/>
  <c r="U49" i="2"/>
  <c r="T30" i="7" s="1"/>
  <c r="S30" i="7" s="1"/>
  <c r="W49" i="2"/>
  <c r="Z30" i="7" s="1"/>
  <c r="Y30" i="7" s="1"/>
  <c r="X49" i="2"/>
  <c r="AC30" i="7" s="1"/>
  <c r="AB30" i="7" s="1"/>
  <c r="AC49" i="2"/>
  <c r="Z49" i="2"/>
  <c r="AA49" i="2"/>
  <c r="AB49" i="2"/>
  <c r="P49" i="16"/>
  <c r="R49" i="16"/>
  <c r="S49" i="16"/>
  <c r="Q49" i="16"/>
  <c r="D51" i="16"/>
  <c r="E51" i="16"/>
  <c r="I51" i="25"/>
  <c r="J51" i="25"/>
  <c r="H51" i="25"/>
  <c r="G51" i="25"/>
  <c r="F51" i="25"/>
  <c r="U49" i="24"/>
  <c r="W49" i="24"/>
  <c r="V49" i="24"/>
  <c r="X49" i="24"/>
  <c r="X50" i="25"/>
  <c r="U50" i="25"/>
  <c r="W50" i="25"/>
  <c r="V50" i="25"/>
  <c r="D52" i="25"/>
  <c r="E52" i="25"/>
  <c r="E51" i="24"/>
  <c r="D51" i="24"/>
  <c r="K50" i="25"/>
  <c r="L50" i="25"/>
  <c r="M50" i="25"/>
  <c r="N50" i="25"/>
  <c r="B25" i="17"/>
  <c r="A26" i="17" s="1"/>
  <c r="I51" i="20"/>
  <c r="J51" i="20"/>
  <c r="H51" i="20"/>
  <c r="F51" i="20"/>
  <c r="G51" i="20"/>
  <c r="C52" i="24"/>
  <c r="B52" i="24"/>
  <c r="K49" i="24"/>
  <c r="L49" i="24"/>
  <c r="M49" i="24"/>
  <c r="N49" i="24"/>
  <c r="S50" i="25"/>
  <c r="R50" i="25"/>
  <c r="P50" i="25"/>
  <c r="Q50" i="25"/>
  <c r="L50" i="20"/>
  <c r="M50" i="20"/>
  <c r="N50" i="20"/>
  <c r="K50" i="20"/>
  <c r="AA50" i="20"/>
  <c r="AB50" i="20"/>
  <c r="Z50" i="20"/>
  <c r="AC50" i="20"/>
  <c r="I50" i="24"/>
  <c r="H50" i="24"/>
  <c r="G50" i="24"/>
  <c r="F50" i="24"/>
  <c r="J50" i="24"/>
  <c r="Q50" i="20"/>
  <c r="S50" i="20"/>
  <c r="R50" i="20"/>
  <c r="P50" i="20"/>
  <c r="D52" i="20"/>
  <c r="E52" i="20"/>
  <c r="AC50" i="25"/>
  <c r="AB50" i="25"/>
  <c r="Z50" i="25"/>
  <c r="AA50" i="25"/>
  <c r="V50" i="20"/>
  <c r="X50" i="20"/>
  <c r="U50" i="20"/>
  <c r="W50" i="20"/>
  <c r="AC49" i="24"/>
  <c r="AA49" i="24"/>
  <c r="Z49" i="24"/>
  <c r="AB49" i="24"/>
  <c r="S49" i="24"/>
  <c r="Q49" i="24"/>
  <c r="R49" i="24"/>
  <c r="P49" i="24"/>
  <c r="Q50" i="23" l="1"/>
  <c r="R50" i="23"/>
  <c r="S50" i="23"/>
  <c r="P50" i="23"/>
  <c r="W50" i="23"/>
  <c r="V50" i="23"/>
  <c r="U50" i="23"/>
  <c r="X50" i="23"/>
  <c r="K50" i="23"/>
  <c r="N50" i="23"/>
  <c r="L50" i="23"/>
  <c r="M50" i="23"/>
  <c r="D52" i="23"/>
  <c r="E52" i="23"/>
  <c r="AB50" i="23"/>
  <c r="Z50" i="23"/>
  <c r="AA50" i="23"/>
  <c r="AC50" i="23"/>
  <c r="G51" i="23"/>
  <c r="F51" i="23"/>
  <c r="J51" i="23"/>
  <c r="H51" i="23"/>
  <c r="I51" i="23"/>
  <c r="F51" i="16"/>
  <c r="G51" i="16"/>
  <c r="I51" i="16"/>
  <c r="J51" i="16"/>
  <c r="H51" i="16"/>
  <c r="P50" i="16"/>
  <c r="S50" i="16"/>
  <c r="Q50" i="16"/>
  <c r="R50" i="16"/>
  <c r="V50" i="16"/>
  <c r="W50" i="16"/>
  <c r="U50" i="16"/>
  <c r="X50" i="16"/>
  <c r="E52" i="2"/>
  <c r="D52" i="2"/>
  <c r="Q50" i="2"/>
  <c r="J31" i="7" s="1"/>
  <c r="I31" i="7" s="1"/>
  <c r="R50" i="2"/>
  <c r="M31" i="7" s="1"/>
  <c r="L31" i="7" s="1"/>
  <c r="S50" i="2"/>
  <c r="P31" i="7" s="1"/>
  <c r="O31" i="7" s="1"/>
  <c r="P50" i="2"/>
  <c r="G31" i="7" s="1"/>
  <c r="F31" i="7" s="1"/>
  <c r="D52" i="16"/>
  <c r="E52" i="16"/>
  <c r="C25" i="17"/>
  <c r="E52" i="21"/>
  <c r="D52" i="21"/>
  <c r="L50" i="2"/>
  <c r="N50" i="2"/>
  <c r="K50" i="2"/>
  <c r="M50" i="2"/>
  <c r="X50" i="2"/>
  <c r="AC31" i="7" s="1"/>
  <c r="AB31" i="7" s="1"/>
  <c r="U50" i="2"/>
  <c r="T31" i="7" s="1"/>
  <c r="S31" i="7" s="1"/>
  <c r="W50" i="2"/>
  <c r="Z31" i="7" s="1"/>
  <c r="Y31" i="7" s="1"/>
  <c r="V50" i="2"/>
  <c r="W31" i="7" s="1"/>
  <c r="V31" i="7" s="1"/>
  <c r="W50" i="21"/>
  <c r="X50" i="21"/>
  <c r="V50" i="21"/>
  <c r="U50" i="21"/>
  <c r="J51" i="2"/>
  <c r="H51" i="2"/>
  <c r="G51" i="2"/>
  <c r="F51" i="2"/>
  <c r="I51" i="2"/>
  <c r="M50" i="16"/>
  <c r="N50" i="16"/>
  <c r="K50" i="16"/>
  <c r="L50" i="16"/>
  <c r="Z50" i="2"/>
  <c r="AA50" i="2"/>
  <c r="AB50" i="2"/>
  <c r="AC50" i="2"/>
  <c r="Q50" i="21"/>
  <c r="P50" i="21"/>
  <c r="S50" i="21"/>
  <c r="R50" i="21"/>
  <c r="AC50" i="16"/>
  <c r="AB50" i="16"/>
  <c r="Z50" i="16"/>
  <c r="AA50" i="16"/>
  <c r="J51" i="21"/>
  <c r="G51" i="21"/>
  <c r="H51" i="21"/>
  <c r="I51" i="21"/>
  <c r="F51" i="21"/>
  <c r="N50" i="21"/>
  <c r="L50" i="21"/>
  <c r="M50" i="21"/>
  <c r="K50" i="21"/>
  <c r="AC50" i="21"/>
  <c r="AA50" i="21"/>
  <c r="Z50" i="21"/>
  <c r="AB50" i="21"/>
  <c r="S51" i="25"/>
  <c r="Q51" i="25"/>
  <c r="P51" i="25"/>
  <c r="R51" i="25"/>
  <c r="G52" i="20"/>
  <c r="I52" i="20"/>
  <c r="J52" i="20"/>
  <c r="H52" i="20"/>
  <c r="F52" i="20"/>
  <c r="M50" i="24"/>
  <c r="N50" i="24"/>
  <c r="K50" i="24"/>
  <c r="L50" i="24"/>
  <c r="P50" i="24"/>
  <c r="Q50" i="24"/>
  <c r="R50" i="24"/>
  <c r="S50" i="24"/>
  <c r="D52" i="24"/>
  <c r="E52" i="24"/>
  <c r="U51" i="20"/>
  <c r="X51" i="20"/>
  <c r="V51" i="20"/>
  <c r="W51" i="20"/>
  <c r="B26" i="17"/>
  <c r="A27" i="17" s="1"/>
  <c r="AB51" i="25"/>
  <c r="AC51" i="25"/>
  <c r="AA51" i="25"/>
  <c r="Z51" i="25"/>
  <c r="AC50" i="24"/>
  <c r="AA50" i="24"/>
  <c r="AB50" i="24"/>
  <c r="Z50" i="24"/>
  <c r="Q51" i="20"/>
  <c r="S51" i="20"/>
  <c r="R51" i="20"/>
  <c r="P51" i="20"/>
  <c r="J51" i="24"/>
  <c r="G51" i="24"/>
  <c r="I51" i="24"/>
  <c r="H51" i="24"/>
  <c r="F51" i="24"/>
  <c r="N51" i="20"/>
  <c r="K51" i="20"/>
  <c r="L51" i="20"/>
  <c r="M51" i="20"/>
  <c r="H52" i="25"/>
  <c r="I52" i="25"/>
  <c r="J52" i="25"/>
  <c r="G52" i="25"/>
  <c r="F52" i="25"/>
  <c r="X51" i="25"/>
  <c r="V51" i="25"/>
  <c r="U51" i="25"/>
  <c r="W51" i="25"/>
  <c r="U50" i="24"/>
  <c r="V50" i="24"/>
  <c r="X50" i="24"/>
  <c r="W50" i="24"/>
  <c r="AA51" i="20"/>
  <c r="AC51" i="20"/>
  <c r="Z51" i="20"/>
  <c r="AB51" i="20"/>
  <c r="K51" i="25"/>
  <c r="L51" i="25"/>
  <c r="M51" i="25"/>
  <c r="N51" i="25"/>
  <c r="K51" i="23" l="1"/>
  <c r="L51" i="23"/>
  <c r="M51" i="23"/>
  <c r="N51" i="23"/>
  <c r="P51" i="23"/>
  <c r="Q51" i="23"/>
  <c r="S51" i="23"/>
  <c r="R51" i="23"/>
  <c r="X51" i="23"/>
  <c r="W51" i="23"/>
  <c r="U51" i="23"/>
  <c r="V51" i="23"/>
  <c r="J52" i="23"/>
  <c r="G52" i="23"/>
  <c r="F52" i="23"/>
  <c r="I52" i="23"/>
  <c r="H52" i="23"/>
  <c r="AC51" i="23"/>
  <c r="AB51" i="23"/>
  <c r="Z51" i="23"/>
  <c r="AA51" i="23"/>
  <c r="N51" i="2"/>
  <c r="M51" i="2"/>
  <c r="K51" i="2"/>
  <c r="L51" i="2"/>
  <c r="P51" i="21"/>
  <c r="S51" i="21"/>
  <c r="R51" i="21"/>
  <c r="Q51" i="21"/>
  <c r="P51" i="2"/>
  <c r="S51" i="2"/>
  <c r="R51" i="2"/>
  <c r="Q51" i="2"/>
  <c r="F52" i="21"/>
  <c r="J52" i="21"/>
  <c r="H52" i="21"/>
  <c r="I52" i="21"/>
  <c r="G52" i="21"/>
  <c r="U51" i="21"/>
  <c r="X51" i="21"/>
  <c r="V51" i="21"/>
  <c r="W51" i="21"/>
  <c r="AA51" i="16"/>
  <c r="AB51" i="16"/>
  <c r="Z51" i="16"/>
  <c r="AC51" i="16"/>
  <c r="L51" i="21"/>
  <c r="M51" i="21"/>
  <c r="N51" i="21"/>
  <c r="K51" i="21"/>
  <c r="AC51" i="21"/>
  <c r="Z51" i="21"/>
  <c r="AB51" i="21"/>
  <c r="AA51" i="21"/>
  <c r="X51" i="2"/>
  <c r="W51" i="2"/>
  <c r="U51" i="2"/>
  <c r="V51" i="2"/>
  <c r="G52" i="2"/>
  <c r="F52" i="2"/>
  <c r="H52" i="2"/>
  <c r="J52" i="2"/>
  <c r="I52" i="2"/>
  <c r="R51" i="16"/>
  <c r="S51" i="16"/>
  <c r="P51" i="16"/>
  <c r="Q51" i="16"/>
  <c r="AC51" i="2"/>
  <c r="AB51" i="2"/>
  <c r="Z51" i="2"/>
  <c r="AA51" i="2"/>
  <c r="I52" i="16"/>
  <c r="J52" i="16"/>
  <c r="F52" i="16"/>
  <c r="G52" i="16"/>
  <c r="H52" i="16"/>
  <c r="U51" i="16"/>
  <c r="X51" i="16"/>
  <c r="W51" i="16"/>
  <c r="V51" i="16"/>
  <c r="K51" i="16"/>
  <c r="M51" i="16"/>
  <c r="L51" i="16"/>
  <c r="N51" i="16"/>
  <c r="B27" i="17"/>
  <c r="A28" i="17" s="1"/>
  <c r="W52" i="20"/>
  <c r="U52" i="20"/>
  <c r="X52" i="20"/>
  <c r="V52" i="20"/>
  <c r="K52" i="25"/>
  <c r="L52" i="25"/>
  <c r="M52" i="25"/>
  <c r="N52" i="25"/>
  <c r="V52" i="25"/>
  <c r="W52" i="25"/>
  <c r="U52" i="25"/>
  <c r="X52" i="25"/>
  <c r="AB52" i="20"/>
  <c r="AA52" i="20"/>
  <c r="Z52" i="20"/>
  <c r="AC52" i="20"/>
  <c r="Q52" i="25"/>
  <c r="R52" i="25"/>
  <c r="P52" i="25"/>
  <c r="S52" i="25"/>
  <c r="L51" i="24"/>
  <c r="M51" i="24"/>
  <c r="N51" i="24"/>
  <c r="K51" i="24"/>
  <c r="AA51" i="24"/>
  <c r="AC51" i="24"/>
  <c r="AB51" i="24"/>
  <c r="Z51" i="24"/>
  <c r="S51" i="24"/>
  <c r="R51" i="24"/>
  <c r="Q51" i="24"/>
  <c r="P51" i="24"/>
  <c r="F52" i="24"/>
  <c r="I52" i="24"/>
  <c r="H52" i="24"/>
  <c r="J52" i="24"/>
  <c r="G52" i="24"/>
  <c r="AA52" i="25"/>
  <c r="AB52" i="25"/>
  <c r="Z52" i="25"/>
  <c r="AC52" i="25"/>
  <c r="W51" i="24"/>
  <c r="V51" i="24"/>
  <c r="X51" i="24"/>
  <c r="U51" i="24"/>
  <c r="C26" i="17"/>
  <c r="K52" i="20"/>
  <c r="L52" i="20"/>
  <c r="M52" i="20"/>
  <c r="N52" i="20"/>
  <c r="R52" i="20"/>
  <c r="Q52" i="20"/>
  <c r="S52" i="20"/>
  <c r="P52" i="20"/>
  <c r="M52" i="23" l="1"/>
  <c r="K52" i="23"/>
  <c r="N52" i="23"/>
  <c r="L52" i="23"/>
  <c r="Q52" i="23"/>
  <c r="R52" i="23"/>
  <c r="S52" i="23"/>
  <c r="P52" i="23"/>
  <c r="V52" i="23"/>
  <c r="U52" i="23"/>
  <c r="X52" i="23"/>
  <c r="W52" i="23"/>
  <c r="AB52" i="23"/>
  <c r="AA52" i="23"/>
  <c r="AC52" i="23"/>
  <c r="Z52" i="23"/>
  <c r="V52" i="16"/>
  <c r="X52" i="16"/>
  <c r="U52" i="16"/>
  <c r="W52" i="16"/>
  <c r="K52" i="2"/>
  <c r="M52" i="2"/>
  <c r="N52" i="2"/>
  <c r="L52" i="2"/>
  <c r="X52" i="21"/>
  <c r="W52" i="21"/>
  <c r="U52" i="21"/>
  <c r="V52" i="21"/>
  <c r="AC52" i="16"/>
  <c r="AA52" i="16"/>
  <c r="AB52" i="16"/>
  <c r="Z52" i="16"/>
  <c r="X52" i="2"/>
  <c r="U52" i="2"/>
  <c r="W52" i="2"/>
  <c r="V52" i="2"/>
  <c r="P52" i="16"/>
  <c r="R52" i="16"/>
  <c r="S52" i="16"/>
  <c r="Q52" i="16"/>
  <c r="S52" i="2"/>
  <c r="P52" i="2"/>
  <c r="R52" i="2"/>
  <c r="Q52" i="2"/>
  <c r="AC52" i="21"/>
  <c r="AB52" i="21"/>
  <c r="Z52" i="21"/>
  <c r="AA52" i="21"/>
  <c r="N52" i="16"/>
  <c r="K52" i="16"/>
  <c r="M52" i="16"/>
  <c r="L52" i="16"/>
  <c r="Z52" i="2"/>
  <c r="AC52" i="2"/>
  <c r="AB52" i="2"/>
  <c r="AA52" i="2"/>
  <c r="P52" i="21"/>
  <c r="R52" i="21"/>
  <c r="S52" i="21"/>
  <c r="Q52" i="21"/>
  <c r="M52" i="21"/>
  <c r="N52" i="21"/>
  <c r="L52" i="21"/>
  <c r="K52" i="21"/>
  <c r="R52" i="24"/>
  <c r="Q52" i="24"/>
  <c r="S52" i="24"/>
  <c r="P52" i="24"/>
  <c r="AA52" i="24"/>
  <c r="Z52" i="24"/>
  <c r="AC52" i="24"/>
  <c r="AB52" i="24"/>
  <c r="B28" i="17"/>
  <c r="A29" i="17" s="1"/>
  <c r="N52" i="24"/>
  <c r="K52" i="24"/>
  <c r="L52" i="24"/>
  <c r="M52" i="24"/>
  <c r="W52" i="24"/>
  <c r="U52" i="24"/>
  <c r="X52" i="24"/>
  <c r="V52" i="24"/>
  <c r="C27" i="17"/>
  <c r="B29" i="17" l="1"/>
  <c r="A30" i="17" s="1"/>
  <c r="C28" i="17"/>
  <c r="C29" i="17" l="1"/>
  <c r="B30" i="17"/>
  <c r="A31" i="17" s="1"/>
  <c r="B31" i="17" l="1"/>
  <c r="A32" i="17" s="1"/>
  <c r="C30" i="17"/>
  <c r="B32" i="17" l="1"/>
  <c r="A33" i="17" s="1"/>
  <c r="C31" i="17"/>
  <c r="B33" i="17" l="1"/>
  <c r="A34" i="17" s="1"/>
  <c r="C32" i="17"/>
  <c r="C33" i="17" l="1"/>
  <c r="B34" i="17"/>
  <c r="A35" i="17" s="1"/>
  <c r="B35" i="17" l="1"/>
  <c r="A36" i="17" s="1"/>
  <c r="C34" i="17"/>
  <c r="C35" i="17" l="1"/>
  <c r="B36" i="17"/>
  <c r="A37" i="17" s="1"/>
  <c r="B37" i="17" l="1"/>
  <c r="A38" i="17" s="1"/>
  <c r="C36" i="17"/>
  <c r="B38" i="17" l="1"/>
  <c r="A39" i="17" s="1"/>
  <c r="C37" i="17"/>
  <c r="C38" i="17" l="1"/>
  <c r="B39" i="17"/>
  <c r="A40" i="17" s="1"/>
  <c r="C39" i="17" l="1"/>
  <c r="B40" i="17"/>
  <c r="A41" i="17" s="1"/>
  <c r="B41" i="17" l="1"/>
  <c r="A42" i="17" s="1"/>
  <c r="C40" i="17"/>
  <c r="C41" i="17" l="1"/>
  <c r="B42" i="17"/>
  <c r="A43" i="17" s="1"/>
  <c r="C42" i="17" l="1"/>
  <c r="B43" i="17"/>
  <c r="A44" i="17" s="1"/>
  <c r="B44" i="17" l="1"/>
  <c r="A45" i="17" s="1"/>
  <c r="C43" i="17"/>
  <c r="B45" i="17" l="1"/>
  <c r="A46" i="17" s="1"/>
  <c r="C44" i="17"/>
  <c r="B46" i="17" l="1"/>
  <c r="A47" i="17" s="1"/>
  <c r="C45" i="17"/>
  <c r="C46" i="17" l="1"/>
  <c r="B47" i="17"/>
  <c r="A48" i="17" s="1"/>
  <c r="B48" i="17" l="1"/>
  <c r="A49" i="17" s="1"/>
  <c r="C47" i="17"/>
  <c r="C48" i="17" l="1"/>
  <c r="B49" i="17"/>
  <c r="A50" i="17" s="1"/>
  <c r="C49" i="17" l="1"/>
  <c r="B50" i="17"/>
  <c r="A51" i="17" s="1"/>
  <c r="B51" i="17" l="1"/>
  <c r="A52" i="17" s="1"/>
  <c r="C50" i="17"/>
  <c r="C51" i="17" l="1"/>
  <c r="B52" i="17"/>
  <c r="A53" i="17" s="1"/>
  <c r="C52" i="17" l="1"/>
  <c r="B53" i="17"/>
  <c r="A54" i="17" s="1"/>
  <c r="C53" i="17" l="1"/>
  <c r="B54" i="17"/>
  <c r="A55" i="17" s="1"/>
  <c r="B55" i="17" l="1"/>
  <c r="A56" i="17" s="1"/>
  <c r="C54" i="17"/>
  <c r="C55" i="17" l="1"/>
  <c r="B56" i="17"/>
  <c r="A57" i="17" s="1"/>
  <c r="C56" i="17" l="1"/>
  <c r="B57" i="17"/>
  <c r="A58" i="17" s="1"/>
  <c r="C57" i="17" l="1"/>
  <c r="B58" i="17"/>
  <c r="A59" i="17" s="1"/>
  <c r="C58" i="17"/>
  <c r="B59" i="17" l="1"/>
  <c r="A60" i="17" s="1"/>
  <c r="C59" i="17"/>
  <c r="B60" i="17" l="1"/>
  <c r="A61" i="17" s="1"/>
  <c r="C60" i="17"/>
  <c r="B61" i="17" l="1"/>
  <c r="A62" i="17" s="1"/>
  <c r="B62" i="17" l="1"/>
  <c r="A63" i="17" s="1"/>
  <c r="C61" i="17"/>
  <c r="B63" i="17" l="1"/>
  <c r="A64" i="17" s="1"/>
  <c r="C62" i="17"/>
  <c r="C63" i="17" l="1"/>
  <c r="B64" i="17"/>
  <c r="A65" i="17" s="1"/>
  <c r="C64" i="17" l="1"/>
  <c r="B65" i="17"/>
  <c r="A66" i="17" s="1"/>
  <c r="C65" i="17" l="1"/>
  <c r="B66" i="17"/>
  <c r="A67" i="17" s="1"/>
  <c r="C66" i="17"/>
  <c r="B67" i="17" l="1"/>
  <c r="A68" i="17" s="1"/>
  <c r="B68" i="17" l="1"/>
  <c r="A69" i="17" s="1"/>
  <c r="C67" i="17"/>
  <c r="C68" i="17" l="1"/>
  <c r="B69" i="17"/>
  <c r="A70" i="17" s="1"/>
  <c r="B70" i="17" l="1"/>
  <c r="A71" i="17" s="1"/>
  <c r="C69" i="17"/>
  <c r="B71" i="17" l="1"/>
  <c r="A72" i="17" s="1"/>
  <c r="C70" i="17"/>
  <c r="C71" i="17" l="1"/>
  <c r="B72" i="17"/>
  <c r="A73" i="17" s="1"/>
  <c r="C72" i="17" l="1"/>
  <c r="B73" i="17"/>
  <c r="A74" i="17" s="1"/>
  <c r="C73" i="17" l="1"/>
  <c r="B74" i="17"/>
  <c r="A75" i="17" s="1"/>
  <c r="B75" i="17" l="1"/>
  <c r="A76" i="17" s="1"/>
  <c r="C74" i="17"/>
  <c r="C75" i="17" l="1"/>
  <c r="B76" i="17"/>
  <c r="A77" i="17" s="1"/>
  <c r="C76" i="17"/>
  <c r="B77" i="17" l="1"/>
  <c r="A78" i="17" s="1"/>
  <c r="C77" i="17" l="1"/>
  <c r="B78" i="17"/>
  <c r="A79" i="17" s="1"/>
  <c r="B79" i="17" l="1"/>
  <c r="C79" i="17" s="1"/>
  <c r="C78" i="17"/>
  <c r="E37" i="34" l="1"/>
  <c r="T102" i="34" l="1"/>
  <c r="S23" i="34"/>
  <c r="H112" i="34" s="1"/>
  <c r="S39" i="34"/>
  <c r="P106" i="34" s="1"/>
  <c r="E57" i="34"/>
  <c r="S25" i="34" l="1"/>
  <c r="E53" i="34"/>
  <c r="E55" i="34" s="1"/>
  <c r="S35" i="34" l="1"/>
  <c r="S37"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Rogers User</author>
  </authors>
  <commentList>
    <comment ref="O13" authorId="0" shapeId="0" xr:uid="{3FCB4E22-5121-46C3-938B-923638832EB8}">
      <text>
        <r>
          <rPr>
            <b/>
            <sz val="9"/>
            <color indexed="81"/>
            <rFont val="Tahoma"/>
            <family val="2"/>
          </rPr>
          <t>ECF/Pre-HUP Waiver Term</t>
        </r>
      </text>
    </comment>
    <comment ref="Q39" authorId="0" shapeId="0" xr:uid="{71016E1E-775F-4612-BC9B-1FE23FBD1004}">
      <text>
        <r>
          <rPr>
            <b/>
            <sz val="9"/>
            <color indexed="81"/>
            <rFont val="Tahoma"/>
            <family val="2"/>
          </rPr>
          <t>Rogers User:</t>
        </r>
        <r>
          <rPr>
            <sz val="9"/>
            <color indexed="81"/>
            <rFont val="Tahoma"/>
            <family val="2"/>
          </rPr>
          <t xml:space="preserve">
(commited Lines*Total Investment per line)/(Committed Lines*Recurring MSF)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Rogers User</author>
  </authors>
  <commentList>
    <comment ref="O13" authorId="0" shapeId="0" xr:uid="{44898BD8-AE1E-4F13-A140-B9598A640F32}">
      <text>
        <r>
          <rPr>
            <b/>
            <sz val="9"/>
            <color indexed="81"/>
            <rFont val="Tahoma"/>
            <family val="2"/>
          </rPr>
          <t>ECF/Pre-HUP Waiver Term</t>
        </r>
      </text>
    </comment>
    <comment ref="Q39" authorId="0" shapeId="0" xr:uid="{8A64497C-F9B7-4CA3-B865-EA445D946435}">
      <text>
        <r>
          <rPr>
            <b/>
            <sz val="9"/>
            <color indexed="81"/>
            <rFont val="Tahoma"/>
            <family val="2"/>
          </rPr>
          <t>Rogers User:</t>
        </r>
        <r>
          <rPr>
            <sz val="9"/>
            <color indexed="81"/>
            <rFont val="Tahoma"/>
            <family val="2"/>
          </rPr>
          <t xml:space="preserve">
(commited Lines*Total Investment per line)/(Committed Lines*Recurring MSF)</t>
        </r>
      </text>
    </comment>
  </commentList>
</comments>
</file>

<file path=xl/sharedStrings.xml><?xml version="1.0" encoding="utf-8"?>
<sst xmlns="http://schemas.openxmlformats.org/spreadsheetml/2006/main" count="3084" uniqueCount="702">
  <si>
    <t>MSF RANGE</t>
  </si>
  <si>
    <t>V&amp;D MSF</t>
  </si>
  <si>
    <t>0-$9.99</t>
  </si>
  <si>
    <t>TERM</t>
  </si>
  <si>
    <t>Sales Manager</t>
  </si>
  <si>
    <t>Term</t>
  </si>
  <si>
    <t>Calculated term value</t>
  </si>
  <si>
    <t>Deal Details</t>
  </si>
  <si>
    <t>Deal Summary</t>
  </si>
  <si>
    <t>Average MSF in deal</t>
  </si>
  <si>
    <r>
      <t xml:space="preserve">Term value
</t>
    </r>
    <r>
      <rPr>
        <sz val="14"/>
        <color theme="0"/>
        <rFont val="Arial"/>
        <family val="2"/>
      </rPr>
      <t>(assuming no churn)</t>
    </r>
  </si>
  <si>
    <t>AVERAGE MSF</t>
  </si>
  <si>
    <t>* Lookup MSF RANGE based User inputted MSF</t>
  </si>
  <si>
    <t>Min MSF</t>
  </si>
  <si>
    <t>Max MSF</t>
  </si>
  <si>
    <t>TCV</t>
  </si>
  <si>
    <t>@ 12 Months</t>
  </si>
  <si>
    <t>@ 24 Months</t>
  </si>
  <si>
    <t>@ 36 Months</t>
  </si>
  <si>
    <t>MIN</t>
  </si>
  <si>
    <t>MAX</t>
  </si>
  <si>
    <t>MSF Eligibility</t>
  </si>
  <si>
    <t>2YR Credit</t>
  </si>
  <si>
    <t>3YR Credit</t>
  </si>
  <si>
    <t>Rogers NAC Hardware Price Chart/Tableau Des Prix</t>
  </si>
  <si>
    <t>PDP#</t>
  </si>
  <si>
    <t>Effective/En Vigueur:</t>
  </si>
  <si>
    <t>- Until Further Notice/Jusqu’à Nouvel Ordre</t>
  </si>
  <si>
    <t xml:space="preserve"> </t>
  </si>
  <si>
    <t>PIC:</t>
  </si>
  <si>
    <t>New SKU/Nouveau SKU</t>
  </si>
  <si>
    <t>Price Change/Changement De Prix</t>
  </si>
  <si>
    <t>Delisted SKU or Price Removal/Modèles d'expiration</t>
  </si>
  <si>
    <t>Note:</t>
  </si>
  <si>
    <t xml:space="preserve">Individually Liable customers are not eligible to receive business hardware subsidy unless their MSD code is on the "Protected Individually Liable MSDs" list. </t>
  </si>
  <si>
    <t>Please first move the Individually Liable customer to a consumer Share Everything price plan, which will then qualify the customer for consumer hardware subsidy.</t>
  </si>
  <si>
    <t>Remarque:</t>
  </si>
  <si>
    <t>Les détenteurs de compte à responsabilité individuelle ne sont pas admissibles aux réductions sur l’équipement réservées aux entreprises, à moins que leur code EAM figure dans la liste des codes EAM applicables aux comptes à responsabilité individuelle protégés.</t>
  </si>
  <si>
    <t>Ces clients peuvent cependant profiter des réductions sur l’équipement destinées aux particuliers. Pour que ces réductions puissent leur être appliquées, vous devez les abonner au forfait Partagez tout réservé aux particuliers.</t>
  </si>
  <si>
    <t>Tiers</t>
  </si>
  <si>
    <t>-</t>
  </si>
  <si>
    <t>MSRP</t>
  </si>
  <si>
    <t>BIZDATAPN / BIZDATAIN</t>
  </si>
  <si>
    <t>2ESSENTIALPN / 2ESSENTIALIN</t>
  </si>
  <si>
    <t>2STANDARDPN / 2STANDARDIN</t>
  </si>
  <si>
    <t>2ELITEPN / 2ELITEIN</t>
  </si>
  <si>
    <t>3ESSENTIALPN / 3ESSENTIALIN</t>
  </si>
  <si>
    <t>3STANDARDPN / 3STANDARDIN</t>
  </si>
  <si>
    <t>3ELITEPN / 3ELITEIN</t>
  </si>
  <si>
    <t>2BASICPN / 2BASICIN</t>
  </si>
  <si>
    <t>2PLUSPN / 2PLUSIN</t>
  </si>
  <si>
    <t>2PREMIUMPN / 2PREMIUMIN</t>
  </si>
  <si>
    <t>2SUPREMEPN / 2SUPREMEIN</t>
  </si>
  <si>
    <t>3BASICPN / 3BASICIN</t>
  </si>
  <si>
    <t>3PLUSPN / 3PLUSIN</t>
  </si>
  <si>
    <t>3PREMIUMPN / 3PREMIUMIN</t>
  </si>
  <si>
    <t>3SUPREMEPN / 3SUPREMEIN</t>
  </si>
  <si>
    <t>Status / Statut</t>
  </si>
  <si>
    <t>Subsidy Ends / 
La subvention prend fin</t>
  </si>
  <si>
    <t>Device Type</t>
  </si>
  <si>
    <t>Manufacturer / Fabricant</t>
  </si>
  <si>
    <t>SKU</t>
  </si>
  <si>
    <t>Marketing Name / 
Nom De Marketing</t>
  </si>
  <si>
    <t>Dealer Cost</t>
  </si>
  <si>
    <t>NOTERM</t>
  </si>
  <si>
    <t>2 Year / Ans
BIZDATASHL</t>
  </si>
  <si>
    <t>2 Year / Ans
2ESSENTIAL</t>
  </si>
  <si>
    <t>2 Year / Ans
2STANDARD</t>
  </si>
  <si>
    <t>2 Year / Ans
2ELITE</t>
  </si>
  <si>
    <t>3 Year / Ans
BIZDATASHL</t>
  </si>
  <si>
    <t xml:space="preserve">3 Year / Ans
3ESSENTIAL </t>
  </si>
  <si>
    <t xml:space="preserve">3 Year / Ans
3STANDARD </t>
  </si>
  <si>
    <t>3 Year / Ans
3ELITE</t>
  </si>
  <si>
    <t>2 Year / Ans
2BASIC</t>
  </si>
  <si>
    <t>2 Year / Ans
2PLUS</t>
  </si>
  <si>
    <t>2 Year / Ans
2PREMIUM</t>
  </si>
  <si>
    <t>2 Year / Ans
2SUPREME</t>
  </si>
  <si>
    <t>3 Year / Ans
3BASIC</t>
  </si>
  <si>
    <t xml:space="preserve">3 Year / Ans
3PLUS </t>
  </si>
  <si>
    <t>3 Year / Ans
3PREMIUM</t>
  </si>
  <si>
    <t>3 Year / Ans
3SUPREME</t>
  </si>
  <si>
    <t>Discontinued</t>
  </si>
  <si>
    <t>Handset</t>
  </si>
  <si>
    <t>Apple</t>
  </si>
  <si>
    <t>In Market</t>
  </si>
  <si>
    <t>IP5S16GRY</t>
  </si>
  <si>
    <t>IP5S16SIL</t>
  </si>
  <si>
    <t>IP6PL64GRY</t>
  </si>
  <si>
    <t>IP6PL64SIL</t>
  </si>
  <si>
    <t>IP6S128GRY</t>
  </si>
  <si>
    <t>IP6S128SIL</t>
  </si>
  <si>
    <t>IP6S128GLD</t>
  </si>
  <si>
    <t>IP6S128RGD</t>
  </si>
  <si>
    <t>IP6SPL128GRY</t>
  </si>
  <si>
    <t>IP6SPL128SIL</t>
  </si>
  <si>
    <t>IP6SPL128GLD</t>
  </si>
  <si>
    <t>IP6SPL128RGD</t>
  </si>
  <si>
    <t>IPSE16GRY</t>
  </si>
  <si>
    <t>IPSE16SIL</t>
  </si>
  <si>
    <t>IPSE16GLD</t>
  </si>
  <si>
    <t>IPSE16RGD</t>
  </si>
  <si>
    <t>IPSE64GRY</t>
  </si>
  <si>
    <t>IPSE64SIL</t>
  </si>
  <si>
    <t>IPSE64GLD</t>
  </si>
  <si>
    <t>IPSE64RGD</t>
  </si>
  <si>
    <t>Mobile Internet</t>
  </si>
  <si>
    <t>IPDA2128GRY</t>
  </si>
  <si>
    <t>iPad Air 2 128 GB</t>
  </si>
  <si>
    <t>iPad mini 4</t>
  </si>
  <si>
    <t>IPDPRO128GRY</t>
  </si>
  <si>
    <t>iPad Pro</t>
  </si>
  <si>
    <t>BlackBerry</t>
  </si>
  <si>
    <t>CLASSICBLK</t>
  </si>
  <si>
    <t>Classic</t>
  </si>
  <si>
    <t>LEAPGRY</t>
  </si>
  <si>
    <t>Leap</t>
  </si>
  <si>
    <t>PASSPORTBLK</t>
  </si>
  <si>
    <t>Passport</t>
  </si>
  <si>
    <t>PRIVBLK</t>
  </si>
  <si>
    <t>Priv</t>
  </si>
  <si>
    <t>Huawei</t>
  </si>
  <si>
    <t>E8372HWHT</t>
  </si>
  <si>
    <t>E8372</t>
  </si>
  <si>
    <t>GR5GRY</t>
  </si>
  <si>
    <t>Huawei GR5</t>
  </si>
  <si>
    <t>LG</t>
  </si>
  <si>
    <t>G4SIL</t>
  </si>
  <si>
    <t>LG G4</t>
  </si>
  <si>
    <t>GPAD38BLK</t>
  </si>
  <si>
    <t>G Pad III 8 LTE FHD</t>
  </si>
  <si>
    <t>G5GRY</t>
  </si>
  <si>
    <t>LG G5</t>
  </si>
  <si>
    <t>G5SIL</t>
  </si>
  <si>
    <t>Nexus 5</t>
  </si>
  <si>
    <t>NEXUS5RED</t>
  </si>
  <si>
    <t>Nexus 5 (GLENTEL Only)</t>
  </si>
  <si>
    <t>NEXUS5WHT</t>
  </si>
  <si>
    <t>Motorola</t>
  </si>
  <si>
    <t>Samsung</t>
  </si>
  <si>
    <t>Samsung Galaxy A5</t>
  </si>
  <si>
    <t>GS5NEOBLK</t>
  </si>
  <si>
    <t>Samsung GS5 Neo</t>
  </si>
  <si>
    <t>GS632BLK</t>
  </si>
  <si>
    <t>Galaxy S6 32GB</t>
  </si>
  <si>
    <t>GS6ED32BLK</t>
  </si>
  <si>
    <t>Galaxy S6 Edge 32GB</t>
  </si>
  <si>
    <t>S7BLK</t>
  </si>
  <si>
    <t>Galaxy S7</t>
  </si>
  <si>
    <t>S7SIL</t>
  </si>
  <si>
    <t>S7EDBLK</t>
  </si>
  <si>
    <t>Galaxy S7 Edge</t>
  </si>
  <si>
    <t>TABS2BLK</t>
  </si>
  <si>
    <t>Galaxy Tab S2</t>
  </si>
  <si>
    <t>TABEBLK</t>
  </si>
  <si>
    <t>Galaxy Tab E LTE</t>
  </si>
  <si>
    <t>Sierra Wireless</t>
  </si>
  <si>
    <t>LTE Mobile Hotspot</t>
  </si>
  <si>
    <t>AC763SBLKR</t>
  </si>
  <si>
    <t>Sonim</t>
  </si>
  <si>
    <t>XP5BLK</t>
  </si>
  <si>
    <t>Sonim XP5</t>
  </si>
  <si>
    <t>XP7YEL</t>
  </si>
  <si>
    <t>Sonim XP7</t>
  </si>
  <si>
    <t>Sony Mobile</t>
  </si>
  <si>
    <t>ZTE</t>
  </si>
  <si>
    <t>SPRO2SIL</t>
  </si>
  <si>
    <t>ZTE SPro2</t>
  </si>
  <si>
    <t>MF275RGRY</t>
  </si>
  <si>
    <t>MF970WHT</t>
  </si>
  <si>
    <t>ZTE MF970 Hot Spot</t>
  </si>
  <si>
    <t>Terms &amp; Conditions</t>
  </si>
  <si>
    <t>Modalités</t>
  </si>
  <si>
    <t xml:space="preserve">     BIZDATA Subsidy Requires Data SOC MSF of Minimum $15</t>
  </si>
  <si>
    <t xml:space="preserve">     La subvention pour les données d'entreprise exige un code SOC de données associé à des frais de service mensuels d'au moins 15 $</t>
  </si>
  <si>
    <t xml:space="preserve">     STANDARD pricing:</t>
  </si>
  <si>
    <t xml:space="preserve">     Tarification STANDARD :</t>
  </si>
  <si>
    <t xml:space="preserve">          (1) 2STANDARD: Customers on a 2 year unbundled plan (2 year voice plan plus 2 year data plan) with a combined MSF of $45 or more qualify. </t>
  </si>
  <si>
    <t xml:space="preserve">          (1) Catégorie 2STANDARD : Les clients abonnés à un forfait non groupé de deux ans (forfait Voix de deux ans plus forfait Données de deux ans) assorti de frais de service mensuels combinés de 45 $ ou plus sont admissibles. </t>
  </si>
  <si>
    <t xml:space="preserve">          (2) 3STANDARD: Customers on a 3 year unbundled plan (3 year voice plan plus 3 year data plan) qualify.</t>
  </si>
  <si>
    <t xml:space="preserve">          (2) Catégorie 3STANDARD : Les clients abonnés à un forfait non groupé de trois ans (forfait Voix de trois ans plus forfait Données de trois ans) sont admissibles.</t>
  </si>
  <si>
    <t xml:space="preserve">     ELITE pricing:</t>
  </si>
  <si>
    <t xml:space="preserve">     Tarification ÉLITE :</t>
  </si>
  <si>
    <t xml:space="preserve">          (1) 2ELITE: Customers on an 2 year unbundled plan (2 year voice plan plus 2 year data plan) with a combined MSF of $60 or more qualify. </t>
  </si>
  <si>
    <t xml:space="preserve">          (1) Catégorie 2ÉLITE : Les clients abonnés à un forfait non groupé de deux ans (forfait Voix de deux ans plus forfait Données de deux ans) assorti de frais de service mensuels combinés de 60 $ ou plus sont admissibles. </t>
  </si>
  <si>
    <t xml:space="preserve">          (2) 3ELITE: Customers on a 3 year unbundled plan (3 year voice plan plus 3 year data plan) with a combined MSF of $45 or more qualify.</t>
  </si>
  <si>
    <t xml:space="preserve">          (2) Catégorie 3ÉLITE : Les clients abonnés à un forfait non groupé de trois ans (forfait Voix de trois ans plus forfait Données de trois ans) assorti de frais de service mensuels combinés de 45 $ ou plus sont admissibles.</t>
  </si>
  <si>
    <t xml:space="preserve">     Tous les tarifs et les modalités sont peuvent être modifiés sans préavis</t>
  </si>
  <si>
    <t>Basic, Plus &amp; Premium Pricing are only eligible within the 10+ rate card construct and category is determined by subsidy tier you select.</t>
  </si>
  <si>
    <t>Basic, Plus et prix haut de gamme ne sont éligibles que dans le 10+ carte construction de taux et par catégorie sont déterminés par la subvention niveau que vous sélectionnez.</t>
  </si>
  <si>
    <t>Approximate Subsidy</t>
  </si>
  <si>
    <t>Device</t>
  </si>
  <si>
    <t>Total Investment per line</t>
  </si>
  <si>
    <t>Basic</t>
  </si>
  <si>
    <t>Plus</t>
  </si>
  <si>
    <t>Premium</t>
  </si>
  <si>
    <t>Quoted</t>
  </si>
  <si>
    <t>Investment Ratio</t>
  </si>
  <si>
    <t>Payback
(in months)</t>
  </si>
  <si>
    <t>Recurring MSF</t>
  </si>
  <si>
    <t>Subsidy Tier</t>
  </si>
  <si>
    <t>Explanation</t>
  </si>
  <si>
    <t>Opportunity Owner:</t>
  </si>
  <si>
    <t>Average $  investment per line</t>
  </si>
  <si>
    <t>Select from the drop down list the term (in months) of the line(s); e.g. 24 months, 36 months</t>
  </si>
  <si>
    <t>Total gross profit (over term)</t>
  </si>
  <si>
    <t>BYOD</t>
  </si>
  <si>
    <t>Definitions</t>
  </si>
  <si>
    <t>Summary metrics</t>
  </si>
  <si>
    <t>Calculated weighted average MSF amongst all committed lines</t>
  </si>
  <si>
    <t>Calculated total value of quoted deal over the term of all committed lines at quoted MSF</t>
  </si>
  <si>
    <t>Calculated (weighted) average investment per line in quoted deal.  Includes total investment through hardware subsidies and conversion credits</t>
  </si>
  <si>
    <t>(MSF x Term) – Investment</t>
  </si>
  <si>
    <t>Total Investment (HW subsidy + conversion credit) ÷ MSF</t>
  </si>
  <si>
    <t>Pre-HUP waiver per year</t>
  </si>
  <si>
    <r>
      <t xml:space="preserve">Term value
</t>
    </r>
    <r>
      <rPr>
        <sz val="10"/>
        <color theme="0"/>
        <rFont val="Arial"/>
        <family val="2"/>
      </rPr>
      <t>(assuming no churn)</t>
    </r>
  </si>
  <si>
    <t>Quote #:</t>
  </si>
  <si>
    <t>Voice &amp; Data
subset</t>
  </si>
  <si>
    <t>Voice only
subset</t>
  </si>
  <si>
    <t>Committed Lines</t>
  </si>
  <si>
    <t>Total committed Lines</t>
  </si>
  <si>
    <t>Subsidy Value</t>
  </si>
  <si>
    <t>Subsidy add-on Cost</t>
  </si>
  <si>
    <t>Lookup table</t>
  </si>
  <si>
    <t>Opportunity Co. name:</t>
  </si>
  <si>
    <t>For internal use only - Do not distribute</t>
  </si>
  <si>
    <t>Total cost of pre-HUP Waiver</t>
  </si>
  <si>
    <t>Acquisition</t>
  </si>
  <si>
    <t>Renewal</t>
  </si>
  <si>
    <t>Acquisition or Renewal</t>
  </si>
  <si>
    <t>@ BYOD No Term</t>
  </si>
  <si>
    <r>
      <t xml:space="preserve">Total Investment 
</t>
    </r>
    <r>
      <rPr>
        <sz val="10"/>
        <color theme="0"/>
        <rFont val="Arial"/>
        <family val="2"/>
      </rPr>
      <t>(HW subsidy &amp; credits)</t>
    </r>
  </si>
  <si>
    <r>
      <t xml:space="preserve">Payback
</t>
    </r>
    <r>
      <rPr>
        <sz val="10"/>
        <color theme="0"/>
        <rFont val="Arial"/>
        <family val="2"/>
      </rPr>
      <t>(in months)</t>
    </r>
  </si>
  <si>
    <t>Multiplier</t>
  </si>
  <si>
    <t>Min</t>
  </si>
  <si>
    <t>Max</t>
  </si>
  <si>
    <t>Range</t>
  </si>
  <si>
    <t>The multiplier determines the multiple of investment ratio that is acceptable</t>
  </si>
  <si>
    <t>Quote #</t>
  </si>
  <si>
    <t>Opportunity Name</t>
  </si>
  <si>
    <t>Opportunity Owner</t>
  </si>
  <si>
    <t>Approval Level Requested</t>
  </si>
  <si>
    <t>Pre HUP Waiver</t>
  </si>
  <si>
    <t>Total Lines</t>
  </si>
  <si>
    <t>Average MSF</t>
  </si>
  <si>
    <t>Term Value</t>
  </si>
  <si>
    <t>Total investment</t>
  </si>
  <si>
    <t>Optimal Investment Ratio</t>
  </si>
  <si>
    <t>Payback Period</t>
  </si>
  <si>
    <t>Optimal Payback period</t>
  </si>
  <si>
    <t>Total Employee Count</t>
  </si>
  <si>
    <t>Region and Vertical</t>
  </si>
  <si>
    <t>Number of Products</t>
  </si>
  <si>
    <t>Total Product amount Range (Annual Value)</t>
  </si>
  <si>
    <t>Region</t>
  </si>
  <si>
    <t>Vertical</t>
  </si>
  <si>
    <t>BC</t>
  </si>
  <si>
    <t>AB</t>
  </si>
  <si>
    <t>MW</t>
  </si>
  <si>
    <t>ON</t>
  </si>
  <si>
    <t>QC</t>
  </si>
  <si>
    <t>ATL</t>
  </si>
  <si>
    <t>Subset 1 (acq / Ret)</t>
  </si>
  <si>
    <t>Subset 1 (Line count)</t>
  </si>
  <si>
    <t>Term (subset 1)</t>
  </si>
  <si>
    <t>Conversion Credit (Subset 1)</t>
  </si>
  <si>
    <t>Total investment per line (subset 1)</t>
  </si>
  <si>
    <t>Hardware Credit (Subset 1)</t>
  </si>
  <si>
    <t>MSF (subset 1)</t>
  </si>
  <si>
    <t>Subsidy Tier (subset 1)</t>
  </si>
  <si>
    <t>15+</t>
  </si>
  <si>
    <t>Subsidy Tier (Subset 5)</t>
  </si>
  <si>
    <t>Conversion Credit (Subset 5)</t>
  </si>
  <si>
    <t>Hardware Credit (Subset 5)</t>
  </si>
  <si>
    <t>Total investment per line (subset 5)</t>
  </si>
  <si>
    <t>Optimal Investment per line (subset 5)</t>
  </si>
  <si>
    <t>$10K - $20K</t>
  </si>
  <si>
    <t>$20K - $30K</t>
  </si>
  <si>
    <t>$30K - $50K</t>
  </si>
  <si>
    <t>$50K - $75K</t>
  </si>
  <si>
    <t>$75K - $100K</t>
  </si>
  <si>
    <t>Optimal total investment</t>
  </si>
  <si>
    <t>Average $ investment per line</t>
  </si>
  <si>
    <t>Optimal Avg $ investment per line</t>
  </si>
  <si>
    <t>Cost of pre-HUP wavier</t>
  </si>
  <si>
    <t>Total Company Employee Count</t>
  </si>
  <si>
    <t>Other Rogers Product Count</t>
  </si>
  <si>
    <t>Combined value of other Rogers products</t>
  </si>
  <si>
    <t>Number of years at Carrier</t>
  </si>
  <si>
    <t>$100K - $200K</t>
  </si>
  <si>
    <t>$200K - $300K</t>
  </si>
  <si>
    <t>$300K - $500K</t>
  </si>
  <si>
    <t>$500K - $700K</t>
  </si>
  <si>
    <t>$700K - $900K</t>
  </si>
  <si>
    <t>$900K - $1.2M</t>
  </si>
  <si>
    <t>$1.2M - $1.5M</t>
  </si>
  <si>
    <t>$1.5M - $2M</t>
  </si>
  <si>
    <t>$2M - $3M</t>
  </si>
  <si>
    <t>$3M+</t>
  </si>
  <si>
    <t>9+</t>
  </si>
  <si>
    <t>Other Rogers lines of business</t>
  </si>
  <si>
    <t>Date of last renewal if applicable</t>
  </si>
  <si>
    <t>Supreme</t>
  </si>
  <si>
    <t>ECF at other carriers</t>
  </si>
  <si>
    <t>ECF at Rogers</t>
  </si>
  <si>
    <t>2 - Manufacturing</t>
  </si>
  <si>
    <t>4 - Transportation</t>
  </si>
  <si>
    <t>7 - Other</t>
  </si>
  <si>
    <t>6 - Wholesale and Distribution</t>
  </si>
  <si>
    <t>5 - Retail</t>
  </si>
  <si>
    <t>1 - Business Services</t>
  </si>
  <si>
    <t>3 - Financial Services</t>
  </si>
  <si>
    <t>9 - Public Sector</t>
  </si>
  <si>
    <t>8 - Oil &amp; Gas</t>
  </si>
  <si>
    <r>
      <t>Total ECF</t>
    </r>
    <r>
      <rPr>
        <sz val="10"/>
        <color theme="0"/>
        <rFont val="Arial"/>
        <family val="2"/>
      </rPr>
      <t xml:space="preserve">
</t>
    </r>
    <r>
      <rPr>
        <sz val="9"/>
        <color theme="0"/>
        <rFont val="Arial"/>
        <family val="2"/>
      </rPr>
      <t>(at current carrier or Rogers)</t>
    </r>
  </si>
  <si>
    <t>Line Count
Range</t>
  </si>
  <si>
    <t>max</t>
  </si>
  <si>
    <t>min</t>
  </si>
  <si>
    <t>Device list</t>
  </si>
  <si>
    <t>LG K4</t>
  </si>
  <si>
    <t>Dealer cost</t>
  </si>
  <si>
    <t>LG V20</t>
  </si>
  <si>
    <t>LG G6</t>
  </si>
  <si>
    <t>Blackberry KeyOne</t>
  </si>
  <si>
    <t>Apple SE</t>
  </si>
  <si>
    <t>Samsung S8</t>
  </si>
  <si>
    <t>Samsung Xcover 4</t>
  </si>
  <si>
    <t># devices</t>
  </si>
  <si>
    <t>Apple iPhone 8</t>
  </si>
  <si>
    <t>Google Pixel 2</t>
  </si>
  <si>
    <t>LG V30</t>
  </si>
  <si>
    <t>Samsung J3 Prime</t>
  </si>
  <si>
    <t>Dealer Protected</t>
  </si>
  <si>
    <t>Standard</t>
  </si>
  <si>
    <t>Elite</t>
  </si>
  <si>
    <t>Standard pricing</t>
  </si>
  <si>
    <t>Subsidy</t>
  </si>
  <si>
    <t>Apple iPhone X</t>
  </si>
  <si>
    <t>Please enter qualitative criteria that will help with decision making for this quote</t>
  </si>
  <si>
    <r>
      <rPr>
        <b/>
        <sz val="12"/>
        <color rgb="FF414042"/>
        <rFont val="Arial"/>
        <family val="2"/>
      </rPr>
      <t>EBU Quote Request</t>
    </r>
    <r>
      <rPr>
        <b/>
        <sz val="12"/>
        <rFont val="Arial"/>
        <family val="2"/>
      </rPr>
      <t xml:space="preserve">
</t>
    </r>
    <r>
      <rPr>
        <b/>
        <sz val="10"/>
        <color rgb="FFC00000"/>
        <rFont val="Arial"/>
        <family val="2"/>
      </rPr>
      <t>Must be completed in full</t>
    </r>
  </si>
  <si>
    <t>Please include any other qualitative criteria pertaining to this deal that was not covered above</t>
  </si>
  <si>
    <t>Apple iPhone 7</t>
  </si>
  <si>
    <t>Samsung Note8</t>
  </si>
  <si>
    <t>Is there opportunity to cross-sell / up-sell?  If so, what products?</t>
  </si>
  <si>
    <t>Please provide justification for requested pricing levels, as well as associated credits and waivers</t>
  </si>
  <si>
    <t>Please provide SFDC opportunity numbers for the cross-sell/ up-sell opportunities identified above</t>
  </si>
  <si>
    <t>ECF waiver per year</t>
  </si>
  <si>
    <t>Total cost of ECF Waiver</t>
  </si>
  <si>
    <t>Percentage of total lines that are allowed to receive a hardware upgrade without incurring a penalty</t>
  </si>
  <si>
    <t>Percentage of total lines that are allowed to terminate the contract early without incurring a penalty</t>
  </si>
  <si>
    <t>Commited Lines</t>
  </si>
  <si>
    <t>Specify whether this opportunity is an acquisition (new customer) or renewal (existing customer)</t>
  </si>
  <si>
    <t>Enter the total recurring MSF for a single line in the subset, e.g. total V&amp;D MSF (in 10+ rate card) would include Access Fee + Subsidy + Add-on (data, roaming)</t>
  </si>
  <si>
    <t>Enter # of committed V&amp;D lines within the subset; e.g. enter 1 for a Primary line, or 2+ for a group of secondary lines with same attributes</t>
  </si>
  <si>
    <t>Did we propose a BYOD strategy?</t>
  </si>
  <si>
    <t>Is the customer On-Net?</t>
  </si>
  <si>
    <t>Calculator field</t>
  </si>
  <si>
    <t>Dealer fulfilled?</t>
  </si>
  <si>
    <t>None</t>
  </si>
  <si>
    <t>Superior</t>
  </si>
  <si>
    <t>Auto Approver</t>
  </si>
  <si>
    <t>Sales Director</t>
  </si>
  <si>
    <t>RVP</t>
  </si>
  <si>
    <t>2018-1228</t>
  </si>
  <si>
    <t>2018-E0014</t>
  </si>
  <si>
    <t>2SUPERIORPN / 2SUPERIORIN</t>
  </si>
  <si>
    <t>3SUPERIORPN / 3SUPERIORIN</t>
  </si>
  <si>
    <t>2 Year / Ans
2SUPERIOR</t>
  </si>
  <si>
    <t>3 Year / Ans
3SUPERIOR</t>
  </si>
  <si>
    <t>Alcatel</t>
  </si>
  <si>
    <t>POP7GRY</t>
  </si>
  <si>
    <t>Alcatel Pop 7 LTE</t>
  </si>
  <si>
    <t>Apple iPhone 5S 16GB</t>
  </si>
  <si>
    <t>IP632GRY</t>
  </si>
  <si>
    <t>Apple iPhone 6 32GB</t>
  </si>
  <si>
    <t>Apple iPhone 6 Plus 64GB</t>
  </si>
  <si>
    <t>IP6S32GLD</t>
  </si>
  <si>
    <t>Apple iPhone 6S 32GB</t>
  </si>
  <si>
    <t>IP6S32GRY</t>
  </si>
  <si>
    <t>IP6S32RGD</t>
  </si>
  <si>
    <t>IP6S32SIL</t>
  </si>
  <si>
    <t>Apple iPhone 6S 128GB</t>
  </si>
  <si>
    <t>IP6SPL32GLD</t>
  </si>
  <si>
    <t>Apple iPhone 6S Plus 32GB</t>
  </si>
  <si>
    <t>IP6SPL32GRY</t>
  </si>
  <si>
    <t>IP6SPL32RGD</t>
  </si>
  <si>
    <t>IP6SPL32SIL</t>
  </si>
  <si>
    <t>Apple iPhone 6S Plus 128GB</t>
  </si>
  <si>
    <t>Apple iPhone SE 16GB</t>
  </si>
  <si>
    <t>IPSE32GRY</t>
  </si>
  <si>
    <t>Apple iPhone SE 32GB</t>
  </si>
  <si>
    <t>IPSE32SIL</t>
  </si>
  <si>
    <t>IPSE32GLD</t>
  </si>
  <si>
    <t>IPSE32RGD</t>
  </si>
  <si>
    <t>Apple iPhone SE 64GB</t>
  </si>
  <si>
    <t>IPSE128GRY</t>
  </si>
  <si>
    <t>Apple iPhone SE 128GB</t>
  </si>
  <si>
    <t>IPSE128SIL</t>
  </si>
  <si>
    <t>IPSE128GLD</t>
  </si>
  <si>
    <t>IPSE128RGD</t>
  </si>
  <si>
    <t>IP732BLK</t>
  </si>
  <si>
    <t>iPhone 7 32GB</t>
  </si>
  <si>
    <t>IP732GLD</t>
  </si>
  <si>
    <t>IP732RGD</t>
  </si>
  <si>
    <t>IP732SIL</t>
  </si>
  <si>
    <t>IP732JBLK</t>
  </si>
  <si>
    <t>IP7128BLK</t>
  </si>
  <si>
    <t>iPhone 7 128GB</t>
  </si>
  <si>
    <t>IP7128GLD</t>
  </si>
  <si>
    <t>IP7128JBLK</t>
  </si>
  <si>
    <t>IP7128RGD</t>
  </si>
  <si>
    <t>IP7128SIL</t>
  </si>
  <si>
    <t>IP7128RED</t>
  </si>
  <si>
    <t>IP7256BLK</t>
  </si>
  <si>
    <t>iPhone 7 256GB</t>
  </si>
  <si>
    <t>IP7256GLD</t>
  </si>
  <si>
    <t>IP7256JBLK</t>
  </si>
  <si>
    <t>IP7256RGD</t>
  </si>
  <si>
    <t>IP7256SIL</t>
  </si>
  <si>
    <t>IP7256RED</t>
  </si>
  <si>
    <t>IP7PL32BLK</t>
  </si>
  <si>
    <t>iPhone 7 Plus 32GB</t>
  </si>
  <si>
    <t>IP7PL32GLD</t>
  </si>
  <si>
    <t>IP7PL32RGD</t>
  </si>
  <si>
    <t>IP7PL32SIL</t>
  </si>
  <si>
    <t>IP7PL32JBLK</t>
  </si>
  <si>
    <t>IP7PL128BLK</t>
  </si>
  <si>
    <t>iPhone 7 Plus 128GB</t>
  </si>
  <si>
    <t>IP7PL128GLD</t>
  </si>
  <si>
    <t>IP7PL128JBLK</t>
  </si>
  <si>
    <t>IP7PL128RGD</t>
  </si>
  <si>
    <t>IP7PL128SIL</t>
  </si>
  <si>
    <t>IP7PL128RED</t>
  </si>
  <si>
    <t>IP7PL256BLK</t>
  </si>
  <si>
    <t>iPhone 7 Plus 256GB</t>
  </si>
  <si>
    <t>IP7PL256GLD</t>
  </si>
  <si>
    <t>IP7PL256JBLK</t>
  </si>
  <si>
    <t>IP7PL256RGD</t>
  </si>
  <si>
    <t>IP7PL256SIL</t>
  </si>
  <si>
    <t>IP7PL256RED</t>
  </si>
  <si>
    <t>IP864GLD</t>
  </si>
  <si>
    <t>iPhone 8 64GB</t>
  </si>
  <si>
    <t>IP864GRY</t>
  </si>
  <si>
    <t>IP864SIL</t>
  </si>
  <si>
    <t>IP864RED</t>
  </si>
  <si>
    <t>Apple iPhone 8 64GB
(Direct Only)</t>
  </si>
  <si>
    <t>IP8256GLD</t>
  </si>
  <si>
    <t>iPhone 8 256GB</t>
  </si>
  <si>
    <t>IP8256GRY</t>
  </si>
  <si>
    <t>IP8256SIL</t>
  </si>
  <si>
    <t>IP8PL64GLD</t>
  </si>
  <si>
    <t>iPhone 8 Plus 64GB</t>
  </si>
  <si>
    <t>IP8PL64GRY</t>
  </si>
  <si>
    <t>IP8PL64SIL</t>
  </si>
  <si>
    <t>IP8PL64RED</t>
  </si>
  <si>
    <t>Apple iPhone 8 Plus 64GB
(Direct Only)</t>
  </si>
  <si>
    <t>IP8PL256GLD</t>
  </si>
  <si>
    <t>iPhone 8 Plus 256GB</t>
  </si>
  <si>
    <t>IP8PL256GRY</t>
  </si>
  <si>
    <t>IP8PL256SIL</t>
  </si>
  <si>
    <t>IPX64GRY</t>
  </si>
  <si>
    <t>Apple iPhone X 64GB</t>
  </si>
  <si>
    <t>IPX64SIL</t>
  </si>
  <si>
    <t>IPX256GRY</t>
  </si>
  <si>
    <t>Apple iPhone X 256GB</t>
  </si>
  <si>
    <t>IPX256SIL</t>
  </si>
  <si>
    <t>IPDA232GRY</t>
  </si>
  <si>
    <t>iPad Air 2 32 GB</t>
  </si>
  <si>
    <t>IPDA2128GLD</t>
  </si>
  <si>
    <t>IPD4M32GRY</t>
  </si>
  <si>
    <t>IPD5L32GRY</t>
  </si>
  <si>
    <t>Apple iPad 5 32GB</t>
  </si>
  <si>
    <t>IPD5L32SIL</t>
  </si>
  <si>
    <t>IPD5L128GRY</t>
  </si>
  <si>
    <t>Apple iPad 5 128GB</t>
  </si>
  <si>
    <t>IPD5L128SIL</t>
  </si>
  <si>
    <t>IPDP10256GRY</t>
  </si>
  <si>
    <t>iPad Pro 10.5"</t>
  </si>
  <si>
    <t>BBDTEK50BLK</t>
  </si>
  <si>
    <t>BlackBerry DTEK50</t>
  </si>
  <si>
    <t>BBKEY1SIL</t>
  </si>
  <si>
    <t>BlackBerry KEYone</t>
  </si>
  <si>
    <t>Google</t>
  </si>
  <si>
    <t>PIX32BLU</t>
  </si>
  <si>
    <t>Pixel 32GB</t>
  </si>
  <si>
    <t>PIX32BLK</t>
  </si>
  <si>
    <t>PIX32SIL</t>
  </si>
  <si>
    <t>discontinued</t>
  </si>
  <si>
    <t>PIX128BLK</t>
  </si>
  <si>
    <t>Pixel 128GB</t>
  </si>
  <si>
    <t>PIX128SIL</t>
  </si>
  <si>
    <t>PXL32BLK</t>
  </si>
  <si>
    <t>Pixel XL 32GB</t>
  </si>
  <si>
    <t>PXL32SIL</t>
  </si>
  <si>
    <t>PXL32BLU</t>
  </si>
  <si>
    <t>PXL128BLK</t>
  </si>
  <si>
    <t>Pixel XL 128GB</t>
  </si>
  <si>
    <t>PXL128SIL</t>
  </si>
  <si>
    <t>PIX264BLK</t>
  </si>
  <si>
    <t>Pixel 2 64GB</t>
  </si>
  <si>
    <t>PIX264WHT</t>
  </si>
  <si>
    <t>PIX2128BLK</t>
  </si>
  <si>
    <t>Pixel 2 128GB</t>
  </si>
  <si>
    <t>PIX2128WHT</t>
  </si>
  <si>
    <t>PXL264BLK</t>
  </si>
  <si>
    <t>Pixel 2 XL 64GB</t>
  </si>
  <si>
    <t>PXL264BWHT</t>
  </si>
  <si>
    <t>PXL2128BLK</t>
  </si>
  <si>
    <t>Pixel 2 XL 128GB</t>
  </si>
  <si>
    <t>PXL2128BWHT</t>
  </si>
  <si>
    <t>NOVAPLBLK</t>
  </si>
  <si>
    <t>Huawei Nova Plus</t>
  </si>
  <si>
    <t>P10BLK</t>
  </si>
  <si>
    <t>P10</t>
  </si>
  <si>
    <t>P10GLD</t>
  </si>
  <si>
    <t>P10BLU</t>
  </si>
  <si>
    <t>P10PLBLK</t>
  </si>
  <si>
    <t>P10 Plus</t>
  </si>
  <si>
    <t>P10LTBLK</t>
  </si>
  <si>
    <t>P10 Lite</t>
  </si>
  <si>
    <t>P20LTBLK</t>
  </si>
  <si>
    <t>Huawei P20 Lite</t>
  </si>
  <si>
    <t>P20BLK</t>
  </si>
  <si>
    <t>Huawei P20</t>
  </si>
  <si>
    <t>P20PRBLK</t>
  </si>
  <si>
    <t>Huawei P20 Pro</t>
  </si>
  <si>
    <t>MPADT3GRYGWP</t>
  </si>
  <si>
    <t>Huawei MediaPad T3 10 (GWP)</t>
  </si>
  <si>
    <t>G6BLK</t>
  </si>
  <si>
    <t>G6PLT</t>
  </si>
  <si>
    <t>K4BLK</t>
  </si>
  <si>
    <t>K417GRY</t>
  </si>
  <si>
    <t>LG K4 2017</t>
  </si>
  <si>
    <t>V20BLK</t>
  </si>
  <si>
    <t xml:space="preserve">LG </t>
  </si>
  <si>
    <t>V30SIL</t>
  </si>
  <si>
    <t>Q6PLT</t>
  </si>
  <si>
    <t>LG Q6</t>
  </si>
  <si>
    <t>MOTOGPLBLK</t>
  </si>
  <si>
    <t>Moto G Plus</t>
  </si>
  <si>
    <t>MOTOZBLK</t>
  </si>
  <si>
    <t>Moto Z</t>
  </si>
  <si>
    <t>MZPLAYBLK</t>
  </si>
  <si>
    <t>Moto Z Play</t>
  </si>
  <si>
    <t>A517BLK</t>
  </si>
  <si>
    <t>Samsung Galaxy A5 2017</t>
  </si>
  <si>
    <t>A8BLK</t>
  </si>
  <si>
    <t>Samsung Galaxy A8</t>
  </si>
  <si>
    <t>A8GRY</t>
  </si>
  <si>
    <t>J3BLK</t>
  </si>
  <si>
    <t>Samsung J3</t>
  </si>
  <si>
    <t>J3PRMBLK</t>
  </si>
  <si>
    <t>Samsung Galaxy J3 Prime</t>
  </si>
  <si>
    <t>S8BLK</t>
  </si>
  <si>
    <t>Samsung Galaxy S8</t>
  </si>
  <si>
    <t>S8GRY</t>
  </si>
  <si>
    <t>S8PLBLK</t>
  </si>
  <si>
    <t>Samsung Galaxy S8 Plus</t>
  </si>
  <si>
    <t>S8PLGRY</t>
  </si>
  <si>
    <t>NOTE8BLK</t>
  </si>
  <si>
    <t>Samsung Galaxy Note8</t>
  </si>
  <si>
    <t>NOTE8BLU</t>
  </si>
  <si>
    <t>S9GRY</t>
  </si>
  <si>
    <t>Samsung Galaxy S9</t>
  </si>
  <si>
    <t>S9PUR</t>
  </si>
  <si>
    <t>S9PLGRY</t>
  </si>
  <si>
    <t>Samsung Galaxy S9 Plus</t>
  </si>
  <si>
    <t>S9PLPUR</t>
  </si>
  <si>
    <t>XC4BLK</t>
  </si>
  <si>
    <t>Samsung Galaxy XCover 4</t>
  </si>
  <si>
    <t>TABS2V2BLK</t>
  </si>
  <si>
    <t>Samsung Galaxy Tab S 2</t>
  </si>
  <si>
    <t>XPERIAXBLK</t>
  </si>
  <si>
    <t>Xperia X Performance</t>
  </si>
  <si>
    <t>*ZTE MF275R Rocket Hub (see Terms &amp; Conditions)</t>
  </si>
  <si>
    <t>Z223BLK</t>
  </si>
  <si>
    <t>ZTE Z223</t>
  </si>
  <si>
    <t>All prices, terms &amp; conditions are subject to change at anytime without notice.</t>
  </si>
  <si>
    <t>*ZTE MF275R Rocket Hub voice functionality not officially supported.</t>
  </si>
  <si>
    <t>Apple iPhone 6</t>
  </si>
  <si>
    <t>Huawai P20</t>
  </si>
  <si>
    <t>LG Nexus</t>
  </si>
  <si>
    <t>Samsung S9</t>
  </si>
  <si>
    <t>Select Subsidy option from list.  Defined from the Subsidy options available in the current rate card: BYOD, Basic, Plus, Premium, and Supreme</t>
  </si>
  <si>
    <t>less than %60</t>
  </si>
  <si>
    <t>Greater than 60%</t>
  </si>
  <si>
    <t>Rate Plan Name</t>
  </si>
  <si>
    <t>MSF Before Discount</t>
  </si>
  <si>
    <t>Name of the Rate Plan that is being used</t>
  </si>
  <si>
    <t>Price of Plan selected before discount</t>
  </si>
  <si>
    <t>Rate Plan</t>
  </si>
  <si>
    <t>Accounts owned by an internal sales representative that dealers are allowed to fulfill or accounts owned by a Dealer</t>
  </si>
  <si>
    <t>Qualitative Criteria</t>
  </si>
  <si>
    <t>Quote Number:</t>
  </si>
  <si>
    <t>Primary contact for Deal Desk (Name):</t>
  </si>
  <si>
    <t xml:space="preserve">Best phone number to reach contact above: </t>
  </si>
  <si>
    <t xml:space="preserve">All products </t>
  </si>
  <si>
    <t>Please provide previous approval quote numbers (If applicable)</t>
  </si>
  <si>
    <t>Do you have market intelligence or a competitive quote?</t>
  </si>
  <si>
    <t>What the business case for this request? 
(Justification / Strategic Importance/ Customer relationship)</t>
  </si>
  <si>
    <t xml:space="preserve">Reasoning for pricing, credits and other concessions?
(Why are you asking for this pricing specifically? Individual item reasoning preferred) 
Acceptable answer: "Requesting $500 as ECF's are $450 and unlocking fees are $50, customer wants a $0 transition"
Not acceptable answer - "That's what we need to win the deal"
</t>
  </si>
  <si>
    <t>Are there any other opportunities that are tied to this request? 
(Please provide description and quote numbers and % expected to close)</t>
  </si>
  <si>
    <r>
      <rPr>
        <b/>
        <sz val="11"/>
        <color rgb="FFFF0000"/>
        <rFont val="Arial"/>
        <family val="2"/>
      </rPr>
      <t xml:space="preserve">Reminder: </t>
    </r>
    <r>
      <rPr>
        <b/>
        <sz val="11"/>
        <color theme="1" tint="0.14999847407452621"/>
        <rFont val="Arial"/>
        <family val="2"/>
      </rPr>
      <t xml:space="preserve">Have you attached applicable files? Example: 3rd party, PSOW, CSOW, or supporting pricing forms, ECF report, HUP report, PPA, competitive quote (if applicable) </t>
    </r>
  </si>
  <si>
    <t>No Device</t>
  </si>
  <si>
    <t>Samsung Note 8</t>
  </si>
  <si>
    <t xml:space="preserve">Please provide in a paragraph or two the overall Summary of your ask.
(In case of Wireless, this can be a list plans along with Credits and pre-HUPs and any other useful information)
</t>
  </si>
  <si>
    <t>Voice &amp; Data</t>
  </si>
  <si>
    <t>Voice Only</t>
  </si>
  <si>
    <t>Data Only</t>
  </si>
  <si>
    <t>Activation/Renewal Credit per line</t>
  </si>
  <si>
    <t xml:space="preserve">3GB CSP </t>
  </si>
  <si>
    <t xml:space="preserve">5GB CSP </t>
  </si>
  <si>
    <t xml:space="preserve">7GB CSP </t>
  </si>
  <si>
    <t xml:space="preserve">10GB CSP </t>
  </si>
  <si>
    <t xml:space="preserve">Data Only </t>
  </si>
  <si>
    <t xml:space="preserve">Voice Only </t>
  </si>
  <si>
    <t xml:space="preserve">3GB GCSP </t>
  </si>
  <si>
    <t xml:space="preserve">5GB GCSP </t>
  </si>
  <si>
    <t xml:space="preserve">7GB GCSP </t>
  </si>
  <si>
    <t xml:space="preserve">10GB GCSP </t>
  </si>
  <si>
    <t>Discount (%)</t>
  </si>
  <si>
    <t>$1-$10K</t>
  </si>
  <si>
    <t>Type (Voice/Data/V&amp;D)</t>
  </si>
  <si>
    <t>Choose line type</t>
  </si>
  <si>
    <t>Discount requested by Rate Plan</t>
  </si>
  <si>
    <t>Enter the value of the Activation or Renewal Credit per line</t>
  </si>
  <si>
    <t>The total of all inputted committed lines</t>
  </si>
  <si>
    <t>Cost of Pre-HUP waivers</t>
  </si>
  <si>
    <t>Calculated total value of Pre-HUP waivers over the term of all committed lines based on subsidies and credits entered</t>
  </si>
  <si>
    <t>Calculated total value of ECF waivers over the term of all committed lines based on subsidies and credits entered</t>
  </si>
  <si>
    <t>Cost of ECF waivers</t>
  </si>
  <si>
    <t>Direct</t>
  </si>
  <si>
    <t>Fulfillment Model</t>
  </si>
  <si>
    <t>ECF Waiver</t>
  </si>
  <si>
    <t>Pre-HUP Waiver</t>
  </si>
  <si>
    <t>Fulflillment Costs</t>
  </si>
  <si>
    <t>Total Activation/Renewal Credits</t>
  </si>
  <si>
    <t>Total Revenue per Line</t>
  </si>
  <si>
    <t>Total Margin % per Line</t>
  </si>
  <si>
    <t>Sales Margin %</t>
  </si>
  <si>
    <t>Contract Term</t>
  </si>
  <si>
    <r>
      <t xml:space="preserve">Total Margin $
</t>
    </r>
    <r>
      <rPr>
        <sz val="10"/>
        <color theme="0"/>
        <rFont val="Arial"/>
        <family val="2"/>
      </rPr>
      <t>(over term)</t>
    </r>
  </si>
  <si>
    <t>Hardware Credits</t>
  </si>
  <si>
    <t>Other Credits offered</t>
  </si>
  <si>
    <t>Dealer Only</t>
  </si>
  <si>
    <t>Dealer Owned Co-Sell</t>
  </si>
  <si>
    <t>VAR/Distributor</t>
  </si>
  <si>
    <r>
      <t xml:space="preserve">Date of last renewal 
</t>
    </r>
    <r>
      <rPr>
        <sz val="10"/>
        <color theme="0"/>
        <rFont val="Arial"/>
        <family val="2"/>
      </rPr>
      <t>(if applicable YYYY-MM-DD)</t>
    </r>
  </si>
  <si>
    <t>Enter the value of the Hardware Credits offered</t>
  </si>
  <si>
    <t>Enter the value of any other credits offered</t>
  </si>
  <si>
    <t>Silver</t>
  </si>
  <si>
    <t>Gold</t>
  </si>
  <si>
    <r>
      <t xml:space="preserve">Recurring MSF
</t>
    </r>
    <r>
      <rPr>
        <sz val="10"/>
        <color theme="0"/>
        <rFont val="Arial"/>
        <family val="2"/>
      </rPr>
      <t>(I</t>
    </r>
    <r>
      <rPr>
        <sz val="9"/>
        <color theme="0"/>
        <rFont val="Arial"/>
        <family val="2"/>
      </rPr>
      <t>ncludes discount)</t>
    </r>
  </si>
  <si>
    <t xml:space="preserve">3 GB GBWP 
Subsidized </t>
  </si>
  <si>
    <t xml:space="preserve">5 GB GBWP 
Subsidized </t>
  </si>
  <si>
    <t xml:space="preserve">7 GB GBWP 
Subsidized </t>
  </si>
  <si>
    <t xml:space="preserve">10 GB GBWP 
Subsidized </t>
  </si>
  <si>
    <t>Voice GBWP Subsidized</t>
  </si>
  <si>
    <t xml:space="preserve">50 GB GBWP 
Subsidized </t>
  </si>
  <si>
    <t>Use this Tab for ONLY BWP Plans</t>
  </si>
  <si>
    <t>BWP</t>
  </si>
  <si>
    <t>GBWP</t>
  </si>
  <si>
    <t xml:space="preserve">Voice  </t>
  </si>
  <si>
    <t xml:space="preserve">5 GB  
</t>
  </si>
  <si>
    <t xml:space="preserve">7 GB  
</t>
  </si>
  <si>
    <t xml:space="preserve">10 GB  
</t>
  </si>
  <si>
    <t xml:space="preserve">50 GB  
</t>
  </si>
  <si>
    <t>3 GB</t>
  </si>
  <si>
    <t>Canada-US 7GB</t>
  </si>
  <si>
    <t>Data 1 GB</t>
  </si>
  <si>
    <t>Data 2 GB</t>
  </si>
  <si>
    <t>Data Share</t>
  </si>
  <si>
    <t xml:space="preserve">Voice BWP </t>
  </si>
  <si>
    <t xml:space="preserve">3 GB BWP 
</t>
  </si>
  <si>
    <t xml:space="preserve">5 GB BWP 
</t>
  </si>
  <si>
    <t xml:space="preserve">7 GB BWP 
</t>
  </si>
  <si>
    <t xml:space="preserve">10 GB BWP 
</t>
  </si>
  <si>
    <t xml:space="preserve">50 GB BWP 
</t>
  </si>
  <si>
    <t xml:space="preserve">Canada-US 7GB </t>
  </si>
  <si>
    <t xml:space="preserve">Voice GBWP </t>
  </si>
  <si>
    <t xml:space="preserve">3 GB GBWP 
 </t>
  </si>
  <si>
    <t xml:space="preserve">5 GB GBWP 
 </t>
  </si>
  <si>
    <t xml:space="preserve">7 GB GBWP 
 </t>
  </si>
  <si>
    <t xml:space="preserve">10 GB GBWP 
 </t>
  </si>
  <si>
    <t xml:space="preserve">50 GB GBWP 
 </t>
  </si>
  <si>
    <t xml:space="preserve">MSF </t>
  </si>
  <si>
    <t>BWP (MSF Before Discount Row)</t>
  </si>
  <si>
    <t xml:space="preserve">Helper </t>
  </si>
  <si>
    <r>
      <t xml:space="preserve">Type </t>
    </r>
    <r>
      <rPr>
        <b/>
        <sz val="8"/>
        <color theme="0"/>
        <rFont val="Arial"/>
        <family val="2"/>
      </rPr>
      <t>(Voice/Data/V&amp;D)</t>
    </r>
  </si>
  <si>
    <t>GBWP (MSF Before Discount Row)</t>
  </si>
  <si>
    <t>MSF</t>
  </si>
  <si>
    <t>Access Only</t>
  </si>
  <si>
    <t>Data 3 GB</t>
  </si>
  <si>
    <t>Data 5 GB</t>
  </si>
  <si>
    <t>Data 10 GB</t>
  </si>
  <si>
    <r>
      <t xml:space="preserve">Term
</t>
    </r>
    <r>
      <rPr>
        <sz val="10"/>
        <color theme="0"/>
        <rFont val="Arial"/>
        <family val="2"/>
      </rPr>
      <t>(0, 24 or 36)</t>
    </r>
  </si>
  <si>
    <t>Sales Margin</t>
  </si>
  <si>
    <r>
      <t xml:space="preserve">Term
</t>
    </r>
    <r>
      <rPr>
        <sz val="10"/>
        <color theme="0"/>
        <rFont val="Arial"/>
        <family val="2"/>
      </rPr>
      <t>(0, 24, or 36)</t>
    </r>
  </si>
  <si>
    <r>
      <t xml:space="preserve">Date of last renewal 
</t>
    </r>
    <r>
      <rPr>
        <sz val="10"/>
        <color theme="0"/>
        <rFont val="Arial"/>
        <family val="2"/>
      </rPr>
      <t xml:space="preserve">(if applicable YYYY-MM-DD) </t>
    </r>
  </si>
  <si>
    <t xml:space="preserve">
</t>
  </si>
  <si>
    <t>Pre-HUP(hardware upgrade program) waiver per year</t>
  </si>
  <si>
    <t>ECF(early cancellation fee) waiver per year</t>
  </si>
  <si>
    <t>MSF(monthly service fee) Before 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</si>
</sst>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164" formatCode="&quot;$&quot;#,##0;\-&quot;$&quot;#,##0"/>
    <numFmt numFmtId="165" formatCode="&quot;$&quot;#,##0;[Red]\-&quot;$&quot;#,##0"/>
    <numFmt numFmtId="166" formatCode="&quot;$&quot;#,##0.00;[Red]\-&quot;$&quot;#,##0.00"/>
    <numFmt numFmtId="167" formatCode="_-&quot;$&quot;* #,##0.00_-;\-&quot;$&quot;* #,##0.00_-;_-&quot;$&quot;* &quot;-&quot;??_-;_-@_-"/>
    <numFmt numFmtId="168" formatCode="_-* #,##0.00_-;\-* #,##0.00_-;_-* &quot;-&quot;??_-;_-@_-"/>
    <numFmt numFmtId="169" formatCode="_-&quot;$&quot;* #,##0_-;\-&quot;$&quot;* #,##0_-;_-&quot;$&quot;* &quot;-&quot;??_-;_-@_-"/>
    <numFmt numFmtId="170" formatCode="&quot;$&quot;#,##0"/>
    <numFmt numFmtId="171" formatCode="&quot;$&quot;#,##0.00"/>
    <numFmt numFmtId="172" formatCode="[$-1009]mmmm\ d\,\ yyyy;@"/>
    <numFmt numFmtId="173" formatCode="&quot;$&quot;#,##0;\(&quot;$&quot;#,##0\)"/>
    <numFmt numFmtId="174" formatCode="0.000%"/>
    <numFmt numFmtId="175" formatCode="_-* #,##0_-;\-* #,##0_-;_-* &quot;-&quot;??_-;_-@_-"/>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b/>
      <sz val="11"/>
      <color theme="1"/>
      <name val="Arial"/>
      <family val="2"/>
    </font>
    <font>
      <u/>
      <sz val="11"/>
      <color theme="1"/>
      <name val="Arial"/>
      <family val="2"/>
    </font>
    <font>
      <b/>
      <sz val="14"/>
      <color theme="1"/>
      <name val="Arial"/>
      <family val="2"/>
    </font>
    <font>
      <b/>
      <sz val="16"/>
      <color theme="1"/>
      <name val="Arial"/>
      <family val="2"/>
    </font>
    <font>
      <sz val="11"/>
      <color rgb="FF0070C0"/>
      <name val="Arial"/>
      <family val="2"/>
    </font>
    <font>
      <sz val="14"/>
      <color theme="0"/>
      <name val="Arial"/>
      <family val="2"/>
    </font>
    <font>
      <sz val="12"/>
      <color theme="1"/>
      <name val="Arial"/>
      <family val="2"/>
    </font>
    <font>
      <sz val="14"/>
      <color theme="1"/>
      <name val="Arial"/>
      <family val="2"/>
    </font>
    <font>
      <sz val="16"/>
      <color theme="1"/>
      <name val="Arial"/>
      <family val="2"/>
    </font>
    <font>
      <sz val="11"/>
      <color rgb="FFFF0000"/>
      <name val="Calibri"/>
      <family val="2"/>
      <scheme val="minor"/>
    </font>
    <font>
      <b/>
      <sz val="11"/>
      <color rgb="FFFF0000"/>
      <name val="Calibri"/>
      <family val="2"/>
      <scheme val="minor"/>
    </font>
    <font>
      <b/>
      <sz val="14"/>
      <color theme="0"/>
      <name val="Arial"/>
      <family val="2"/>
    </font>
    <font>
      <b/>
      <sz val="22"/>
      <color theme="1"/>
      <name val="Arial"/>
      <family val="2"/>
    </font>
    <font>
      <sz val="10"/>
      <name val="Arial"/>
      <family val="2"/>
    </font>
    <font>
      <b/>
      <sz val="20"/>
      <color theme="1"/>
      <name val="Arial"/>
      <family val="2"/>
    </font>
    <font>
      <b/>
      <sz val="14"/>
      <name val="Arial"/>
      <family val="2"/>
    </font>
    <font>
      <sz val="14"/>
      <color rgb="FF000000"/>
      <name val="Arial"/>
      <family val="2"/>
    </font>
    <font>
      <sz val="10"/>
      <color theme="1"/>
      <name val="Arial"/>
      <family val="2"/>
    </font>
    <font>
      <b/>
      <sz val="10"/>
      <color theme="1"/>
      <name val="Arial"/>
      <family val="2"/>
    </font>
    <font>
      <b/>
      <sz val="12"/>
      <color theme="1"/>
      <name val="Arial"/>
      <family val="2"/>
    </font>
    <font>
      <b/>
      <sz val="9"/>
      <color theme="1"/>
      <name val="Arial"/>
      <family val="2"/>
    </font>
    <font>
      <sz val="11"/>
      <name val="Arial"/>
      <family val="2"/>
    </font>
    <font>
      <sz val="14"/>
      <name val="Arial"/>
      <family val="2"/>
    </font>
    <font>
      <b/>
      <sz val="10"/>
      <color theme="0"/>
      <name val="Arial"/>
      <family val="2"/>
    </font>
    <font>
      <b/>
      <sz val="10"/>
      <color theme="1" tint="0.499984740745262"/>
      <name val="Arial"/>
      <family val="2"/>
    </font>
    <font>
      <sz val="10"/>
      <color rgb="FF0070C0"/>
      <name val="Arial"/>
      <family val="2"/>
    </font>
    <font>
      <i/>
      <sz val="10"/>
      <color theme="1"/>
      <name val="Arial"/>
      <family val="2"/>
    </font>
    <font>
      <b/>
      <sz val="10"/>
      <color rgb="FFC00000"/>
      <name val="Arial"/>
      <family val="2"/>
    </font>
    <font>
      <u/>
      <sz val="10"/>
      <color theme="1"/>
      <name val="Arial"/>
      <family val="2"/>
    </font>
    <font>
      <sz val="10"/>
      <color theme="0"/>
      <name val="Arial"/>
      <family val="2"/>
    </font>
    <font>
      <sz val="9"/>
      <color theme="0"/>
      <name val="Arial"/>
      <family val="2"/>
    </font>
    <font>
      <sz val="10"/>
      <color rgb="FFFF0000"/>
      <name val="Arial"/>
      <family val="2"/>
    </font>
    <font>
      <sz val="10"/>
      <color theme="1" tint="0.499984740745262"/>
      <name val="Arial"/>
      <family val="2"/>
    </font>
    <font>
      <sz val="9"/>
      <color theme="1"/>
      <name val="Arial"/>
      <family val="2"/>
    </font>
    <font>
      <sz val="11"/>
      <color theme="0"/>
      <name val="Arial"/>
      <family val="2"/>
    </font>
    <font>
      <sz val="8"/>
      <color theme="0"/>
      <name val="Arial"/>
      <family val="2"/>
    </font>
    <font>
      <sz val="11"/>
      <color theme="5" tint="0.39997558519241921"/>
      <name val="Arial"/>
      <family val="2"/>
    </font>
    <font>
      <sz val="11"/>
      <color rgb="FF000000"/>
      <name val="Calibri"/>
      <family val="2"/>
    </font>
    <font>
      <sz val="10"/>
      <color theme="5" tint="0.39997558519241921"/>
      <name val="Arial"/>
      <family val="2"/>
    </font>
    <font>
      <b/>
      <sz val="12"/>
      <name val="Arial"/>
      <family val="2"/>
    </font>
    <font>
      <b/>
      <sz val="12"/>
      <color rgb="FF414042"/>
      <name val="Arial"/>
      <family val="2"/>
    </font>
    <font>
      <sz val="11"/>
      <color rgb="FF006100"/>
      <name val="Calibri"/>
      <family val="2"/>
      <scheme val="minor"/>
    </font>
    <font>
      <b/>
      <u/>
      <sz val="11"/>
      <color rgb="FF1F497D"/>
      <name val="Arial"/>
      <family val="2"/>
    </font>
    <font>
      <sz val="9"/>
      <color indexed="81"/>
      <name val="Tahoma"/>
      <family val="2"/>
    </font>
    <font>
      <b/>
      <sz val="9"/>
      <color indexed="81"/>
      <name val="Tahoma"/>
      <family val="2"/>
    </font>
    <font>
      <sz val="11"/>
      <color rgb="FF414042"/>
      <name val="Arial"/>
      <family val="2"/>
    </font>
    <font>
      <b/>
      <sz val="11"/>
      <color theme="1" tint="0.14999847407452621"/>
      <name val="Arial"/>
      <family val="2"/>
    </font>
    <font>
      <b/>
      <sz val="11"/>
      <color rgb="FFFF0000"/>
      <name val="Arial"/>
      <family val="2"/>
    </font>
    <font>
      <b/>
      <sz val="20"/>
      <color rgb="FFFF0000"/>
      <name val="Arial"/>
      <family val="2"/>
    </font>
    <font>
      <sz val="11"/>
      <color rgb="FFFF0000"/>
      <name val="Arial"/>
      <family val="2"/>
    </font>
    <font>
      <b/>
      <sz val="8"/>
      <color theme="0"/>
      <name val="Arial"/>
      <family val="2"/>
    </font>
  </fonts>
  <fills count="24">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8"/>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indexed="9"/>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9"/>
        <bgColor indexed="64"/>
      </patternFill>
    </fill>
    <fill>
      <patternFill patternType="solid">
        <fgColor rgb="FFC6EFCE"/>
      </patternFill>
    </fill>
    <fill>
      <patternFill patternType="solid">
        <fgColor rgb="FF74CEE0"/>
        <bgColor indexed="64"/>
      </patternFill>
    </fill>
    <fill>
      <patternFill patternType="solid">
        <fgColor rgb="FFBBE4ED"/>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00B0F0"/>
      </bottom>
      <diagonal/>
    </border>
    <border>
      <left style="thin">
        <color theme="5" tint="0.59996337778862885"/>
      </left>
      <right style="thin">
        <color theme="5" tint="0.59996337778862885"/>
      </right>
      <top style="thin">
        <color theme="5" tint="0.59996337778862885"/>
      </top>
      <bottom style="thin">
        <color theme="5" tint="0.59996337778862885"/>
      </bottom>
      <diagonal/>
    </border>
    <border>
      <left style="thin">
        <color indexed="64"/>
      </left>
      <right style="thin">
        <color indexed="64"/>
      </right>
      <top style="thin">
        <color indexed="64"/>
      </top>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theme="5" tint="0.59999389629810485"/>
      </left>
      <right style="thin">
        <color theme="5" tint="0.59999389629810485"/>
      </right>
      <top style="thin">
        <color theme="5" tint="0.59999389629810485"/>
      </top>
      <bottom style="thin">
        <color theme="5" tint="0.59999389629810485"/>
      </bottom>
      <diagonal/>
    </border>
    <border>
      <left style="thin">
        <color rgb="FF00B0F0"/>
      </left>
      <right/>
      <top style="thin">
        <color rgb="FF00B0F0"/>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00B0F0"/>
      </top>
      <bottom style="thin">
        <color rgb="FF00B0F0"/>
      </bottom>
      <diagonal/>
    </border>
    <border>
      <left style="thin">
        <color rgb="FF00B0F0"/>
      </left>
      <right/>
      <top/>
      <bottom/>
      <diagonal/>
    </border>
    <border>
      <left/>
      <right/>
      <top/>
      <bottom style="medium">
        <color rgb="FFFFFFFF"/>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7">
    <xf numFmtId="0" fontId="0" fillId="0" borderId="0"/>
    <xf numFmtId="167" fontId="1" fillId="0" borderId="0" applyFont="0" applyFill="0" applyBorder="0" applyAlignment="0" applyProtection="0"/>
    <xf numFmtId="9" fontId="1" fillId="0" borderId="0" applyFont="0" applyFill="0" applyBorder="0" applyAlignment="0" applyProtection="0"/>
    <xf numFmtId="0" fontId="17" fillId="0" borderId="0"/>
    <xf numFmtId="168" fontId="1" fillId="0" borderId="0" applyFont="0" applyFill="0" applyBorder="0" applyAlignment="0" applyProtection="0"/>
    <xf numFmtId="0" fontId="17" fillId="0" borderId="0"/>
    <xf numFmtId="0" fontId="45" fillId="21" borderId="0" applyNumberFormat="0" applyBorder="0" applyAlignment="0" applyProtection="0"/>
  </cellStyleXfs>
  <cellXfs count="441">
    <xf numFmtId="0" fontId="0" fillId="0" borderId="0" xfId="0"/>
    <xf numFmtId="0" fontId="2" fillId="0" borderId="0" xfId="0" applyFont="1"/>
    <xf numFmtId="0" fontId="0" fillId="0" borderId="2" xfId="0" applyBorder="1"/>
    <xf numFmtId="0" fontId="3" fillId="3" borderId="0" xfId="0" applyFont="1" applyFill="1" applyProtection="1">
      <protection hidden="1"/>
    </xf>
    <xf numFmtId="0" fontId="3" fillId="3" borderId="0" xfId="0" applyFont="1" applyFill="1" applyAlignment="1" applyProtection="1">
      <alignment wrapText="1"/>
      <protection hidden="1"/>
    </xf>
    <xf numFmtId="0" fontId="4" fillId="3" borderId="0" xfId="0" applyFont="1" applyFill="1" applyAlignment="1" applyProtection="1">
      <alignment vertical="center"/>
      <protection hidden="1"/>
    </xf>
    <xf numFmtId="0" fontId="3" fillId="3" borderId="3" xfId="0" applyFont="1" applyFill="1" applyBorder="1" applyProtection="1">
      <protection hidden="1"/>
    </xf>
    <xf numFmtId="0" fontId="3" fillId="3" borderId="0" xfId="0" applyFont="1" applyFill="1" applyBorder="1" applyProtection="1">
      <protection hidden="1"/>
    </xf>
    <xf numFmtId="0" fontId="3" fillId="3" borderId="0" xfId="0" applyFont="1" applyFill="1" applyBorder="1" applyAlignment="1" applyProtection="1">
      <alignment vertical="center"/>
      <protection hidden="1"/>
    </xf>
    <xf numFmtId="0" fontId="4" fillId="3" borderId="0" xfId="0" applyFont="1" applyFill="1" applyBorder="1" applyAlignment="1" applyProtection="1">
      <alignment vertical="center"/>
      <protection hidden="1"/>
    </xf>
    <xf numFmtId="0" fontId="7" fillId="3" borderId="3" xfId="0" applyFont="1" applyFill="1" applyBorder="1" applyAlignment="1" applyProtection="1">
      <alignment horizontal="center" vertical="center"/>
      <protection hidden="1"/>
    </xf>
    <xf numFmtId="0" fontId="4" fillId="3" borderId="0" xfId="0" applyFont="1" applyFill="1" applyBorder="1" applyAlignment="1" applyProtection="1">
      <alignment horizontal="center" vertical="center"/>
      <protection hidden="1"/>
    </xf>
    <xf numFmtId="0" fontId="5" fillId="3" borderId="0" xfId="0" applyFont="1" applyFill="1" applyBorder="1" applyAlignment="1" applyProtection="1">
      <alignment vertical="center"/>
      <protection hidden="1"/>
    </xf>
    <xf numFmtId="0" fontId="3" fillId="3" borderId="0" xfId="0" applyFont="1" applyFill="1" applyAlignment="1" applyProtection="1">
      <alignment vertical="center"/>
      <protection hidden="1"/>
    </xf>
    <xf numFmtId="0" fontId="4" fillId="3" borderId="0" xfId="0" applyFont="1" applyFill="1" applyBorder="1" applyAlignment="1" applyProtection="1">
      <alignment vertical="center" wrapText="1"/>
      <protection hidden="1"/>
    </xf>
    <xf numFmtId="0" fontId="12" fillId="3" borderId="0" xfId="0" applyFont="1" applyFill="1" applyBorder="1" applyAlignment="1" applyProtection="1">
      <alignment vertical="center"/>
      <protection hidden="1"/>
    </xf>
    <xf numFmtId="0" fontId="3" fillId="3" borderId="0" xfId="0" applyFont="1" applyFill="1" applyBorder="1" applyAlignment="1" applyProtection="1">
      <alignment vertical="center" wrapText="1"/>
      <protection hidden="1"/>
    </xf>
    <xf numFmtId="170" fontId="12" fillId="3" borderId="0" xfId="0" applyNumberFormat="1" applyFont="1" applyFill="1" applyBorder="1" applyAlignment="1" applyProtection="1">
      <alignment vertical="center"/>
      <protection hidden="1"/>
    </xf>
    <xf numFmtId="0" fontId="8" fillId="3" borderId="0" xfId="0" applyFont="1" applyFill="1" applyBorder="1" applyAlignment="1" applyProtection="1">
      <alignment vertical="center" wrapText="1"/>
      <protection hidden="1"/>
    </xf>
    <xf numFmtId="0" fontId="8" fillId="3" borderId="0" xfId="0" applyFont="1" applyFill="1" applyBorder="1" applyAlignment="1" applyProtection="1">
      <alignment vertical="center"/>
      <protection hidden="1"/>
    </xf>
    <xf numFmtId="9" fontId="0" fillId="0" borderId="0" xfId="0" applyNumberFormat="1"/>
    <xf numFmtId="0" fontId="0" fillId="0" borderId="0" xfId="0" quotePrefix="1"/>
    <xf numFmtId="9" fontId="2" fillId="0" borderId="0" xfId="0" applyNumberFormat="1" applyFont="1"/>
    <xf numFmtId="0" fontId="0" fillId="0" borderId="0" xfId="0" applyAlignment="1">
      <alignment horizontal="center"/>
    </xf>
    <xf numFmtId="0" fontId="0" fillId="0" borderId="0" xfId="0" applyAlignment="1">
      <alignment horizontal="center" vertical="center"/>
    </xf>
    <xf numFmtId="0" fontId="2" fillId="0" borderId="0" xfId="0" applyFont="1" applyAlignment="1">
      <alignment horizontal="center"/>
    </xf>
    <xf numFmtId="0" fontId="13" fillId="0" borderId="0" xfId="0" applyFont="1"/>
    <xf numFmtId="0" fontId="13" fillId="0" borderId="0" xfId="0" applyFont="1" applyAlignment="1">
      <alignment horizontal="center"/>
    </xf>
    <xf numFmtId="0" fontId="14" fillId="0" borderId="0" xfId="0" applyFont="1" applyAlignment="1">
      <alignment horizontal="center"/>
    </xf>
    <xf numFmtId="0" fontId="0" fillId="0" borderId="0" xfId="0" quotePrefix="1" applyAlignment="1">
      <alignment horizontal="center" wrapText="1"/>
    </xf>
    <xf numFmtId="0" fontId="12" fillId="3" borderId="0" xfId="0" applyFont="1" applyFill="1" applyBorder="1" applyAlignment="1" applyProtection="1">
      <alignment vertical="center" wrapText="1"/>
      <protection hidden="1"/>
    </xf>
    <xf numFmtId="10" fontId="2" fillId="2" borderId="1" xfId="0" applyNumberFormat="1" applyFont="1" applyFill="1" applyBorder="1" applyAlignment="1">
      <alignment horizontal="center" vertical="center"/>
    </xf>
    <xf numFmtId="0" fontId="4" fillId="3" borderId="0" xfId="0" applyFont="1" applyFill="1" applyProtection="1">
      <protection hidden="1"/>
    </xf>
    <xf numFmtId="0" fontId="0" fillId="0" borderId="2" xfId="0" applyBorder="1" applyAlignment="1">
      <alignment horizontal="center" vertical="center"/>
    </xf>
    <xf numFmtId="169" fontId="0" fillId="0" borderId="0" xfId="1" applyNumberFormat="1" applyFont="1" applyAlignment="1">
      <alignment horizontal="center" vertical="center"/>
    </xf>
    <xf numFmtId="171" fontId="0" fillId="0" borderId="0" xfId="0" applyNumberFormat="1" applyAlignment="1">
      <alignment horizontal="center" vertical="center"/>
    </xf>
    <xf numFmtId="170" fontId="0" fillId="0" borderId="2" xfId="1" applyNumberFormat="1" applyFont="1" applyBorder="1" applyAlignment="1">
      <alignment horizontal="center" vertical="center"/>
    </xf>
    <xf numFmtId="170" fontId="0" fillId="0" borderId="0" xfId="0" applyNumberFormat="1" applyAlignment="1">
      <alignment horizontal="center" vertical="center"/>
    </xf>
    <xf numFmtId="170" fontId="0" fillId="0" borderId="5" xfId="1" applyNumberFormat="1" applyFont="1" applyBorder="1" applyAlignment="1">
      <alignment horizontal="center" vertical="center"/>
    </xf>
    <xf numFmtId="170" fontId="0" fillId="0" borderId="6" xfId="1" applyNumberFormat="1" applyFont="1" applyBorder="1" applyAlignment="1">
      <alignment horizontal="center" vertical="center"/>
    </xf>
    <xf numFmtId="170" fontId="0" fillId="0" borderId="7" xfId="1" applyNumberFormat="1" applyFont="1" applyBorder="1" applyAlignment="1">
      <alignment horizontal="center" vertical="center"/>
    </xf>
    <xf numFmtId="170" fontId="0" fillId="0" borderId="8" xfId="1" applyNumberFormat="1" applyFont="1" applyBorder="1" applyAlignment="1">
      <alignment horizontal="center" vertical="center"/>
    </xf>
    <xf numFmtId="170" fontId="0" fillId="0" borderId="9" xfId="1" applyNumberFormat="1" applyFont="1" applyBorder="1" applyAlignment="1">
      <alignment horizontal="center" vertical="center"/>
    </xf>
    <xf numFmtId="170" fontId="0" fillId="0" borderId="10" xfId="1" applyNumberFormat="1" applyFont="1" applyBorder="1" applyAlignment="1">
      <alignment horizontal="center" vertical="center"/>
    </xf>
    <xf numFmtId="170" fontId="0" fillId="0" borderId="11" xfId="1" applyNumberFormat="1" applyFont="1" applyBorder="1" applyAlignment="1">
      <alignment horizontal="center" vertical="center"/>
    </xf>
    <xf numFmtId="170" fontId="0" fillId="0" borderId="12" xfId="1" applyNumberFormat="1" applyFont="1" applyBorder="1" applyAlignment="1">
      <alignment horizontal="center" vertical="center"/>
    </xf>
    <xf numFmtId="170" fontId="0" fillId="0" borderId="13" xfId="1" applyNumberFormat="1" applyFont="1" applyBorder="1" applyAlignment="1">
      <alignment horizontal="center" vertical="center"/>
    </xf>
    <xf numFmtId="0" fontId="2" fillId="0" borderId="0" xfId="0" applyFont="1" applyAlignment="1">
      <alignment horizontal="center" vertical="center"/>
    </xf>
    <xf numFmtId="0" fontId="2" fillId="0" borderId="0" xfId="0" applyFont="1" applyAlignment="1">
      <alignment horizontal="center" wrapText="1"/>
    </xf>
    <xf numFmtId="170" fontId="0" fillId="0" borderId="0" xfId="0" applyNumberFormat="1" applyAlignment="1">
      <alignment horizontal="center"/>
    </xf>
    <xf numFmtId="0" fontId="10" fillId="3" borderId="0" xfId="3" applyFont="1" applyFill="1" applyAlignment="1">
      <alignment horizontal="center" vertical="center"/>
    </xf>
    <xf numFmtId="0" fontId="11" fillId="3" borderId="0" xfId="3" applyFont="1" applyFill="1" applyAlignment="1">
      <alignment horizontal="center" vertical="center"/>
    </xf>
    <xf numFmtId="0" fontId="6" fillId="3" borderId="0" xfId="3" applyFont="1" applyFill="1" applyAlignment="1">
      <alignment horizontal="left" vertical="center"/>
    </xf>
    <xf numFmtId="0" fontId="6" fillId="7" borderId="0" xfId="3" applyFont="1" applyFill="1" applyAlignment="1">
      <alignment horizontal="left" vertical="center"/>
    </xf>
    <xf numFmtId="0" fontId="11" fillId="7" borderId="0" xfId="3" applyFont="1" applyFill="1" applyAlignment="1">
      <alignment horizontal="center" vertical="center"/>
    </xf>
    <xf numFmtId="0" fontId="6" fillId="3" borderId="0" xfId="3" applyFont="1" applyFill="1" applyAlignment="1">
      <alignment horizontal="right" vertical="center"/>
    </xf>
    <xf numFmtId="0" fontId="6" fillId="3" borderId="0" xfId="3" applyFont="1" applyFill="1" applyBorder="1" applyAlignment="1">
      <alignment horizontal="left" vertical="center"/>
    </xf>
    <xf numFmtId="0" fontId="6" fillId="7" borderId="0" xfId="3" applyFont="1" applyFill="1" applyAlignment="1">
      <alignment horizontal="center" vertical="center"/>
    </xf>
    <xf numFmtId="0" fontId="6" fillId="3" borderId="0" xfId="3" applyFont="1" applyFill="1" applyAlignment="1">
      <alignment horizontal="center" vertical="center"/>
    </xf>
    <xf numFmtId="172" fontId="6" fillId="0" borderId="0" xfId="3" applyNumberFormat="1" applyFont="1" applyFill="1" applyBorder="1" applyAlignment="1">
      <alignment horizontal="left" vertical="center"/>
    </xf>
    <xf numFmtId="0" fontId="6" fillId="3" borderId="0" xfId="3" quotePrefix="1" applyFont="1" applyFill="1" applyBorder="1" applyAlignment="1">
      <alignment vertical="center"/>
    </xf>
    <xf numFmtId="0" fontId="11" fillId="3" borderId="0" xfId="3" applyFont="1" applyFill="1" applyAlignment="1">
      <alignment horizontal="center" vertical="center" wrapText="1"/>
    </xf>
    <xf numFmtId="172" fontId="6" fillId="3" borderId="0" xfId="3" applyNumberFormat="1" applyFont="1" applyFill="1" applyBorder="1" applyAlignment="1">
      <alignment horizontal="left" vertical="center"/>
    </xf>
    <xf numFmtId="0" fontId="6" fillId="3" borderId="0" xfId="3" quotePrefix="1" applyFont="1" applyFill="1" applyBorder="1" applyAlignment="1">
      <alignment horizontal="left" vertical="center"/>
    </xf>
    <xf numFmtId="172" fontId="6" fillId="3" borderId="0" xfId="3" applyNumberFormat="1" applyFont="1" applyFill="1" applyAlignment="1">
      <alignment horizontal="left" vertical="center"/>
    </xf>
    <xf numFmtId="0" fontId="6" fillId="3" borderId="0" xfId="3" quotePrefix="1" applyFont="1" applyFill="1" applyAlignment="1">
      <alignment horizontal="left" vertical="center"/>
    </xf>
    <xf numFmtId="0" fontId="11" fillId="8" borderId="0" xfId="3" applyFont="1" applyFill="1" applyAlignment="1">
      <alignment vertical="center"/>
    </xf>
    <xf numFmtId="0" fontId="11" fillId="9" borderId="0" xfId="3" applyFont="1" applyFill="1" applyAlignment="1">
      <alignment vertical="center"/>
    </xf>
    <xf numFmtId="0" fontId="11" fillId="10" borderId="0" xfId="3" applyFont="1" applyFill="1" applyAlignment="1">
      <alignment vertical="center"/>
    </xf>
    <xf numFmtId="0" fontId="6" fillId="3" borderId="0" xfId="3" applyFont="1" applyFill="1" applyAlignment="1">
      <alignment vertical="center"/>
    </xf>
    <xf numFmtId="0" fontId="6" fillId="3" borderId="0" xfId="3" applyFont="1" applyFill="1" applyBorder="1" applyAlignment="1">
      <alignment horizontal="center" vertical="center"/>
    </xf>
    <xf numFmtId="0" fontId="6" fillId="11" borderId="2" xfId="3" applyFont="1" applyFill="1" applyBorder="1" applyAlignment="1">
      <alignment horizontal="center" vertical="center" wrapText="1"/>
    </xf>
    <xf numFmtId="0" fontId="6" fillId="12" borderId="2" xfId="3" applyFont="1" applyFill="1" applyBorder="1" applyAlignment="1">
      <alignment horizontal="center" vertical="center" wrapText="1"/>
    </xf>
    <xf numFmtId="0" fontId="6" fillId="11" borderId="5" xfId="3" applyFont="1" applyFill="1" applyBorder="1" applyAlignment="1">
      <alignment horizontal="center" vertical="center" wrapText="1"/>
    </xf>
    <xf numFmtId="0" fontId="11" fillId="0" borderId="2" xfId="3" applyFont="1" applyFill="1" applyBorder="1" applyAlignment="1">
      <alignment horizontal="center" vertical="center"/>
    </xf>
    <xf numFmtId="15" fontId="11" fillId="0" borderId="2" xfId="3" applyNumberFormat="1" applyFont="1" applyFill="1" applyBorder="1" applyAlignment="1">
      <alignment horizontal="center" vertical="center"/>
    </xf>
    <xf numFmtId="0" fontId="11" fillId="0" borderId="2" xfId="3" applyFont="1" applyFill="1" applyBorder="1" applyAlignment="1">
      <alignment horizontal="center" vertical="center" wrapText="1"/>
    </xf>
    <xf numFmtId="2" fontId="11" fillId="0" borderId="2" xfId="3" applyNumberFormat="1" applyFont="1" applyFill="1" applyBorder="1" applyAlignment="1">
      <alignment horizontal="center" vertical="center" wrapText="1"/>
    </xf>
    <xf numFmtId="2" fontId="11" fillId="0" borderId="2" xfId="3" applyNumberFormat="1" applyFont="1" applyFill="1" applyBorder="1" applyAlignment="1">
      <alignment horizontal="center" vertical="center"/>
    </xf>
    <xf numFmtId="0" fontId="11" fillId="0" borderId="0" xfId="3" applyFont="1" applyFill="1" applyAlignment="1">
      <alignment horizontal="center" vertical="center"/>
    </xf>
    <xf numFmtId="0" fontId="11" fillId="8" borderId="2" xfId="3" applyFont="1" applyFill="1" applyBorder="1" applyAlignment="1">
      <alignment horizontal="center" vertical="center"/>
    </xf>
    <xf numFmtId="15" fontId="11" fillId="8" borderId="2" xfId="3" applyNumberFormat="1" applyFont="1" applyFill="1" applyBorder="1" applyAlignment="1">
      <alignment horizontal="center" vertical="center"/>
    </xf>
    <xf numFmtId="0" fontId="11" fillId="8" borderId="2" xfId="3" applyFont="1" applyFill="1" applyBorder="1" applyAlignment="1">
      <alignment horizontal="center" vertical="center" wrapText="1"/>
    </xf>
    <xf numFmtId="2" fontId="11" fillId="8" borderId="2" xfId="3" applyNumberFormat="1" applyFont="1" applyFill="1" applyBorder="1" applyAlignment="1">
      <alignment horizontal="center" vertical="center" wrapText="1"/>
    </xf>
    <xf numFmtId="2" fontId="11" fillId="8" borderId="2" xfId="3" applyNumberFormat="1" applyFont="1" applyFill="1" applyBorder="1" applyAlignment="1">
      <alignment horizontal="center" vertical="center"/>
    </xf>
    <xf numFmtId="0" fontId="21" fillId="0" borderId="0" xfId="3" applyFont="1" applyFill="1" applyAlignment="1">
      <alignment horizontal="center" vertical="center"/>
    </xf>
    <xf numFmtId="0" fontId="21" fillId="0" borderId="0" xfId="3" applyFont="1" applyFill="1" applyAlignment="1">
      <alignment horizontal="center" vertical="center" wrapText="1"/>
    </xf>
    <xf numFmtId="2" fontId="21" fillId="0" borderId="0" xfId="3" applyNumberFormat="1" applyFont="1" applyFill="1" applyAlignment="1">
      <alignment horizontal="center" vertical="center" wrapText="1"/>
    </xf>
    <xf numFmtId="2" fontId="21" fillId="0" borderId="0" xfId="3" applyNumberFormat="1" applyFont="1" applyFill="1" applyAlignment="1">
      <alignment horizontal="center" vertical="center"/>
    </xf>
    <xf numFmtId="0" fontId="21" fillId="3" borderId="0" xfId="3" applyFont="1" applyFill="1" applyAlignment="1">
      <alignment horizontal="center" vertical="center"/>
    </xf>
    <xf numFmtId="0" fontId="21" fillId="3" borderId="0" xfId="3" applyFont="1" applyFill="1" applyAlignment="1">
      <alignment horizontal="center" vertical="center" wrapText="1"/>
    </xf>
    <xf numFmtId="2" fontId="21" fillId="3" borderId="0" xfId="3" applyNumberFormat="1" applyFont="1" applyFill="1" applyAlignment="1">
      <alignment horizontal="center" vertical="center" wrapText="1"/>
    </xf>
    <xf numFmtId="2" fontId="21" fillId="3" borderId="0" xfId="3" applyNumberFormat="1" applyFont="1" applyFill="1" applyAlignment="1">
      <alignment horizontal="center" vertical="center"/>
    </xf>
    <xf numFmtId="0" fontId="7" fillId="3" borderId="0" xfId="3" applyFont="1" applyFill="1" applyAlignment="1">
      <alignment horizontal="left" vertical="center"/>
    </xf>
    <xf numFmtId="0" fontId="22" fillId="3" borderId="0" xfId="3" applyFont="1" applyFill="1" applyAlignment="1">
      <alignment horizontal="center" vertical="center" wrapText="1"/>
    </xf>
    <xf numFmtId="0" fontId="7" fillId="7" borderId="0" xfId="3" applyFont="1" applyFill="1" applyAlignment="1">
      <alignment horizontal="left" vertical="center"/>
    </xf>
    <xf numFmtId="2" fontId="22" fillId="3" borderId="0" xfId="3" applyNumberFormat="1" applyFont="1" applyFill="1" applyAlignment="1">
      <alignment horizontal="center" vertical="center" wrapText="1"/>
    </xf>
    <xf numFmtId="0" fontId="23" fillId="3" borderId="0" xfId="3" applyFont="1" applyFill="1" applyAlignment="1">
      <alignment horizontal="left" vertical="center"/>
    </xf>
    <xf numFmtId="0" fontId="10" fillId="3" borderId="0" xfId="3" applyFont="1" applyFill="1" applyAlignment="1">
      <alignment horizontal="center" vertical="center" wrapText="1"/>
    </xf>
    <xf numFmtId="0" fontId="23" fillId="3" borderId="0" xfId="3" applyFont="1" applyFill="1" applyAlignment="1">
      <alignment horizontal="center" vertical="center" wrapText="1"/>
    </xf>
    <xf numFmtId="0" fontId="23" fillId="7" borderId="0" xfId="3" applyFont="1" applyFill="1" applyAlignment="1">
      <alignment horizontal="left" vertical="center"/>
    </xf>
    <xf numFmtId="2" fontId="10" fillId="3" borderId="0" xfId="3" applyNumberFormat="1" applyFont="1" applyFill="1" applyAlignment="1">
      <alignment horizontal="center" vertical="center"/>
    </xf>
    <xf numFmtId="2" fontId="23" fillId="3" borderId="0" xfId="3" applyNumberFormat="1" applyFont="1" applyFill="1" applyAlignment="1">
      <alignment horizontal="center" vertical="center" wrapText="1"/>
    </xf>
    <xf numFmtId="0" fontId="10" fillId="3" borderId="0" xfId="3" applyFont="1" applyFill="1" applyAlignment="1">
      <alignment horizontal="left" vertical="center"/>
    </xf>
    <xf numFmtId="0" fontId="10" fillId="3" borderId="0" xfId="3" applyFont="1" applyFill="1" applyAlignment="1"/>
    <xf numFmtId="0" fontId="10" fillId="7" borderId="0" xfId="3" applyFont="1" applyFill="1" applyAlignment="1">
      <alignment horizontal="left" vertical="center"/>
    </xf>
    <xf numFmtId="2" fontId="10" fillId="7" borderId="0" xfId="3" applyNumberFormat="1" applyFont="1" applyFill="1" applyAlignment="1">
      <alignment horizontal="center" vertical="center"/>
    </xf>
    <xf numFmtId="0" fontId="10" fillId="3" borderId="0" xfId="3" applyFont="1" applyFill="1" applyAlignment="1">
      <alignment horizontal="center" wrapText="1"/>
    </xf>
    <xf numFmtId="0" fontId="10" fillId="7" borderId="0" xfId="3" applyFont="1" applyFill="1" applyAlignment="1">
      <alignment horizontal="center" vertical="center"/>
    </xf>
    <xf numFmtId="0" fontId="10" fillId="0" borderId="0" xfId="3" applyFont="1" applyAlignment="1">
      <alignment horizontal="center" vertical="center"/>
    </xf>
    <xf numFmtId="0" fontId="23" fillId="3" borderId="0" xfId="3" applyFont="1" applyFill="1" applyAlignment="1"/>
    <xf numFmtId="0" fontId="10" fillId="7" borderId="0" xfId="3" applyFont="1" applyFill="1" applyAlignment="1">
      <alignment horizontal="center" vertical="center" wrapText="1"/>
    </xf>
    <xf numFmtId="2" fontId="10" fillId="7" borderId="0" xfId="3" applyNumberFormat="1" applyFont="1" applyFill="1" applyAlignment="1">
      <alignment horizontal="center" vertical="center" wrapText="1"/>
    </xf>
    <xf numFmtId="0" fontId="21" fillId="7" borderId="0" xfId="3" applyFont="1" applyFill="1" applyAlignment="1">
      <alignment horizontal="center" vertical="center"/>
    </xf>
    <xf numFmtId="0" fontId="21" fillId="7" borderId="0" xfId="3" applyFont="1" applyFill="1" applyAlignment="1">
      <alignment horizontal="center" vertical="center" wrapText="1"/>
    </xf>
    <xf numFmtId="2" fontId="21" fillId="7" borderId="0" xfId="3" applyNumberFormat="1" applyFont="1" applyFill="1" applyAlignment="1">
      <alignment horizontal="center" vertical="center"/>
    </xf>
    <xf numFmtId="2" fontId="21" fillId="7" borderId="0" xfId="3" applyNumberFormat="1" applyFont="1" applyFill="1" applyAlignment="1">
      <alignment horizontal="center" vertical="center" wrapText="1"/>
    </xf>
    <xf numFmtId="0" fontId="21" fillId="7" borderId="0" xfId="3" applyFont="1" applyFill="1" applyAlignment="1" applyProtection="1">
      <alignment horizontal="center" vertical="center" wrapText="1"/>
    </xf>
    <xf numFmtId="0" fontId="11" fillId="0" borderId="2" xfId="0" applyFont="1" applyFill="1" applyBorder="1" applyAlignment="1" applyProtection="1">
      <alignment horizontal="center" vertical="center" wrapText="1"/>
      <protection locked="0"/>
    </xf>
    <xf numFmtId="0" fontId="0" fillId="3" borderId="0" xfId="0" applyFill="1"/>
    <xf numFmtId="0" fontId="3" fillId="3" borderId="0" xfId="0" applyFont="1" applyFill="1"/>
    <xf numFmtId="0" fontId="3" fillId="3" borderId="0" xfId="0" applyFont="1" applyFill="1" applyAlignment="1">
      <alignment vertical="center"/>
    </xf>
    <xf numFmtId="0" fontId="23" fillId="3" borderId="0" xfId="0" applyFont="1" applyFill="1" applyAlignment="1">
      <alignment vertical="center"/>
    </xf>
    <xf numFmtId="0" fontId="26" fillId="3" borderId="0" xfId="0" applyFont="1" applyFill="1" applyAlignment="1">
      <alignment horizontal="left" vertical="center" wrapText="1"/>
    </xf>
    <xf numFmtId="0" fontId="26" fillId="3" borderId="0" xfId="0" applyFont="1" applyFill="1"/>
    <xf numFmtId="0" fontId="26" fillId="3" borderId="0" xfId="0" applyFont="1" applyFill="1" applyAlignment="1">
      <alignment vertical="center"/>
    </xf>
    <xf numFmtId="0" fontId="26" fillId="3" borderId="0" xfId="0" applyFont="1" applyFill="1" applyAlignment="1">
      <alignment vertical="center" wrapText="1"/>
    </xf>
    <xf numFmtId="0" fontId="21" fillId="3" borderId="0" xfId="0" applyFont="1" applyFill="1" applyProtection="1">
      <protection hidden="1"/>
    </xf>
    <xf numFmtId="0" fontId="21" fillId="3" borderId="0" xfId="0" applyFont="1" applyFill="1" applyBorder="1" applyProtection="1">
      <protection hidden="1"/>
    </xf>
    <xf numFmtId="0" fontId="22" fillId="3" borderId="0" xfId="0" applyFont="1" applyFill="1" applyBorder="1" applyAlignment="1" applyProtection="1">
      <alignment vertical="center"/>
      <protection hidden="1"/>
    </xf>
    <xf numFmtId="0" fontId="21" fillId="3" borderId="0" xfId="0" applyFont="1" applyFill="1" applyBorder="1" applyAlignment="1" applyProtection="1">
      <alignment vertical="center" wrapText="1"/>
      <protection hidden="1"/>
    </xf>
    <xf numFmtId="0" fontId="22" fillId="3" borderId="0" xfId="0" applyFont="1" applyFill="1" applyBorder="1" applyAlignment="1" applyProtection="1">
      <alignment vertical="center" wrapText="1"/>
      <protection hidden="1"/>
    </xf>
    <xf numFmtId="0" fontId="22" fillId="3" borderId="0" xfId="0" applyFont="1" applyFill="1" applyBorder="1" applyAlignment="1" applyProtection="1">
      <alignment horizontal="center" vertical="center" wrapText="1"/>
      <protection hidden="1"/>
    </xf>
    <xf numFmtId="0" fontId="29" fillId="3" borderId="0" xfId="0" applyFont="1" applyFill="1" applyBorder="1" applyAlignment="1" applyProtection="1">
      <alignment horizontal="center" vertical="center" wrapText="1"/>
      <protection hidden="1"/>
    </xf>
    <xf numFmtId="174" fontId="21" fillId="3" borderId="0" xfId="0" applyNumberFormat="1" applyFont="1" applyFill="1" applyProtection="1">
      <protection hidden="1"/>
    </xf>
    <xf numFmtId="0" fontId="21" fillId="3" borderId="0" xfId="0" applyFont="1" applyFill="1" applyAlignment="1" applyProtection="1">
      <alignment horizontal="center"/>
      <protection hidden="1"/>
    </xf>
    <xf numFmtId="0" fontId="21" fillId="3" borderId="0" xfId="0" applyFont="1" applyFill="1" applyBorder="1" applyAlignment="1" applyProtection="1">
      <alignment horizontal="center"/>
      <protection hidden="1"/>
    </xf>
    <xf numFmtId="9" fontId="21" fillId="5" borderId="4" xfId="2" applyFont="1" applyFill="1" applyBorder="1" applyAlignment="1" applyProtection="1">
      <alignment horizontal="center" vertical="center"/>
      <protection locked="0" hidden="1"/>
    </xf>
    <xf numFmtId="0" fontId="21" fillId="5" borderId="4" xfId="0" applyFont="1" applyFill="1" applyBorder="1" applyAlignment="1" applyProtection="1">
      <alignment horizontal="center" vertical="center"/>
      <protection locked="0" hidden="1"/>
    </xf>
    <xf numFmtId="0" fontId="21" fillId="3" borderId="0" xfId="0" applyFont="1" applyFill="1" applyBorder="1" applyAlignment="1" applyProtection="1">
      <alignment horizontal="center" vertical="center"/>
      <protection hidden="1"/>
    </xf>
    <xf numFmtId="170" fontId="21" fillId="5" borderId="4" xfId="0" applyNumberFormat="1" applyFont="1" applyFill="1" applyBorder="1" applyAlignment="1" applyProtection="1">
      <alignment horizontal="center" vertical="center"/>
      <protection locked="0" hidden="1"/>
    </xf>
    <xf numFmtId="170" fontId="21" fillId="3" borderId="2" xfId="0" applyNumberFormat="1" applyFont="1" applyFill="1" applyBorder="1" applyAlignment="1" applyProtection="1">
      <alignment horizontal="center" vertical="center"/>
      <protection hidden="1"/>
    </xf>
    <xf numFmtId="170" fontId="22" fillId="3" borderId="0" xfId="0" applyNumberFormat="1" applyFont="1" applyFill="1" applyBorder="1" applyAlignment="1" applyProtection="1">
      <alignment horizontal="center" vertical="center"/>
      <protection hidden="1"/>
    </xf>
    <xf numFmtId="170" fontId="27" fillId="3" borderId="2" xfId="0" applyNumberFormat="1" applyFont="1" applyFill="1" applyBorder="1" applyAlignment="1" applyProtection="1">
      <alignment horizontal="center" vertical="center"/>
      <protection hidden="1"/>
    </xf>
    <xf numFmtId="164" fontId="30" fillId="2" borderId="1" xfId="1" applyNumberFormat="1" applyFont="1" applyFill="1" applyBorder="1" applyAlignment="1" applyProtection="1">
      <alignment horizontal="center" vertical="center"/>
      <protection hidden="1"/>
    </xf>
    <xf numFmtId="173" fontId="21" fillId="3" borderId="0" xfId="0" applyNumberFormat="1" applyFont="1" applyFill="1" applyBorder="1" applyAlignment="1" applyProtection="1">
      <alignment horizontal="center" vertical="center"/>
      <protection hidden="1"/>
    </xf>
    <xf numFmtId="170" fontId="28" fillId="3" borderId="0" xfId="1" applyNumberFormat="1" applyFont="1" applyFill="1" applyBorder="1" applyAlignment="1" applyProtection="1">
      <alignment horizontal="center" vertical="center" wrapText="1"/>
      <protection hidden="1"/>
    </xf>
    <xf numFmtId="9" fontId="29" fillId="3" borderId="0" xfId="2" applyFont="1" applyFill="1" applyBorder="1" applyAlignment="1" applyProtection="1">
      <alignment horizontal="center" vertical="center"/>
      <protection hidden="1"/>
    </xf>
    <xf numFmtId="2" fontId="21" fillId="3" borderId="0" xfId="0" applyNumberFormat="1" applyFont="1" applyFill="1" applyAlignment="1" applyProtection="1">
      <alignment horizontal="center"/>
      <protection hidden="1"/>
    </xf>
    <xf numFmtId="0" fontId="32" fillId="3" borderId="0" xfId="0" applyFont="1" applyFill="1" applyBorder="1" applyAlignment="1" applyProtection="1">
      <alignment vertical="center"/>
      <protection hidden="1"/>
    </xf>
    <xf numFmtId="0" fontId="21" fillId="3" borderId="0" xfId="0" applyFont="1" applyFill="1" applyBorder="1" applyAlignment="1" applyProtection="1">
      <alignment vertical="center"/>
      <protection hidden="1"/>
    </xf>
    <xf numFmtId="0" fontId="21" fillId="3" borderId="0" xfId="0" applyFont="1" applyFill="1" applyAlignment="1" applyProtection="1">
      <alignment vertical="center"/>
      <protection hidden="1"/>
    </xf>
    <xf numFmtId="170" fontId="27" fillId="3" borderId="0" xfId="0" applyNumberFormat="1" applyFont="1" applyFill="1" applyBorder="1" applyAlignment="1" applyProtection="1">
      <alignment horizontal="center" vertical="center" wrapText="1"/>
      <protection hidden="1"/>
    </xf>
    <xf numFmtId="0" fontId="36" fillId="3" borderId="0" xfId="0" applyFont="1" applyFill="1" applyBorder="1" applyAlignment="1" applyProtection="1">
      <alignment horizontal="center" vertical="center" wrapText="1"/>
      <protection hidden="1"/>
    </xf>
    <xf numFmtId="170" fontId="6" fillId="3" borderId="2" xfId="0" applyNumberFormat="1" applyFont="1" applyFill="1" applyBorder="1" applyAlignment="1" applyProtection="1">
      <alignment horizontal="center" vertical="center"/>
      <protection hidden="1"/>
    </xf>
    <xf numFmtId="9" fontId="6" fillId="3" borderId="2" xfId="2" applyFont="1" applyFill="1" applyBorder="1" applyAlignment="1" applyProtection="1">
      <alignment horizontal="center" vertical="center"/>
      <protection hidden="1"/>
    </xf>
    <xf numFmtId="2" fontId="6" fillId="3" borderId="2" xfId="4" applyNumberFormat="1" applyFont="1" applyFill="1" applyBorder="1" applyAlignment="1" applyProtection="1">
      <alignment horizontal="center" vertical="center"/>
      <protection hidden="1"/>
    </xf>
    <xf numFmtId="0" fontId="21" fillId="14" borderId="0" xfId="0" applyFont="1" applyFill="1" applyProtection="1">
      <protection hidden="1"/>
    </xf>
    <xf numFmtId="0" fontId="3" fillId="14" borderId="0" xfId="0" applyFont="1" applyFill="1" applyProtection="1">
      <protection hidden="1"/>
    </xf>
    <xf numFmtId="0" fontId="21" fillId="14" borderId="0" xfId="0" applyFont="1" applyFill="1" applyAlignment="1" applyProtection="1">
      <alignment horizontal="center"/>
      <protection hidden="1"/>
    </xf>
    <xf numFmtId="0" fontId="15" fillId="14" borderId="0" xfId="0" applyFont="1" applyFill="1" applyAlignment="1" applyProtection="1">
      <alignment vertical="center"/>
      <protection hidden="1"/>
    </xf>
    <xf numFmtId="0" fontId="33" fillId="14" borderId="0" xfId="0" applyFont="1" applyFill="1" applyAlignment="1" applyProtection="1">
      <alignment vertical="center"/>
      <protection hidden="1"/>
    </xf>
    <xf numFmtId="0" fontId="38" fillId="14" borderId="0" xfId="0" applyFont="1" applyFill="1" applyAlignment="1" applyProtection="1">
      <alignment vertical="center"/>
      <protection hidden="1"/>
    </xf>
    <xf numFmtId="0" fontId="33" fillId="14" borderId="0" xfId="0" applyFont="1" applyFill="1" applyAlignment="1" applyProtection="1">
      <alignment horizontal="center" vertical="center"/>
      <protection hidden="1"/>
    </xf>
    <xf numFmtId="170" fontId="3" fillId="3" borderId="0" xfId="0" applyNumberFormat="1" applyFont="1" applyFill="1" applyAlignment="1" applyProtection="1">
      <alignment vertical="center"/>
      <protection hidden="1"/>
    </xf>
    <xf numFmtId="0" fontId="4" fillId="3" borderId="0" xfId="0" applyFont="1" applyFill="1" applyAlignment="1" applyProtection="1">
      <alignment vertical="center" wrapText="1"/>
      <protection hidden="1"/>
    </xf>
    <xf numFmtId="170" fontId="2" fillId="0" borderId="9" xfId="1" applyNumberFormat="1" applyFont="1" applyBorder="1" applyAlignment="1">
      <alignment horizontal="center" vertical="center"/>
    </xf>
    <xf numFmtId="170" fontId="2" fillId="0" borderId="2" xfId="1" applyNumberFormat="1" applyFont="1" applyBorder="1" applyAlignment="1">
      <alignment horizontal="center" vertical="center"/>
    </xf>
    <xf numFmtId="170" fontId="2" fillId="0" borderId="10" xfId="1" applyNumberFormat="1" applyFont="1" applyBorder="1" applyAlignment="1">
      <alignment horizontal="center" vertical="center"/>
    </xf>
    <xf numFmtId="0" fontId="35" fillId="3" borderId="0" xfId="0" applyFont="1" applyFill="1" applyProtection="1">
      <protection hidden="1"/>
    </xf>
    <xf numFmtId="0" fontId="0" fillId="15" borderId="0" xfId="0" applyFill="1" applyAlignment="1">
      <alignment horizontal="center"/>
    </xf>
    <xf numFmtId="0" fontId="0" fillId="16" borderId="0" xfId="0" applyFill="1" applyAlignment="1">
      <alignment horizontal="center"/>
    </xf>
    <xf numFmtId="0" fontId="0" fillId="18" borderId="0" xfId="0" applyFill="1" applyAlignment="1">
      <alignment horizontal="center"/>
    </xf>
    <xf numFmtId="0" fontId="0" fillId="17" borderId="0" xfId="0" applyFill="1" applyAlignment="1">
      <alignment horizontal="center"/>
    </xf>
    <xf numFmtId="0" fontId="0" fillId="19" borderId="0" xfId="0" applyFill="1" applyAlignment="1">
      <alignment horizontal="center"/>
    </xf>
    <xf numFmtId="0" fontId="0" fillId="20" borderId="0" xfId="0" applyFill="1" applyAlignment="1">
      <alignment horizontal="center"/>
    </xf>
    <xf numFmtId="0" fontId="0" fillId="0" borderId="0" xfId="0" applyAlignment="1">
      <alignment horizontal="left"/>
    </xf>
    <xf numFmtId="9" fontId="0" fillId="0" borderId="0" xfId="2" applyFont="1"/>
    <xf numFmtId="9" fontId="0" fillId="0" borderId="0" xfId="2" applyFont="1" applyAlignment="1">
      <alignment horizontal="center"/>
    </xf>
    <xf numFmtId="0" fontId="10" fillId="3" borderId="0" xfId="0" applyFont="1" applyFill="1" applyProtection="1">
      <protection hidden="1"/>
    </xf>
    <xf numFmtId="0" fontId="21" fillId="3" borderId="0" xfId="0" applyFont="1" applyFill="1" applyBorder="1" applyAlignment="1" applyProtection="1">
      <alignment horizontal="center"/>
      <protection locked="0" hidden="1"/>
    </xf>
    <xf numFmtId="0" fontId="22" fillId="3" borderId="0" xfId="0" applyFont="1" applyFill="1" applyBorder="1" applyAlignment="1" applyProtection="1">
      <alignment horizontal="center" vertical="center"/>
      <protection locked="0" hidden="1"/>
    </xf>
    <xf numFmtId="0" fontId="37" fillId="3" borderId="0" xfId="0" applyFont="1" applyFill="1" applyProtection="1">
      <protection hidden="1"/>
    </xf>
    <xf numFmtId="0" fontId="22" fillId="5" borderId="19" xfId="0" applyFont="1" applyFill="1" applyBorder="1" applyAlignment="1" applyProtection="1">
      <alignment horizontal="center" vertical="center" wrapText="1"/>
      <protection locked="0" hidden="1"/>
    </xf>
    <xf numFmtId="0" fontId="3" fillId="5" borderId="19" xfId="0" applyFont="1" applyFill="1" applyBorder="1" applyAlignment="1" applyProtection="1">
      <alignment horizontal="center" vertical="center"/>
      <protection locked="0" hidden="1"/>
    </xf>
    <xf numFmtId="0" fontId="3" fillId="5" borderId="19" xfId="0" applyFont="1" applyFill="1" applyBorder="1" applyAlignment="1" applyProtection="1">
      <alignment horizontal="center" vertical="center" wrapText="1"/>
      <protection locked="0" hidden="1"/>
    </xf>
    <xf numFmtId="0" fontId="0" fillId="0" borderId="0" xfId="0" applyFill="1" applyAlignment="1">
      <alignment horizontal="left"/>
    </xf>
    <xf numFmtId="0" fontId="41" fillId="0" borderId="0" xfId="0" applyFont="1" applyFill="1" applyAlignment="1">
      <alignment horizontal="left" vertical="center"/>
    </xf>
    <xf numFmtId="0" fontId="22" fillId="3" borderId="2" xfId="0" applyFont="1" applyFill="1" applyBorder="1" applyAlignment="1" applyProtection="1">
      <alignment horizontal="center" vertical="center" wrapText="1"/>
      <protection hidden="1"/>
    </xf>
    <xf numFmtId="175" fontId="0" fillId="0" borderId="0" xfId="4" applyNumberFormat="1" applyFont="1"/>
    <xf numFmtId="2" fontId="20" fillId="0" borderId="0" xfId="3" applyNumberFormat="1" applyFont="1" applyFill="1" applyBorder="1" applyAlignment="1">
      <alignment horizontal="center" vertical="center" wrapText="1"/>
    </xf>
    <xf numFmtId="2" fontId="11" fillId="0" borderId="0" xfId="3" applyNumberFormat="1" applyFont="1" applyFill="1" applyBorder="1" applyAlignment="1">
      <alignment horizontal="center" vertical="center"/>
    </xf>
    <xf numFmtId="2" fontId="20" fillId="0" borderId="0" xfId="3" applyNumberFormat="1" applyFont="1" applyFill="1" applyBorder="1" applyAlignment="1">
      <alignment horizontal="center" vertical="center"/>
    </xf>
    <xf numFmtId="8" fontId="11" fillId="0" borderId="0" xfId="3" applyNumberFormat="1" applyFont="1" applyFill="1" applyBorder="1" applyAlignment="1">
      <alignment horizontal="center" vertical="center"/>
    </xf>
    <xf numFmtId="0" fontId="0" fillId="0" borderId="0" xfId="0" applyFill="1" applyBorder="1"/>
    <xf numFmtId="0" fontId="24" fillId="0" borderId="0" xfId="3" applyFont="1" applyFill="1" applyBorder="1" applyAlignment="1">
      <alignment horizontal="center" vertical="center" wrapText="1"/>
    </xf>
    <xf numFmtId="2" fontId="0" fillId="0" borderId="0" xfId="0" applyNumberFormat="1" applyFill="1" applyBorder="1"/>
    <xf numFmtId="0" fontId="0" fillId="0" borderId="0" xfId="0" applyFont="1"/>
    <xf numFmtId="0" fontId="0" fillId="0" borderId="0" xfId="0" applyNumberFormat="1"/>
    <xf numFmtId="0" fontId="2" fillId="0" borderId="0" xfId="0" applyNumberFormat="1" applyFont="1"/>
    <xf numFmtId="0" fontId="0" fillId="0" borderId="0" xfId="4" applyNumberFormat="1" applyFont="1"/>
    <xf numFmtId="0" fontId="23" fillId="3" borderId="0" xfId="0" applyFont="1" applyFill="1" applyBorder="1" applyAlignment="1" applyProtection="1">
      <alignment vertical="top" wrapText="1"/>
      <protection hidden="1"/>
    </xf>
    <xf numFmtId="0" fontId="2" fillId="3" borderId="0" xfId="0" applyFont="1" applyFill="1" applyAlignment="1">
      <alignment horizontal="center"/>
    </xf>
    <xf numFmtId="0" fontId="2" fillId="3" borderId="0" xfId="0" applyFont="1" applyFill="1" applyAlignment="1">
      <alignment horizontal="left"/>
    </xf>
    <xf numFmtId="9" fontId="3" fillId="3" borderId="0" xfId="0" applyNumberFormat="1" applyFont="1" applyFill="1" applyAlignment="1" applyProtection="1">
      <alignment vertical="center"/>
      <protection hidden="1"/>
    </xf>
    <xf numFmtId="170" fontId="21" fillId="3" borderId="0" xfId="0" applyNumberFormat="1" applyFont="1" applyFill="1" applyBorder="1" applyAlignment="1" applyProtection="1">
      <alignment horizontal="center" vertical="center"/>
      <protection hidden="1"/>
    </xf>
    <xf numFmtId="170" fontId="21" fillId="3" borderId="0" xfId="0" applyNumberFormat="1" applyFont="1" applyFill="1" applyAlignment="1" applyProtection="1">
      <alignment horizontal="center"/>
      <protection hidden="1"/>
    </xf>
    <xf numFmtId="171" fontId="3" fillId="3" borderId="0" xfId="0" applyNumberFormat="1" applyFont="1" applyFill="1" applyAlignment="1" applyProtection="1">
      <alignment vertical="center"/>
      <protection hidden="1"/>
    </xf>
    <xf numFmtId="170" fontId="4" fillId="3" borderId="0" xfId="0" applyNumberFormat="1" applyFont="1" applyFill="1" applyAlignment="1" applyProtection="1">
      <alignment vertical="center"/>
      <protection hidden="1"/>
    </xf>
    <xf numFmtId="175" fontId="3" fillId="3" borderId="0" xfId="4" applyNumberFormat="1" applyFont="1" applyFill="1" applyAlignment="1" applyProtection="1">
      <alignment vertical="center"/>
      <protection hidden="1"/>
    </xf>
    <xf numFmtId="0" fontId="23" fillId="3" borderId="0" xfId="0" applyFont="1" applyFill="1" applyAlignment="1">
      <alignment vertical="top"/>
    </xf>
    <xf numFmtId="0" fontId="26" fillId="3" borderId="0" xfId="0" applyFont="1" applyFill="1" applyBorder="1" applyAlignment="1">
      <alignment horizontal="left" vertical="top" wrapText="1"/>
    </xf>
    <xf numFmtId="0" fontId="26" fillId="3" borderId="0" xfId="0" applyFont="1" applyFill="1" applyAlignment="1">
      <alignment horizontal="left" vertical="top" wrapText="1"/>
    </xf>
    <xf numFmtId="0" fontId="0" fillId="3" borderId="1" xfId="0" applyFill="1" applyBorder="1"/>
    <xf numFmtId="0" fontId="7" fillId="3" borderId="3" xfId="0" applyFont="1" applyFill="1" applyBorder="1" applyAlignment="1" applyProtection="1">
      <alignment horizontal="left" vertical="center"/>
      <protection hidden="1"/>
    </xf>
    <xf numFmtId="0" fontId="3" fillId="3" borderId="0" xfId="0" applyFont="1" applyFill="1" applyAlignment="1">
      <alignment wrapText="1"/>
    </xf>
    <xf numFmtId="0" fontId="23" fillId="3" borderId="0" xfId="0" applyFont="1" applyFill="1" applyAlignment="1">
      <alignment horizontal="center" vertical="top"/>
    </xf>
    <xf numFmtId="0" fontId="10" fillId="3" borderId="0" xfId="0" applyFont="1" applyFill="1"/>
    <xf numFmtId="175" fontId="0" fillId="0" borderId="0" xfId="4" applyNumberFormat="1" applyFont="1" applyFill="1" applyBorder="1"/>
    <xf numFmtId="0" fontId="39" fillId="14" borderId="0" xfId="0" applyFont="1" applyFill="1" applyProtection="1">
      <protection hidden="1"/>
    </xf>
    <xf numFmtId="9" fontId="39" fillId="14" borderId="0" xfId="0" applyNumberFormat="1" applyFont="1" applyFill="1" applyProtection="1">
      <protection hidden="1"/>
    </xf>
    <xf numFmtId="9" fontId="39" fillId="14" borderId="0" xfId="0" applyNumberFormat="1" applyFont="1" applyFill="1" applyAlignment="1" applyProtection="1">
      <alignment horizontal="left"/>
      <protection hidden="1"/>
    </xf>
    <xf numFmtId="2" fontId="39" fillId="14" borderId="0" xfId="0" applyNumberFormat="1" applyFont="1" applyFill="1" applyProtection="1">
      <protection hidden="1"/>
    </xf>
    <xf numFmtId="170" fontId="39" fillId="14" borderId="0" xfId="0" applyNumberFormat="1" applyFont="1" applyFill="1" applyProtection="1">
      <protection hidden="1"/>
    </xf>
    <xf numFmtId="0" fontId="40" fillId="14" borderId="0" xfId="0" applyFont="1" applyFill="1" applyProtection="1">
      <protection hidden="1"/>
    </xf>
    <xf numFmtId="0" fontId="39" fillId="14" borderId="0" xfId="0" applyFont="1" applyFill="1" applyAlignment="1" applyProtection="1">
      <alignment horizontal="center"/>
      <protection hidden="1"/>
    </xf>
    <xf numFmtId="9" fontId="39" fillId="14" borderId="0" xfId="0" applyNumberFormat="1" applyFont="1" applyFill="1" applyAlignment="1" applyProtection="1">
      <alignment horizontal="center"/>
      <protection hidden="1"/>
    </xf>
    <xf numFmtId="1" fontId="39" fillId="14" borderId="0" xfId="0" applyNumberFormat="1" applyFont="1" applyFill="1" applyProtection="1">
      <protection hidden="1"/>
    </xf>
    <xf numFmtId="0" fontId="42" fillId="14" borderId="0" xfId="0" applyFont="1" applyFill="1" applyProtection="1">
      <protection hidden="1"/>
    </xf>
    <xf numFmtId="0" fontId="42" fillId="14" borderId="0" xfId="0" applyFont="1" applyFill="1" applyAlignment="1" applyProtection="1">
      <alignment horizontal="center"/>
      <protection hidden="1"/>
    </xf>
    <xf numFmtId="0" fontId="18" fillId="6" borderId="0" xfId="3" applyFont="1" applyFill="1" applyAlignment="1">
      <alignment horizontal="center" vertical="center" wrapText="1"/>
    </xf>
    <xf numFmtId="0" fontId="46" fillId="0" borderId="0" xfId="0" applyFont="1"/>
    <xf numFmtId="2" fontId="11" fillId="3" borderId="0" xfId="3" applyNumberFormat="1" applyFont="1" applyFill="1" applyAlignment="1">
      <alignment horizontal="center" vertical="center"/>
    </xf>
    <xf numFmtId="0" fontId="6" fillId="3" borderId="14" xfId="3" applyFont="1" applyFill="1" applyBorder="1" applyAlignment="1">
      <alignment vertical="center"/>
    </xf>
    <xf numFmtId="0" fontId="6" fillId="3" borderId="0" xfId="3" applyFont="1" applyFill="1" applyBorder="1" applyAlignment="1">
      <alignment vertical="center"/>
    </xf>
    <xf numFmtId="0" fontId="11" fillId="0" borderId="0" xfId="3" applyFont="1" applyFill="1" applyBorder="1" applyAlignment="1">
      <alignment horizontal="center" vertical="center"/>
    </xf>
    <xf numFmtId="0" fontId="11" fillId="0" borderId="5" xfId="3" applyFont="1" applyFill="1" applyBorder="1" applyAlignment="1">
      <alignment horizontal="center" vertical="center" wrapText="1"/>
    </xf>
    <xf numFmtId="2" fontId="11" fillId="0" borderId="2" xfId="0" applyNumberFormat="1" applyFont="1" applyFill="1" applyBorder="1" applyAlignment="1" applyProtection="1">
      <alignment horizontal="center" vertical="center" wrapText="1"/>
      <protection locked="0"/>
    </xf>
    <xf numFmtId="2" fontId="11" fillId="0" borderId="2" xfId="0" applyNumberFormat="1" applyFont="1" applyFill="1" applyBorder="1" applyAlignment="1" applyProtection="1">
      <alignment horizontal="center" vertical="center"/>
      <protection locked="0"/>
    </xf>
    <xf numFmtId="0" fontId="10" fillId="0" borderId="2" xfId="0" applyFont="1" applyFill="1" applyBorder="1" applyAlignment="1" applyProtection="1">
      <alignment horizontal="center" vertical="center" wrapText="1"/>
      <protection locked="0"/>
    </xf>
    <xf numFmtId="0" fontId="11" fillId="0" borderId="2" xfId="0" applyFont="1" applyFill="1" applyBorder="1" applyAlignment="1">
      <alignment horizontal="center" vertical="center"/>
    </xf>
    <xf numFmtId="0" fontId="11" fillId="0" borderId="2" xfId="0" applyFont="1" applyFill="1" applyBorder="1" applyAlignment="1" applyProtection="1">
      <alignment horizontal="center" vertical="center"/>
      <protection locked="0"/>
    </xf>
    <xf numFmtId="15" fontId="11" fillId="0" borderId="2" xfId="0" applyNumberFormat="1" applyFont="1" applyFill="1" applyBorder="1" applyAlignment="1" applyProtection="1">
      <alignment horizontal="center" vertical="center"/>
      <protection locked="0"/>
    </xf>
    <xf numFmtId="0" fontId="26" fillId="0" borderId="0" xfId="0" applyFont="1" applyFill="1" applyAlignment="1">
      <alignment horizontal="center" vertical="center"/>
    </xf>
    <xf numFmtId="0" fontId="26" fillId="0" borderId="2" xfId="0" applyFont="1" applyFill="1" applyBorder="1" applyAlignment="1">
      <alignment horizontal="center" vertical="center"/>
    </xf>
    <xf numFmtId="0" fontId="11" fillId="9" borderId="2" xfId="3" applyFont="1" applyFill="1" applyBorder="1" applyAlignment="1">
      <alignment horizontal="center" vertical="center" wrapText="1"/>
    </xf>
    <xf numFmtId="2" fontId="11" fillId="9" borderId="2" xfId="3" applyNumberFormat="1" applyFont="1" applyFill="1" applyBorder="1" applyAlignment="1">
      <alignment horizontal="center" vertical="center" wrapText="1"/>
    </xf>
    <xf numFmtId="2" fontId="11" fillId="9" borderId="2" xfId="3" applyNumberFormat="1" applyFont="1" applyFill="1" applyBorder="1" applyAlignment="1">
      <alignment horizontal="center" vertical="center"/>
    </xf>
    <xf numFmtId="0" fontId="26" fillId="0" borderId="2" xfId="3" applyFont="1" applyFill="1" applyBorder="1" applyAlignment="1">
      <alignment horizontal="center" vertical="center" wrapText="1"/>
    </xf>
    <xf numFmtId="2" fontId="26" fillId="0" borderId="2" xfId="6" applyNumberFormat="1" applyFont="1" applyFill="1" applyBorder="1" applyAlignment="1">
      <alignment horizontal="center" vertical="center"/>
    </xf>
    <xf numFmtId="2" fontId="26" fillId="0" borderId="2" xfId="6" applyNumberFormat="1" applyFont="1" applyFill="1" applyBorder="1" applyAlignment="1">
      <alignment horizontal="center" vertical="center" wrapText="1"/>
    </xf>
    <xf numFmtId="0" fontId="10" fillId="0" borderId="0" xfId="3" applyFont="1" applyFill="1" applyAlignment="1">
      <alignment horizontal="center" vertical="center"/>
    </xf>
    <xf numFmtId="0" fontId="10" fillId="7" borderId="0" xfId="3" applyFont="1" applyFill="1" applyAlignment="1">
      <alignment horizontal="left" vertical="center" indent="2"/>
    </xf>
    <xf numFmtId="0" fontId="0" fillId="9" borderId="0" xfId="0" applyNumberFormat="1" applyFill="1"/>
    <xf numFmtId="1" fontId="6" fillId="3" borderId="0" xfId="0" applyNumberFormat="1" applyFont="1" applyFill="1" applyBorder="1" applyAlignment="1" applyProtection="1">
      <alignment vertical="center"/>
      <protection hidden="1"/>
    </xf>
    <xf numFmtId="171" fontId="6" fillId="3" borderId="0" xfId="0" applyNumberFormat="1" applyFont="1" applyFill="1" applyBorder="1" applyAlignment="1" applyProtection="1">
      <alignment vertical="center"/>
      <protection hidden="1"/>
    </xf>
    <xf numFmtId="170" fontId="6" fillId="3" borderId="0" xfId="0" applyNumberFormat="1" applyFont="1" applyFill="1" applyBorder="1" applyAlignment="1" applyProtection="1">
      <alignment vertical="center"/>
      <protection hidden="1"/>
    </xf>
    <xf numFmtId="1" fontId="6" fillId="3" borderId="2" xfId="0" applyNumberFormat="1" applyFont="1" applyFill="1" applyBorder="1" applyAlignment="1" applyProtection="1">
      <alignment horizontal="center" vertical="center"/>
      <protection hidden="1"/>
    </xf>
    <xf numFmtId="171" fontId="6" fillId="3" borderId="2" xfId="0" applyNumberFormat="1" applyFont="1" applyFill="1" applyBorder="1" applyAlignment="1" applyProtection="1">
      <alignment horizontal="center" vertical="center"/>
      <protection hidden="1"/>
    </xf>
    <xf numFmtId="2" fontId="11" fillId="9" borderId="2" xfId="0" applyNumberFormat="1" applyFont="1" applyFill="1" applyBorder="1" applyAlignment="1" applyProtection="1">
      <alignment horizontal="center" vertical="center" wrapText="1"/>
      <protection locked="0"/>
    </xf>
    <xf numFmtId="2" fontId="21" fillId="9" borderId="0" xfId="3" applyNumberFormat="1" applyFont="1" applyFill="1" applyAlignment="1">
      <alignment horizontal="center" vertical="center" wrapText="1"/>
    </xf>
    <xf numFmtId="0" fontId="7" fillId="9" borderId="0" xfId="3" applyFont="1" applyFill="1" applyAlignment="1">
      <alignment horizontal="left" vertical="center"/>
    </xf>
    <xf numFmtId="0" fontId="23" fillId="9" borderId="0" xfId="3" applyFont="1" applyFill="1" applyAlignment="1">
      <alignment horizontal="left" vertical="center"/>
    </xf>
    <xf numFmtId="0" fontId="10" fillId="9" borderId="0" xfId="3" applyFont="1" applyFill="1" applyAlignment="1">
      <alignment horizontal="left" vertical="center"/>
    </xf>
    <xf numFmtId="0" fontId="10" fillId="9" borderId="0" xfId="3" applyFont="1" applyFill="1" applyAlignment="1">
      <alignment horizontal="center" vertical="center"/>
    </xf>
    <xf numFmtId="0" fontId="10" fillId="9" borderId="0" xfId="3" applyFont="1" applyFill="1" applyAlignment="1">
      <alignment horizontal="left"/>
    </xf>
    <xf numFmtId="0" fontId="10" fillId="9" borderId="0" xfId="3" applyFont="1" applyFill="1" applyAlignment="1">
      <alignment horizontal="left" vertical="center" wrapText="1"/>
    </xf>
    <xf numFmtId="0" fontId="21" fillId="9" borderId="0" xfId="3" applyFont="1" applyFill="1" applyAlignment="1">
      <alignment horizontal="center" vertical="center" wrapText="1"/>
    </xf>
    <xf numFmtId="0" fontId="21" fillId="9" borderId="0" xfId="3" applyFont="1" applyFill="1" applyAlignment="1">
      <alignment horizontal="center" vertical="center"/>
    </xf>
    <xf numFmtId="0" fontId="16" fillId="0" borderId="0" xfId="0" applyFont="1" applyFill="1" applyAlignment="1">
      <alignment vertical="center" textRotation="90"/>
    </xf>
    <xf numFmtId="0" fontId="25" fillId="3" borderId="0" xfId="0" applyFont="1" applyFill="1" applyProtection="1">
      <protection hidden="1"/>
    </xf>
    <xf numFmtId="0" fontId="25" fillId="14" borderId="0" xfId="0" applyFont="1" applyFill="1" applyProtection="1">
      <protection hidden="1"/>
    </xf>
    <xf numFmtId="0" fontId="38" fillId="14" borderId="0" xfId="0" applyFont="1" applyFill="1" applyProtection="1">
      <protection hidden="1"/>
    </xf>
    <xf numFmtId="0" fontId="7" fillId="3" borderId="0" xfId="0" applyFont="1" applyFill="1" applyBorder="1" applyAlignment="1" applyProtection="1">
      <alignment vertical="center"/>
      <protection hidden="1"/>
    </xf>
    <xf numFmtId="170" fontId="19" fillId="3" borderId="2" xfId="0" applyNumberFormat="1" applyFont="1" applyFill="1" applyBorder="1" applyAlignment="1" applyProtection="1">
      <alignment horizontal="center" vertical="center"/>
      <protection hidden="1"/>
    </xf>
    <xf numFmtId="9" fontId="0" fillId="9" borderId="0" xfId="2" applyFont="1" applyFill="1"/>
    <xf numFmtId="170" fontId="15" fillId="0" borderId="0" xfId="0" applyNumberFormat="1" applyFont="1" applyFill="1" applyBorder="1" applyAlignment="1" applyProtection="1">
      <alignment horizontal="center" vertical="center" wrapText="1"/>
      <protection hidden="1"/>
    </xf>
    <xf numFmtId="0" fontId="21" fillId="0" borderId="0" xfId="0" applyFont="1" applyFill="1" applyBorder="1" applyAlignment="1" applyProtection="1">
      <alignment vertical="center"/>
      <protection hidden="1"/>
    </xf>
    <xf numFmtId="9" fontId="15" fillId="0" borderId="0" xfId="2" applyFont="1" applyFill="1" applyBorder="1" applyAlignment="1" applyProtection="1">
      <alignment horizontal="center" vertical="center" wrapText="1"/>
      <protection hidden="1"/>
    </xf>
    <xf numFmtId="0" fontId="4" fillId="3" borderId="0" xfId="0" applyFont="1" applyFill="1" applyBorder="1" applyAlignment="1" applyProtection="1">
      <alignment vertical="top" wrapText="1"/>
      <protection locked="0" hidden="1"/>
    </xf>
    <xf numFmtId="0" fontId="21" fillId="0" borderId="0" xfId="0" applyFont="1" applyFill="1" applyBorder="1" applyAlignment="1" applyProtection="1">
      <alignment vertical="center" wrapText="1"/>
      <protection hidden="1"/>
    </xf>
    <xf numFmtId="0" fontId="3" fillId="0" borderId="0" xfId="0" applyFont="1" applyFill="1" applyBorder="1" applyAlignment="1" applyProtection="1">
      <alignment vertical="center" wrapText="1"/>
      <protection hidden="1"/>
    </xf>
    <xf numFmtId="0" fontId="21"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vertical="center"/>
      <protection hidden="1"/>
    </xf>
    <xf numFmtId="0" fontId="27" fillId="0" borderId="0" xfId="0" applyFont="1" applyFill="1" applyBorder="1" applyAlignment="1" applyProtection="1">
      <alignment vertical="center" wrapText="1"/>
      <protection hidden="1"/>
    </xf>
    <xf numFmtId="0" fontId="3" fillId="0" borderId="0" xfId="0" applyFont="1" applyFill="1" applyProtection="1">
      <protection hidden="1"/>
    </xf>
    <xf numFmtId="0" fontId="3" fillId="0" borderId="0" xfId="0" applyFont="1" applyFill="1" applyBorder="1" applyProtection="1">
      <protection hidden="1"/>
    </xf>
    <xf numFmtId="171" fontId="21" fillId="5" borderId="4" xfId="0" applyNumberFormat="1" applyFont="1" applyFill="1" applyBorder="1" applyAlignment="1" applyProtection="1">
      <alignment horizontal="center" vertical="center" wrapText="1" shrinkToFit="1"/>
      <protection locked="0" hidden="1"/>
    </xf>
    <xf numFmtId="0" fontId="3" fillId="0" borderId="0" xfId="0" applyFont="1"/>
    <xf numFmtId="0" fontId="49" fillId="22" borderId="34" xfId="0" applyFont="1" applyFill="1" applyBorder="1" applyAlignment="1">
      <alignment horizontal="left" vertical="center" wrapText="1"/>
    </xf>
    <xf numFmtId="0" fontId="50" fillId="23" borderId="34" xfId="0" applyFont="1" applyFill="1" applyBorder="1" applyAlignment="1">
      <alignment horizontal="left" vertical="center" wrapText="1"/>
    </xf>
    <xf numFmtId="1" fontId="50" fillId="23" borderId="34" xfId="0" applyNumberFormat="1" applyFont="1" applyFill="1" applyBorder="1" applyAlignment="1">
      <alignment horizontal="left" vertical="center" wrapText="1"/>
    </xf>
    <xf numFmtId="0" fontId="3" fillId="0" borderId="0" xfId="0" applyFont="1" applyBorder="1" applyAlignment="1">
      <alignment horizontal="center" vertical="center"/>
    </xf>
    <xf numFmtId="165" fontId="3" fillId="3" borderId="0" xfId="0" applyNumberFormat="1" applyFont="1" applyFill="1" applyProtection="1">
      <protection hidden="1"/>
    </xf>
    <xf numFmtId="0" fontId="41" fillId="0" borderId="0" xfId="0" applyFont="1" applyBorder="1" applyAlignment="1">
      <alignment vertical="center"/>
    </xf>
    <xf numFmtId="171" fontId="21" fillId="5" borderId="4" xfId="0" applyNumberFormat="1" applyFont="1" applyFill="1" applyBorder="1" applyAlignment="1" applyProtection="1">
      <alignment horizontal="center" vertical="center"/>
      <protection hidden="1"/>
    </xf>
    <xf numFmtId="0" fontId="3" fillId="3" borderId="0" xfId="0" applyFont="1" applyFill="1" applyBorder="1"/>
    <xf numFmtId="0" fontId="3" fillId="3" borderId="0" xfId="0" applyFont="1" applyFill="1" applyBorder="1" applyAlignment="1">
      <alignment horizontal="left" vertical="center" wrapText="1"/>
    </xf>
    <xf numFmtId="0" fontId="7" fillId="3" borderId="0" xfId="0" applyFont="1" applyFill="1" applyBorder="1" applyAlignment="1" applyProtection="1">
      <alignment horizontal="center" vertical="center"/>
      <protection hidden="1"/>
    </xf>
    <xf numFmtId="0" fontId="23" fillId="3" borderId="0" xfId="0" applyFont="1" applyFill="1" applyBorder="1" applyAlignment="1">
      <alignment horizontal="center" vertical="top" wrapText="1"/>
    </xf>
    <xf numFmtId="0" fontId="10" fillId="3"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25" fillId="3" borderId="0" xfId="0" applyFont="1" applyFill="1" applyBorder="1" applyAlignment="1">
      <alignment vertical="top" wrapText="1"/>
    </xf>
    <xf numFmtId="0" fontId="23" fillId="3" borderId="0" xfId="0" applyFont="1" applyFill="1" applyBorder="1" applyAlignment="1">
      <alignment horizontal="center" vertical="top"/>
    </xf>
    <xf numFmtId="0" fontId="25" fillId="3" borderId="0" xfId="0" applyFont="1" applyFill="1" applyBorder="1" applyAlignment="1">
      <alignment horizontal="left" vertical="top" wrapText="1" indent="4"/>
    </xf>
    <xf numFmtId="0" fontId="3" fillId="3" borderId="0" xfId="0" applyFont="1" applyFill="1" applyBorder="1" applyAlignment="1">
      <alignment vertical="top"/>
    </xf>
    <xf numFmtId="0" fontId="3" fillId="3" borderId="0" xfId="0" applyFont="1" applyFill="1" applyBorder="1" applyAlignment="1">
      <alignment vertical="top" wrapText="1"/>
    </xf>
    <xf numFmtId="0" fontId="3" fillId="3" borderId="0" xfId="0" applyFont="1" applyFill="1" applyBorder="1" applyAlignment="1">
      <alignment wrapText="1"/>
    </xf>
    <xf numFmtId="169" fontId="3" fillId="5" borderId="19" xfId="1" applyNumberFormat="1" applyFont="1" applyFill="1" applyBorder="1" applyAlignment="1" applyProtection="1">
      <alignment horizontal="center" vertical="center"/>
      <protection locked="0" hidden="1"/>
    </xf>
    <xf numFmtId="9" fontId="27" fillId="3" borderId="2" xfId="2" applyFont="1" applyFill="1" applyBorder="1" applyAlignment="1" applyProtection="1">
      <alignment horizontal="center" vertical="center"/>
      <protection hidden="1"/>
    </xf>
    <xf numFmtId="169" fontId="0" fillId="0" borderId="0" xfId="1" applyNumberFormat="1" applyFont="1" applyAlignment="1">
      <alignment horizontal="left"/>
    </xf>
    <xf numFmtId="167" fontId="0" fillId="0" borderId="0" xfId="0" applyNumberFormat="1" applyAlignment="1">
      <alignment horizontal="left"/>
    </xf>
    <xf numFmtId="9" fontId="21" fillId="5" borderId="0" xfId="0" applyNumberFormat="1" applyFont="1" applyFill="1" applyBorder="1" applyAlignment="1" applyProtection="1">
      <alignment horizontal="center" vertical="center"/>
      <protection locked="0" hidden="1"/>
    </xf>
    <xf numFmtId="9" fontId="12" fillId="3" borderId="0" xfId="0" applyNumberFormat="1" applyFont="1" applyFill="1" applyBorder="1" applyAlignment="1" applyProtection="1">
      <alignment vertical="center"/>
      <protection hidden="1"/>
    </xf>
    <xf numFmtId="0" fontId="22" fillId="5" borderId="3" xfId="0" applyFont="1" applyFill="1" applyBorder="1" applyAlignment="1" applyProtection="1">
      <alignment horizontal="center" vertical="center" wrapText="1"/>
      <protection locked="0" hidden="1"/>
    </xf>
    <xf numFmtId="0" fontId="3" fillId="9" borderId="0" xfId="0" applyFont="1" applyFill="1" applyProtection="1">
      <protection hidden="1"/>
    </xf>
    <xf numFmtId="0" fontId="52" fillId="9" borderId="0" xfId="0" applyFont="1" applyFill="1" applyAlignment="1" applyProtection="1">
      <alignment vertical="center"/>
      <protection hidden="1"/>
    </xf>
    <xf numFmtId="0" fontId="33" fillId="9" borderId="0" xfId="0" applyFont="1" applyFill="1" applyAlignment="1" applyProtection="1">
      <alignment vertical="center"/>
      <protection hidden="1"/>
    </xf>
    <xf numFmtId="0" fontId="38" fillId="9" borderId="0" xfId="0" applyFont="1" applyFill="1" applyAlignment="1" applyProtection="1">
      <alignment vertical="center"/>
      <protection hidden="1"/>
    </xf>
    <xf numFmtId="0" fontId="33" fillId="9" borderId="0" xfId="0" applyFont="1" applyFill="1" applyAlignment="1" applyProtection="1">
      <alignment horizontal="center" vertical="center"/>
      <protection hidden="1"/>
    </xf>
    <xf numFmtId="0" fontId="33" fillId="3" borderId="0" xfId="0" applyFont="1" applyFill="1" applyProtection="1">
      <protection hidden="1"/>
    </xf>
    <xf numFmtId="0" fontId="38" fillId="3" borderId="0" xfId="0" applyFont="1" applyFill="1" applyProtection="1">
      <protection hidden="1"/>
    </xf>
    <xf numFmtId="9" fontId="33" fillId="3" borderId="0" xfId="0" applyNumberFormat="1" applyFont="1" applyFill="1" applyProtection="1">
      <protection hidden="1"/>
    </xf>
    <xf numFmtId="0" fontId="39" fillId="3" borderId="0" xfId="0" applyFont="1" applyFill="1" applyProtection="1">
      <protection hidden="1"/>
    </xf>
    <xf numFmtId="9" fontId="39" fillId="3" borderId="0" xfId="0" applyNumberFormat="1" applyFont="1" applyFill="1" applyProtection="1">
      <protection hidden="1"/>
    </xf>
    <xf numFmtId="170" fontId="39" fillId="3" borderId="0" xfId="0" applyNumberFormat="1" applyFont="1" applyFill="1" applyProtection="1">
      <protection hidden="1"/>
    </xf>
    <xf numFmtId="2" fontId="6" fillId="3" borderId="0" xfId="4" applyNumberFormat="1" applyFont="1" applyFill="1" applyBorder="1" applyAlignment="1" applyProtection="1">
      <alignment horizontal="center" vertical="center"/>
      <protection hidden="1"/>
    </xf>
    <xf numFmtId="9" fontId="21" fillId="5" borderId="4" xfId="2" applyFont="1" applyFill="1" applyBorder="1" applyAlignment="1" applyProtection="1">
      <alignment horizontal="center" vertical="center" wrapText="1"/>
      <protection locked="0" hidden="1"/>
    </xf>
    <xf numFmtId="0" fontId="3" fillId="0" borderId="0" xfId="0" applyFont="1" applyFill="1" applyAlignment="1" applyProtection="1">
      <alignment vertical="center"/>
      <protection hidden="1"/>
    </xf>
    <xf numFmtId="0" fontId="53" fillId="3" borderId="0" xfId="0" applyFont="1" applyFill="1" applyProtection="1">
      <protection hidden="1"/>
    </xf>
    <xf numFmtId="170" fontId="35" fillId="3" borderId="0" xfId="0" applyNumberFormat="1" applyFont="1" applyFill="1" applyAlignment="1" applyProtection="1">
      <alignment horizontal="center"/>
      <protection hidden="1"/>
    </xf>
    <xf numFmtId="2" fontId="35" fillId="3" borderId="0" xfId="0" applyNumberFormat="1" applyFont="1" applyFill="1" applyAlignment="1" applyProtection="1">
      <alignment horizontal="center"/>
      <protection hidden="1"/>
    </xf>
    <xf numFmtId="168" fontId="3" fillId="0" borderId="0" xfId="4" applyFont="1" applyFill="1" applyAlignment="1" applyProtection="1">
      <alignment vertical="center"/>
      <protection hidden="1"/>
    </xf>
    <xf numFmtId="0" fontId="38" fillId="0" borderId="0" xfId="0" applyFont="1" applyFill="1" applyAlignment="1" applyProtection="1">
      <alignment vertical="center"/>
      <protection hidden="1"/>
    </xf>
    <xf numFmtId="171" fontId="22" fillId="5" borderId="4" xfId="0" applyNumberFormat="1" applyFont="1" applyFill="1" applyBorder="1" applyAlignment="1" applyProtection="1">
      <alignment horizontal="center" vertical="center"/>
      <protection hidden="1"/>
    </xf>
    <xf numFmtId="170" fontId="7" fillId="3" borderId="0" xfId="0" applyNumberFormat="1" applyFont="1" applyFill="1" applyBorder="1" applyAlignment="1" applyProtection="1">
      <alignment vertical="center"/>
      <protection hidden="1"/>
    </xf>
    <xf numFmtId="0" fontId="0" fillId="0" borderId="0" xfId="0" applyAlignment="1"/>
    <xf numFmtId="170" fontId="0" fillId="0" borderId="0" xfId="1" applyNumberFormat="1" applyFont="1" applyAlignment="1"/>
    <xf numFmtId="0" fontId="2" fillId="0" borderId="0" xfId="0" applyFont="1" applyAlignment="1"/>
    <xf numFmtId="165" fontId="0" fillId="0" borderId="0" xfId="0" applyNumberFormat="1" applyAlignment="1"/>
    <xf numFmtId="167" fontId="0" fillId="0" borderId="0" xfId="1" applyNumberFormat="1" applyFont="1" applyAlignment="1"/>
    <xf numFmtId="167" fontId="0" fillId="0" borderId="0" xfId="1" applyFont="1" applyAlignment="1"/>
    <xf numFmtId="0" fontId="0" fillId="0" borderId="0" xfId="0" quotePrefix="1" applyAlignment="1"/>
    <xf numFmtId="166" fontId="0" fillId="0" borderId="0" xfId="0" applyNumberFormat="1" applyAlignment="1"/>
    <xf numFmtId="0" fontId="27" fillId="3" borderId="0" xfId="0" applyFont="1" applyFill="1" applyBorder="1" applyAlignment="1" applyProtection="1">
      <alignment horizontal="center" vertical="center" wrapText="1"/>
      <protection hidden="1"/>
    </xf>
    <xf numFmtId="0" fontId="27" fillId="4" borderId="0" xfId="0" applyFont="1" applyFill="1" applyBorder="1" applyAlignment="1" applyProtection="1">
      <alignment horizontal="center" vertical="center" wrapText="1"/>
      <protection hidden="1"/>
    </xf>
    <xf numFmtId="0" fontId="0" fillId="0" borderId="0" xfId="0" applyAlignment="1">
      <alignment wrapText="1"/>
    </xf>
    <xf numFmtId="0" fontId="27" fillId="3" borderId="0" xfId="0" applyFont="1" applyFill="1" applyBorder="1" applyAlignment="1" applyProtection="1">
      <alignment horizontal="center" vertical="center" wrapText="1"/>
      <protection hidden="1"/>
    </xf>
    <xf numFmtId="0" fontId="27" fillId="4" borderId="0" xfId="0" applyFont="1" applyFill="1" applyBorder="1" applyAlignment="1" applyProtection="1">
      <alignment horizontal="center" vertical="center" wrapText="1"/>
      <protection hidden="1"/>
    </xf>
    <xf numFmtId="0" fontId="0" fillId="0" borderId="0" xfId="0" applyAlignment="1">
      <alignment vertical="center"/>
    </xf>
    <xf numFmtId="171" fontId="21" fillId="5" borderId="4" xfId="0" applyNumberFormat="1" applyFont="1" applyFill="1" applyBorder="1" applyAlignment="1" applyProtection="1">
      <alignment horizontal="center" wrapText="1" shrinkToFit="1"/>
      <protection locked="0" hidden="1"/>
    </xf>
    <xf numFmtId="0" fontId="2" fillId="0" borderId="36" xfId="0" applyFont="1" applyBorder="1" applyAlignment="1">
      <alignment horizontal="right"/>
    </xf>
    <xf numFmtId="0" fontId="2" fillId="0" borderId="37" xfId="0" applyFont="1" applyBorder="1" applyAlignment="1">
      <alignment horizontal="right"/>
    </xf>
    <xf numFmtId="0" fontId="0" fillId="0" borderId="36" xfId="0" applyBorder="1" applyAlignment="1">
      <alignment vertical="top"/>
    </xf>
    <xf numFmtId="0" fontId="0" fillId="0" borderId="0" xfId="0" applyBorder="1" applyAlignment="1">
      <alignment vertical="top"/>
    </xf>
    <xf numFmtId="170" fontId="0" fillId="0" borderId="37" xfId="0" applyNumberFormat="1" applyBorder="1" applyAlignment="1"/>
    <xf numFmtId="170" fontId="0" fillId="0" borderId="37" xfId="1" applyNumberFormat="1" applyFont="1" applyBorder="1" applyAlignment="1">
      <alignment vertical="top"/>
    </xf>
    <xf numFmtId="0" fontId="0" fillId="0" borderId="36" xfId="0" applyBorder="1" applyAlignment="1"/>
    <xf numFmtId="0" fontId="0" fillId="0" borderId="0" xfId="0" applyBorder="1" applyAlignment="1"/>
    <xf numFmtId="170" fontId="0" fillId="0" borderId="37" xfId="1" applyNumberFormat="1" applyFont="1" applyBorder="1" applyAlignment="1"/>
    <xf numFmtId="170" fontId="0" fillId="0" borderId="37" xfId="0" applyNumberFormat="1" applyBorder="1" applyAlignment="1">
      <alignment vertical="top"/>
    </xf>
    <xf numFmtId="171" fontId="0" fillId="0" borderId="37" xfId="0" applyNumberFormat="1" applyBorder="1" applyAlignment="1"/>
    <xf numFmtId="0" fontId="0" fillId="0" borderId="14" xfId="0" applyBorder="1" applyAlignment="1"/>
    <xf numFmtId="0" fontId="2" fillId="0" borderId="0" xfId="0" applyFont="1" applyBorder="1" applyAlignment="1">
      <alignment horizontal="left"/>
    </xf>
    <xf numFmtId="0" fontId="2" fillId="0" borderId="0" xfId="0" applyFont="1" applyFill="1" applyBorder="1" applyAlignment="1">
      <alignment horizontal="left"/>
    </xf>
    <xf numFmtId="0" fontId="2" fillId="0" borderId="36" xfId="0" applyFont="1" applyFill="1" applyBorder="1" applyAlignment="1">
      <alignment horizontal="left"/>
    </xf>
    <xf numFmtId="0" fontId="2" fillId="0" borderId="37" xfId="0" applyFont="1" applyFill="1" applyBorder="1" applyAlignment="1">
      <alignment horizontal="left"/>
    </xf>
    <xf numFmtId="0" fontId="0" fillId="0" borderId="37" xfId="0" applyBorder="1" applyAlignment="1"/>
    <xf numFmtId="0" fontId="0" fillId="0" borderId="0" xfId="0" applyBorder="1" applyAlignment="1">
      <alignment vertical="center"/>
    </xf>
    <xf numFmtId="0" fontId="0" fillId="0" borderId="37" xfId="0" applyBorder="1" applyAlignment="1">
      <alignment horizontal="right"/>
    </xf>
    <xf numFmtId="0" fontId="2" fillId="0" borderId="15" xfId="0" applyFont="1" applyBorder="1" applyAlignment="1">
      <alignment horizontal="left"/>
    </xf>
    <xf numFmtId="0" fontId="0" fillId="0" borderId="16" xfId="0" applyBorder="1" applyAlignment="1">
      <alignment horizontal="center"/>
    </xf>
    <xf numFmtId="0" fontId="0" fillId="0" borderId="16" xfId="0" applyBorder="1" applyAlignment="1"/>
    <xf numFmtId="0" fontId="0" fillId="0" borderId="17" xfId="0" applyBorder="1" applyAlignment="1"/>
    <xf numFmtId="0" fontId="2" fillId="0" borderId="15" xfId="0" applyFont="1" applyBorder="1" applyAlignment="1"/>
    <xf numFmtId="167" fontId="0" fillId="0" borderId="0" xfId="1" applyFont="1" applyAlignment="1">
      <alignment horizontal="left"/>
    </xf>
    <xf numFmtId="0" fontId="0" fillId="0" borderId="0" xfId="0" applyFill="1" applyBorder="1" applyAlignment="1"/>
    <xf numFmtId="0" fontId="0" fillId="0" borderId="36" xfId="0" applyFill="1" applyBorder="1" applyAlignment="1"/>
    <xf numFmtId="0" fontId="0" fillId="0" borderId="0" xfId="0" applyFill="1" applyBorder="1" applyAlignment="1">
      <alignment vertical="top"/>
    </xf>
    <xf numFmtId="171" fontId="0" fillId="0" borderId="37" xfId="0" applyNumberFormat="1" applyFill="1" applyBorder="1" applyAlignment="1"/>
    <xf numFmtId="0" fontId="0" fillId="0" borderId="38" xfId="0" applyFill="1" applyBorder="1" applyAlignment="1"/>
    <xf numFmtId="0" fontId="0" fillId="0" borderId="14" xfId="0" applyFill="1" applyBorder="1" applyAlignment="1"/>
    <xf numFmtId="0" fontId="0" fillId="0" borderId="14" xfId="0" applyFill="1" applyBorder="1" applyAlignment="1">
      <alignment vertical="top"/>
    </xf>
    <xf numFmtId="171" fontId="0" fillId="0" borderId="39" xfId="0" applyNumberFormat="1" applyFill="1" applyBorder="1" applyAlignment="1"/>
    <xf numFmtId="0" fontId="7" fillId="3" borderId="0" xfId="0" applyFont="1" applyFill="1" applyBorder="1" applyAlignment="1" applyProtection="1">
      <alignment horizontal="left" vertical="center"/>
      <protection hidden="1"/>
    </xf>
    <xf numFmtId="0" fontId="27" fillId="4" borderId="0" xfId="0" applyFont="1" applyFill="1" applyBorder="1" applyAlignment="1" applyProtection="1">
      <alignment horizontal="center" vertical="center" wrapText="1"/>
      <protection hidden="1"/>
    </xf>
    <xf numFmtId="14" fontId="3" fillId="5" borderId="0" xfId="0" applyNumberFormat="1" applyFont="1" applyFill="1" applyAlignment="1" applyProtection="1">
      <alignment horizontal="center" vertical="center"/>
      <protection locked="0" hidden="1"/>
    </xf>
    <xf numFmtId="0" fontId="4" fillId="3" borderId="0" xfId="0" applyFont="1" applyFill="1" applyAlignment="1" applyProtection="1">
      <alignment horizontal="left" vertical="center" wrapText="1"/>
      <protection hidden="1"/>
    </xf>
    <xf numFmtId="0" fontId="3" fillId="5" borderId="0" xfId="0" applyNumberFormat="1" applyFont="1" applyFill="1" applyAlignment="1" applyProtection="1">
      <alignment horizontal="center" vertical="center"/>
      <protection locked="0" hidden="1"/>
    </xf>
    <xf numFmtId="0" fontId="16" fillId="13" borderId="0" xfId="0" applyFont="1" applyFill="1" applyAlignment="1">
      <alignment horizontal="center" vertical="center" textRotation="90"/>
    </xf>
    <xf numFmtId="0" fontId="16" fillId="3" borderId="0" xfId="0" applyFont="1" applyFill="1" applyBorder="1" applyAlignment="1">
      <alignment horizontal="center" vertical="center" textRotation="90"/>
    </xf>
    <xf numFmtId="0" fontId="27" fillId="4" borderId="0" xfId="0" applyFont="1" applyFill="1" applyBorder="1" applyAlignment="1" applyProtection="1">
      <alignment horizontal="center" vertical="center" wrapText="1"/>
      <protection hidden="1"/>
    </xf>
    <xf numFmtId="0" fontId="4" fillId="3" borderId="3" xfId="0" applyFont="1" applyFill="1" applyBorder="1" applyAlignment="1" applyProtection="1">
      <alignment horizontal="center" vertical="center"/>
      <protection hidden="1"/>
    </xf>
    <xf numFmtId="0" fontId="27" fillId="3" borderId="0" xfId="0" applyFont="1" applyFill="1" applyBorder="1" applyAlignment="1" applyProtection="1">
      <alignment horizontal="center" vertical="center" wrapText="1"/>
      <protection hidden="1"/>
    </xf>
    <xf numFmtId="0" fontId="27" fillId="4" borderId="32" xfId="0" applyFont="1" applyFill="1" applyBorder="1" applyAlignment="1" applyProtection="1">
      <alignment horizontal="center" vertical="center" wrapText="1"/>
      <protection hidden="1"/>
    </xf>
    <xf numFmtId="0" fontId="3" fillId="3" borderId="0" xfId="0" applyFont="1" applyFill="1" applyAlignment="1" applyProtection="1">
      <alignment horizontal="center"/>
      <protection hidden="1"/>
    </xf>
    <xf numFmtId="0" fontId="21" fillId="0" borderId="0" xfId="0" applyFont="1" applyFill="1" applyAlignment="1" applyProtection="1">
      <alignment horizontal="center"/>
      <protection hidden="1"/>
    </xf>
    <xf numFmtId="0" fontId="7" fillId="3" borderId="3" xfId="0" applyFont="1" applyFill="1" applyBorder="1" applyAlignment="1" applyProtection="1">
      <alignment horizontal="center" vertical="center"/>
      <protection hidden="1"/>
    </xf>
    <xf numFmtId="0" fontId="22" fillId="3" borderId="18" xfId="0" applyFont="1" applyFill="1" applyBorder="1" applyAlignment="1" applyProtection="1">
      <alignment horizontal="left" vertical="center" wrapText="1"/>
      <protection locked="0" hidden="1"/>
    </xf>
    <xf numFmtId="0" fontId="27" fillId="4" borderId="20" xfId="0" applyFont="1" applyFill="1" applyBorder="1" applyAlignment="1" applyProtection="1">
      <alignment horizontal="center" vertical="center" wrapText="1"/>
      <protection hidden="1"/>
    </xf>
    <xf numFmtId="0" fontId="27" fillId="4" borderId="31" xfId="0" applyFont="1" applyFill="1" applyBorder="1" applyAlignment="1" applyProtection="1">
      <alignment horizontal="center" vertical="center" wrapText="1"/>
      <protection hidden="1"/>
    </xf>
    <xf numFmtId="0" fontId="22" fillId="3" borderId="18" xfId="0" applyFont="1" applyFill="1" applyBorder="1" applyAlignment="1" applyProtection="1">
      <alignment horizontal="left" vertical="center"/>
      <protection locked="0" hidden="1"/>
    </xf>
    <xf numFmtId="1" fontId="6" fillId="3" borderId="33" xfId="0" applyNumberFormat="1" applyFont="1" applyFill="1" applyBorder="1" applyAlignment="1" applyProtection="1">
      <alignment horizontal="center" vertical="center"/>
      <protection hidden="1"/>
    </xf>
    <xf numFmtId="0" fontId="50" fillId="23" borderId="35" xfId="0" applyFont="1" applyFill="1" applyBorder="1" applyAlignment="1">
      <alignment horizontal="center" vertical="center" wrapText="1"/>
    </xf>
    <xf numFmtId="0" fontId="50" fillId="23" borderId="34" xfId="0" applyFont="1" applyFill="1" applyBorder="1" applyAlignment="1">
      <alignment horizontal="center" vertical="center" wrapText="1"/>
    </xf>
    <xf numFmtId="0" fontId="43" fillId="3" borderId="21" xfId="5" applyFont="1" applyFill="1" applyBorder="1" applyAlignment="1">
      <alignment horizontal="center" vertical="center" wrapText="1"/>
    </xf>
    <xf numFmtId="0" fontId="43" fillId="3" borderId="22" xfId="5" applyFont="1" applyFill="1" applyBorder="1" applyAlignment="1">
      <alignment horizontal="center" vertical="center" wrapText="1"/>
    </xf>
    <xf numFmtId="0" fontId="43" fillId="3" borderId="23" xfId="5" applyFont="1" applyFill="1" applyBorder="1" applyAlignment="1">
      <alignment horizontal="center" vertical="center" wrapText="1"/>
    </xf>
    <xf numFmtId="0" fontId="0" fillId="3" borderId="25" xfId="0" applyFill="1" applyBorder="1" applyAlignment="1">
      <alignment horizontal="left" vertical="top" wrapText="1"/>
    </xf>
    <xf numFmtId="0" fontId="0" fillId="3" borderId="26" xfId="0" applyFill="1" applyBorder="1" applyAlignment="1">
      <alignment horizontal="left" vertical="top" wrapText="1"/>
    </xf>
    <xf numFmtId="0" fontId="0" fillId="3" borderId="27" xfId="0" applyFill="1" applyBorder="1" applyAlignment="1">
      <alignment horizontal="left" vertical="top" wrapText="1"/>
    </xf>
    <xf numFmtId="0" fontId="0" fillId="3" borderId="28" xfId="0" applyFill="1" applyBorder="1" applyAlignment="1">
      <alignment horizontal="left" vertical="top" wrapText="1"/>
    </xf>
    <xf numFmtId="0" fontId="0" fillId="3" borderId="0" xfId="0" applyFill="1" applyBorder="1" applyAlignment="1">
      <alignment horizontal="left" vertical="top" wrapText="1"/>
    </xf>
    <xf numFmtId="0" fontId="0" fillId="3" borderId="24" xfId="0" applyFill="1" applyBorder="1" applyAlignment="1">
      <alignment horizontal="left" vertical="top" wrapText="1"/>
    </xf>
    <xf numFmtId="0" fontId="0" fillId="3" borderId="29" xfId="0" applyFill="1" applyBorder="1" applyAlignment="1">
      <alignment horizontal="left" vertical="top" wrapText="1"/>
    </xf>
    <xf numFmtId="0" fontId="0" fillId="3" borderId="18" xfId="0" applyFill="1" applyBorder="1" applyAlignment="1">
      <alignment horizontal="left" vertical="top" wrapText="1"/>
    </xf>
    <xf numFmtId="0" fontId="0" fillId="3" borderId="30" xfId="0" applyFill="1" applyBorder="1" applyAlignment="1">
      <alignment horizontal="left" vertical="top" wrapText="1"/>
    </xf>
    <xf numFmtId="0" fontId="0" fillId="3" borderId="25" xfId="0" applyFill="1" applyBorder="1" applyAlignment="1">
      <alignment horizontal="left" vertical="top"/>
    </xf>
    <xf numFmtId="0" fontId="0" fillId="3" borderId="26" xfId="0" applyFill="1" applyBorder="1" applyAlignment="1">
      <alignment horizontal="left" vertical="top"/>
    </xf>
    <xf numFmtId="0" fontId="0" fillId="3" borderId="27" xfId="0" applyFill="1" applyBorder="1" applyAlignment="1">
      <alignment horizontal="left" vertical="top"/>
    </xf>
    <xf numFmtId="0" fontId="0" fillId="3" borderId="28" xfId="0" applyFill="1" applyBorder="1" applyAlignment="1">
      <alignment horizontal="left" vertical="top"/>
    </xf>
    <xf numFmtId="0" fontId="0" fillId="3" borderId="0" xfId="0" applyFill="1" applyBorder="1" applyAlignment="1">
      <alignment horizontal="left" vertical="top"/>
    </xf>
    <xf numFmtId="0" fontId="0" fillId="3" borderId="24" xfId="0" applyFill="1" applyBorder="1" applyAlignment="1">
      <alignment horizontal="left" vertical="top"/>
    </xf>
    <xf numFmtId="0" fontId="0" fillId="3" borderId="29" xfId="0" applyFill="1" applyBorder="1" applyAlignment="1">
      <alignment horizontal="left" vertical="top"/>
    </xf>
    <xf numFmtId="0" fontId="0" fillId="3" borderId="18" xfId="0" applyFill="1" applyBorder="1" applyAlignment="1">
      <alignment horizontal="left" vertical="top"/>
    </xf>
    <xf numFmtId="0" fontId="0" fillId="3" borderId="30" xfId="0" applyFill="1" applyBorder="1" applyAlignment="1">
      <alignment horizontal="left" vertical="top"/>
    </xf>
    <xf numFmtId="0" fontId="22" fillId="0" borderId="2" xfId="0" applyFont="1" applyBorder="1" applyAlignment="1">
      <alignment horizontal="center" vertical="center" wrapText="1"/>
    </xf>
    <xf numFmtId="0" fontId="22" fillId="0" borderId="2" xfId="0" applyFont="1" applyBorder="1" applyAlignment="1">
      <alignment horizontal="center" vertical="center"/>
    </xf>
    <xf numFmtId="0" fontId="18" fillId="6" borderId="0" xfId="3" applyFont="1" applyFill="1" applyAlignment="1">
      <alignment horizontal="left" vertical="center" wrapText="1" indent="46"/>
    </xf>
    <xf numFmtId="0" fontId="18" fillId="9" borderId="0" xfId="3" applyFont="1" applyFill="1" applyAlignment="1">
      <alignment horizontal="left" vertical="center" wrapText="1" indent="46"/>
    </xf>
    <xf numFmtId="0" fontId="6" fillId="3" borderId="14" xfId="3" applyFont="1" applyFill="1" applyBorder="1" applyAlignment="1">
      <alignment horizontal="center" vertical="center"/>
    </xf>
    <xf numFmtId="0" fontId="19" fillId="3" borderId="14" xfId="3" applyFont="1" applyFill="1" applyBorder="1" applyAlignment="1">
      <alignment horizontal="center" vertical="center"/>
    </xf>
    <xf numFmtId="0" fontId="6" fillId="11" borderId="15" xfId="3" applyFont="1" applyFill="1" applyBorder="1" applyAlignment="1">
      <alignment horizontal="center" vertical="center" wrapText="1"/>
    </xf>
    <xf numFmtId="0" fontId="6" fillId="11" borderId="16" xfId="3" applyFont="1" applyFill="1" applyBorder="1" applyAlignment="1">
      <alignment horizontal="center" vertical="center" wrapText="1"/>
    </xf>
    <xf numFmtId="0" fontId="6" fillId="11" borderId="17" xfId="3" applyFont="1" applyFill="1" applyBorder="1" applyAlignment="1">
      <alignment horizontal="center" vertical="center" wrapText="1"/>
    </xf>
    <xf numFmtId="0" fontId="11" fillId="0" borderId="0" xfId="3" applyFont="1" applyFill="1" applyAlignment="1">
      <alignment horizontal="center" vertic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23" xfId="0" applyFont="1" applyBorder="1" applyAlignment="1">
      <alignment horizontal="center"/>
    </xf>
    <xf numFmtId="0" fontId="2" fillId="0" borderId="0" xfId="0" applyFont="1" applyAlignment="1">
      <alignment horizontal="center" wrapText="1"/>
    </xf>
    <xf numFmtId="0" fontId="2" fillId="0" borderId="0" xfId="0" applyFont="1" applyAlignment="1">
      <alignment horizontal="center" vertical="center"/>
    </xf>
  </cellXfs>
  <cellStyles count="7">
    <cellStyle name="Comma" xfId="4" builtinId="3"/>
    <cellStyle name="Currency" xfId="1" builtinId="4"/>
    <cellStyle name="Good" xfId="6" builtinId="26"/>
    <cellStyle name="Normal" xfId="0" builtinId="0"/>
    <cellStyle name="Normal 2" xfId="5" xr:uid="{00000000-0005-0000-0000-000004000000}"/>
    <cellStyle name="Normal 3" xfId="3" xr:uid="{00000000-0005-0000-0000-000005000000}"/>
    <cellStyle name="Percent" xfId="2" builtinId="5"/>
  </cellStyles>
  <dxfs count="1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tint="-0.34998626667073579"/>
      </font>
    </dxf>
    <dxf>
      <font>
        <b/>
        <i val="0"/>
        <color rgb="FFFF0000"/>
      </font>
    </dxf>
    <dxf>
      <font>
        <b/>
        <i val="0"/>
        <color rgb="FF00B050"/>
      </font>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tint="-0.34998626667073579"/>
      </font>
    </dxf>
    <dxf>
      <font>
        <b/>
        <i val="0"/>
        <color rgb="FFFF0000"/>
      </font>
    </dxf>
    <dxf>
      <font>
        <b/>
        <i val="0"/>
        <color rgb="FF00B050"/>
      </font>
    </dxf>
    <dxf>
      <font>
        <b/>
        <i val="0"/>
        <color theme="0"/>
      </font>
      <fill>
        <patternFill>
          <bgColor theme="0" tint="-0.499984740745262"/>
        </patternFill>
      </fill>
    </dxf>
  </dxfs>
  <tableStyles count="0" defaultTableStyle="TableStyleMedium2" defaultPivotStyle="PivotStyleLight16"/>
  <colors>
    <mruColors>
      <color rgb="FFFDEB03"/>
      <color rgb="FFF97777"/>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285206</xdr:colOff>
      <xdr:row>2</xdr:row>
      <xdr:rowOff>5378</xdr:rowOff>
    </xdr:from>
    <xdr:to>
      <xdr:col>3</xdr:col>
      <xdr:colOff>514508</xdr:colOff>
      <xdr:row>2</xdr:row>
      <xdr:rowOff>241598</xdr:rowOff>
    </xdr:to>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2124892" y="854464"/>
          <a:ext cx="229302" cy="23622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a:t>
          </a:r>
        </a:p>
      </xdr:txBody>
    </xdr:sp>
    <xdr:clientData/>
  </xdr:twoCellAnchor>
  <xdr:twoCellAnchor>
    <xdr:from>
      <xdr:col>3</xdr:col>
      <xdr:colOff>266700</xdr:colOff>
      <xdr:row>6</xdr:row>
      <xdr:rowOff>554466</xdr:rowOff>
    </xdr:from>
    <xdr:to>
      <xdr:col>3</xdr:col>
      <xdr:colOff>496002</xdr:colOff>
      <xdr:row>7</xdr:row>
      <xdr:rowOff>225910</xdr:rowOff>
    </xdr:to>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2095500" y="3493609"/>
          <a:ext cx="229302" cy="237501"/>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6</a:t>
          </a:r>
        </a:p>
      </xdr:txBody>
    </xdr:sp>
    <xdr:clientData/>
  </xdr:twoCellAnchor>
  <xdr:twoCellAnchor>
    <xdr:from>
      <xdr:col>3</xdr:col>
      <xdr:colOff>273232</xdr:colOff>
      <xdr:row>7</xdr:row>
      <xdr:rowOff>515085</xdr:rowOff>
    </xdr:from>
    <xdr:to>
      <xdr:col>3</xdr:col>
      <xdr:colOff>502534</xdr:colOff>
      <xdr:row>8</xdr:row>
      <xdr:rowOff>172826</xdr:rowOff>
    </xdr:to>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2102032" y="4020285"/>
          <a:ext cx="229302" cy="223798"/>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7</a:t>
          </a:r>
        </a:p>
      </xdr:txBody>
    </xdr:sp>
    <xdr:clientData/>
  </xdr:twoCellAnchor>
  <xdr:twoCellAnchor>
    <xdr:from>
      <xdr:col>3</xdr:col>
      <xdr:colOff>265612</xdr:colOff>
      <xdr:row>8</xdr:row>
      <xdr:rowOff>481181</xdr:rowOff>
    </xdr:from>
    <xdr:to>
      <xdr:col>3</xdr:col>
      <xdr:colOff>494914</xdr:colOff>
      <xdr:row>9</xdr:row>
      <xdr:rowOff>190211</xdr:rowOff>
    </xdr:to>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2034541" y="4549717"/>
          <a:ext cx="229302" cy="212494"/>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8</a:t>
          </a:r>
        </a:p>
      </xdr:txBody>
    </xdr:sp>
    <xdr:clientData/>
  </xdr:twoCellAnchor>
  <xdr:twoCellAnchor>
    <xdr:from>
      <xdr:col>3</xdr:col>
      <xdr:colOff>261256</xdr:colOff>
      <xdr:row>9</xdr:row>
      <xdr:rowOff>486724</xdr:rowOff>
    </xdr:from>
    <xdr:to>
      <xdr:col>3</xdr:col>
      <xdr:colOff>522513</xdr:colOff>
      <xdr:row>10</xdr:row>
      <xdr:rowOff>228603</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2090056" y="4928095"/>
          <a:ext cx="261257" cy="264394"/>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9</a:t>
          </a:r>
        </a:p>
      </xdr:txBody>
    </xdr:sp>
    <xdr:clientData/>
  </xdr:twoCellAnchor>
  <xdr:twoCellAnchor>
    <xdr:from>
      <xdr:col>3</xdr:col>
      <xdr:colOff>261258</xdr:colOff>
      <xdr:row>11</xdr:row>
      <xdr:rowOff>12102</xdr:rowOff>
    </xdr:from>
    <xdr:to>
      <xdr:col>3</xdr:col>
      <xdr:colOff>490560</xdr:colOff>
      <xdr:row>11</xdr:row>
      <xdr:rowOff>235452</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2090058" y="5433188"/>
          <a:ext cx="229302" cy="22335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10</a:t>
          </a:r>
        </a:p>
      </xdr:txBody>
    </xdr:sp>
    <xdr:clientData/>
  </xdr:twoCellAnchor>
  <xdr:twoCellAnchor>
    <xdr:from>
      <xdr:col>3</xdr:col>
      <xdr:colOff>279828</xdr:colOff>
      <xdr:row>2</xdr:row>
      <xdr:rowOff>564774</xdr:rowOff>
    </xdr:from>
    <xdr:to>
      <xdr:col>3</xdr:col>
      <xdr:colOff>509130</xdr:colOff>
      <xdr:row>3</xdr:row>
      <xdr:rowOff>236218</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2119514" y="1413860"/>
          <a:ext cx="229302" cy="237501"/>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2</a:t>
          </a:r>
        </a:p>
      </xdr:txBody>
    </xdr:sp>
    <xdr:clientData/>
  </xdr:twoCellAnchor>
  <xdr:twoCellAnchor>
    <xdr:from>
      <xdr:col>3</xdr:col>
      <xdr:colOff>281748</xdr:colOff>
      <xdr:row>3</xdr:row>
      <xdr:rowOff>555811</xdr:rowOff>
    </xdr:from>
    <xdr:to>
      <xdr:col>3</xdr:col>
      <xdr:colOff>511050</xdr:colOff>
      <xdr:row>4</xdr:row>
      <xdr:rowOff>227254</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121434" y="1970954"/>
          <a:ext cx="229302" cy="23750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3</a:t>
          </a:r>
        </a:p>
      </xdr:txBody>
    </xdr:sp>
    <xdr:clientData/>
  </xdr:twoCellAnchor>
  <xdr:twoCellAnchor>
    <xdr:from>
      <xdr:col>3</xdr:col>
      <xdr:colOff>281747</xdr:colOff>
      <xdr:row>4</xdr:row>
      <xdr:rowOff>555811</xdr:rowOff>
    </xdr:from>
    <xdr:to>
      <xdr:col>3</xdr:col>
      <xdr:colOff>511628</xdr:colOff>
      <xdr:row>5</xdr:row>
      <xdr:rowOff>250371</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2110547" y="2362840"/>
          <a:ext cx="229881" cy="260617"/>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4</a:t>
          </a:r>
        </a:p>
      </xdr:txBody>
    </xdr:sp>
    <xdr:clientData/>
  </xdr:twoCellAnchor>
  <xdr:twoCellAnchor>
    <xdr:from>
      <xdr:col>3</xdr:col>
      <xdr:colOff>270862</xdr:colOff>
      <xdr:row>6</xdr:row>
      <xdr:rowOff>0</xdr:rowOff>
    </xdr:from>
    <xdr:to>
      <xdr:col>3</xdr:col>
      <xdr:colOff>500164</xdr:colOff>
      <xdr:row>6</xdr:row>
      <xdr:rowOff>236220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2099662" y="2939143"/>
          <a:ext cx="229302" cy="23622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5</a:t>
          </a:r>
        </a:p>
      </xdr:txBody>
    </xdr:sp>
    <xdr:clientData/>
  </xdr:twoCellAnchor>
  <xdr:twoCellAnchor>
    <xdr:from>
      <xdr:col>3</xdr:col>
      <xdr:colOff>261258</xdr:colOff>
      <xdr:row>11</xdr:row>
      <xdr:rowOff>650035</xdr:rowOff>
    </xdr:from>
    <xdr:to>
      <xdr:col>3</xdr:col>
      <xdr:colOff>490560</xdr:colOff>
      <xdr:row>12</xdr:row>
      <xdr:rowOff>222226</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2090058" y="6071121"/>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11</a:t>
          </a:r>
        </a:p>
      </xdr:txBody>
    </xdr:sp>
    <xdr:clientData/>
  </xdr:twoCellAnchor>
  <xdr:twoCellAnchor>
    <xdr:from>
      <xdr:col>3</xdr:col>
      <xdr:colOff>269033</xdr:colOff>
      <xdr:row>12</xdr:row>
      <xdr:rowOff>524072</xdr:rowOff>
    </xdr:from>
    <xdr:to>
      <xdr:col>3</xdr:col>
      <xdr:colOff>498335</xdr:colOff>
      <xdr:row>13</xdr:row>
      <xdr:rowOff>216005</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2097833" y="6609186"/>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12</a:t>
          </a:r>
        </a:p>
      </xdr:txBody>
    </xdr:sp>
    <xdr:clientData/>
  </xdr:twoCellAnchor>
  <xdr:twoCellAnchor>
    <xdr:from>
      <xdr:col>3</xdr:col>
      <xdr:colOff>258147</xdr:colOff>
      <xdr:row>13</xdr:row>
      <xdr:rowOff>545843</xdr:rowOff>
    </xdr:from>
    <xdr:to>
      <xdr:col>3</xdr:col>
      <xdr:colOff>487449</xdr:colOff>
      <xdr:row>14</xdr:row>
      <xdr:rowOff>226891</xdr:rowOff>
    </xdr:to>
    <xdr:sp macro="" textlink="">
      <xdr:nvSpPr>
        <xdr:cNvPr id="18" name="Rounded Rectangle 17">
          <a:extLst>
            <a:ext uri="{FF2B5EF4-FFF2-40B4-BE49-F238E27FC236}">
              <a16:creationId xmlns:a16="http://schemas.microsoft.com/office/drawing/2014/main" id="{00000000-0008-0000-0000-000012000000}"/>
            </a:ext>
          </a:extLst>
        </xdr:cNvPr>
        <xdr:cNvSpPr/>
      </xdr:nvSpPr>
      <xdr:spPr>
        <a:xfrm>
          <a:off x="2086947" y="7175243"/>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13</a:t>
          </a:r>
        </a:p>
      </xdr:txBody>
    </xdr:sp>
    <xdr:clientData/>
  </xdr:twoCellAnchor>
  <xdr:twoCellAnchor>
    <xdr:from>
      <xdr:col>3</xdr:col>
      <xdr:colOff>269033</xdr:colOff>
      <xdr:row>14</xdr:row>
      <xdr:rowOff>763558</xdr:rowOff>
    </xdr:from>
    <xdr:to>
      <xdr:col>3</xdr:col>
      <xdr:colOff>498335</xdr:colOff>
      <xdr:row>15</xdr:row>
      <xdr:rowOff>226891</xdr:rowOff>
    </xdr:to>
    <xdr:sp macro="" textlink="">
      <xdr:nvSpPr>
        <xdr:cNvPr id="19" name="Rounded Rectangle 18">
          <a:extLst>
            <a:ext uri="{FF2B5EF4-FFF2-40B4-BE49-F238E27FC236}">
              <a16:creationId xmlns:a16="http://schemas.microsoft.com/office/drawing/2014/main" id="{00000000-0008-0000-0000-000013000000}"/>
            </a:ext>
          </a:extLst>
        </xdr:cNvPr>
        <xdr:cNvSpPr/>
      </xdr:nvSpPr>
      <xdr:spPr>
        <a:xfrm>
          <a:off x="2097833" y="7948129"/>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14</a:t>
          </a:r>
        </a:p>
      </xdr:txBody>
    </xdr:sp>
    <xdr:clientData/>
  </xdr:twoCellAnchor>
  <xdr:twoCellAnchor>
    <xdr:from>
      <xdr:col>3</xdr:col>
      <xdr:colOff>285750</xdr:colOff>
      <xdr:row>15</xdr:row>
      <xdr:rowOff>544287</xdr:rowOff>
    </xdr:from>
    <xdr:to>
      <xdr:col>3</xdr:col>
      <xdr:colOff>515052</xdr:colOff>
      <xdr:row>16</xdr:row>
      <xdr:rowOff>225334</xdr:rowOff>
    </xdr:to>
    <xdr:sp macro="" textlink="">
      <xdr:nvSpPr>
        <xdr:cNvPr id="20" name="Rounded Rectangle 18">
          <a:extLst>
            <a:ext uri="{FF2B5EF4-FFF2-40B4-BE49-F238E27FC236}">
              <a16:creationId xmlns:a16="http://schemas.microsoft.com/office/drawing/2014/main" id="{0810D0D9-1AFE-42B3-906A-2C8E5D0F506D}"/>
            </a:ext>
          </a:extLst>
        </xdr:cNvPr>
        <xdr:cNvSpPr/>
      </xdr:nvSpPr>
      <xdr:spPr>
        <a:xfrm>
          <a:off x="2054679" y="8096251"/>
          <a:ext cx="229302" cy="23894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15</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337457</xdr:colOff>
      <xdr:row>15</xdr:row>
      <xdr:rowOff>1</xdr:rowOff>
    </xdr:from>
    <xdr:to>
      <xdr:col>14</xdr:col>
      <xdr:colOff>49481</xdr:colOff>
      <xdr:row>71</xdr:row>
      <xdr:rowOff>71438</xdr:rowOff>
    </xdr:to>
    <xdr:sp macro="" textlink="">
      <xdr:nvSpPr>
        <xdr:cNvPr id="2" name="Flowchart: Document 1">
          <a:extLst>
            <a:ext uri="{FF2B5EF4-FFF2-40B4-BE49-F238E27FC236}">
              <a16:creationId xmlns:a16="http://schemas.microsoft.com/office/drawing/2014/main" id="{DE23AEBE-4856-4DAF-B088-F70A60CAF5F1}"/>
            </a:ext>
          </a:extLst>
        </xdr:cNvPr>
        <xdr:cNvSpPr/>
      </xdr:nvSpPr>
      <xdr:spPr>
        <a:xfrm>
          <a:off x="337457" y="4270376"/>
          <a:ext cx="10054587" cy="13835062"/>
        </a:xfrm>
        <a:prstGeom prst="flowChartDocumen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14</xdr:col>
      <xdr:colOff>53603</xdr:colOff>
      <xdr:row>15</xdr:row>
      <xdr:rowOff>30993</xdr:rowOff>
    </xdr:from>
    <xdr:to>
      <xdr:col>20</xdr:col>
      <xdr:colOff>87311</xdr:colOff>
      <xdr:row>62</xdr:row>
      <xdr:rowOff>150055</xdr:rowOff>
    </xdr:to>
    <xdr:sp macro="" textlink="">
      <xdr:nvSpPr>
        <xdr:cNvPr id="3" name="Rectangle 2">
          <a:extLst>
            <a:ext uri="{FF2B5EF4-FFF2-40B4-BE49-F238E27FC236}">
              <a16:creationId xmlns:a16="http://schemas.microsoft.com/office/drawing/2014/main" id="{FE764F66-8992-4599-87F7-551F4E07ED4F}"/>
            </a:ext>
          </a:extLst>
        </xdr:cNvPr>
        <xdr:cNvSpPr/>
      </xdr:nvSpPr>
      <xdr:spPr>
        <a:xfrm>
          <a:off x="10410453" y="4279143"/>
          <a:ext cx="3913558" cy="12914312"/>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xdr:col>
      <xdr:colOff>49867</xdr:colOff>
      <xdr:row>22</xdr:row>
      <xdr:rowOff>95571</xdr:rowOff>
    </xdr:from>
    <xdr:to>
      <xdr:col>2</xdr:col>
      <xdr:colOff>48130</xdr:colOff>
      <xdr:row>22</xdr:row>
      <xdr:rowOff>342677</xdr:rowOff>
    </xdr:to>
    <xdr:sp macro="" textlink="">
      <xdr:nvSpPr>
        <xdr:cNvPr id="4" name="Rounded Rectangle 3">
          <a:extLst>
            <a:ext uri="{FF2B5EF4-FFF2-40B4-BE49-F238E27FC236}">
              <a16:creationId xmlns:a16="http://schemas.microsoft.com/office/drawing/2014/main" id="{8BEDA20D-8673-4481-8CBA-4BF2521BD543}"/>
            </a:ext>
          </a:extLst>
        </xdr:cNvPr>
        <xdr:cNvSpPr/>
      </xdr:nvSpPr>
      <xdr:spPr>
        <a:xfrm>
          <a:off x="532467" y="5994721"/>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5</a:t>
          </a:r>
        </a:p>
      </xdr:txBody>
    </xdr:sp>
    <xdr:clientData/>
  </xdr:twoCellAnchor>
  <xdr:twoCellAnchor>
    <xdr:from>
      <xdr:col>1</xdr:col>
      <xdr:colOff>49867</xdr:colOff>
      <xdr:row>30</xdr:row>
      <xdr:rowOff>73480</xdr:rowOff>
    </xdr:from>
    <xdr:to>
      <xdr:col>2</xdr:col>
      <xdr:colOff>48130</xdr:colOff>
      <xdr:row>30</xdr:row>
      <xdr:rowOff>320586</xdr:rowOff>
    </xdr:to>
    <xdr:sp macro="" textlink="">
      <xdr:nvSpPr>
        <xdr:cNvPr id="5" name="Rounded Rectangle 4">
          <a:extLst>
            <a:ext uri="{FF2B5EF4-FFF2-40B4-BE49-F238E27FC236}">
              <a16:creationId xmlns:a16="http://schemas.microsoft.com/office/drawing/2014/main" id="{C38E5B9F-1995-4291-90F5-C6F2868DE807}"/>
            </a:ext>
          </a:extLst>
        </xdr:cNvPr>
        <xdr:cNvSpPr/>
      </xdr:nvSpPr>
      <xdr:spPr>
        <a:xfrm>
          <a:off x="532467" y="7464880"/>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9</a:t>
          </a:r>
        </a:p>
      </xdr:txBody>
    </xdr:sp>
    <xdr:clientData/>
  </xdr:twoCellAnchor>
  <xdr:twoCellAnchor>
    <xdr:from>
      <xdr:col>1</xdr:col>
      <xdr:colOff>49867</xdr:colOff>
      <xdr:row>32</xdr:row>
      <xdr:rowOff>85005</xdr:rowOff>
    </xdr:from>
    <xdr:to>
      <xdr:col>2</xdr:col>
      <xdr:colOff>48130</xdr:colOff>
      <xdr:row>32</xdr:row>
      <xdr:rowOff>332111</xdr:rowOff>
    </xdr:to>
    <xdr:sp macro="" textlink="">
      <xdr:nvSpPr>
        <xdr:cNvPr id="6" name="Rounded Rectangle 5">
          <a:extLst>
            <a:ext uri="{FF2B5EF4-FFF2-40B4-BE49-F238E27FC236}">
              <a16:creationId xmlns:a16="http://schemas.microsoft.com/office/drawing/2014/main" id="{6D005121-C632-4E55-B376-BBD9E64902C1}"/>
            </a:ext>
          </a:extLst>
        </xdr:cNvPr>
        <xdr:cNvSpPr/>
      </xdr:nvSpPr>
      <xdr:spPr>
        <a:xfrm>
          <a:off x="532467" y="795900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10</a:t>
          </a:r>
        </a:p>
      </xdr:txBody>
    </xdr:sp>
    <xdr:clientData/>
  </xdr:twoCellAnchor>
  <xdr:twoCellAnchor>
    <xdr:from>
      <xdr:col>1</xdr:col>
      <xdr:colOff>49867</xdr:colOff>
      <xdr:row>34</xdr:row>
      <xdr:rowOff>139755</xdr:rowOff>
    </xdr:from>
    <xdr:to>
      <xdr:col>2</xdr:col>
      <xdr:colOff>48130</xdr:colOff>
      <xdr:row>34</xdr:row>
      <xdr:rowOff>371621</xdr:rowOff>
    </xdr:to>
    <xdr:sp macro="" textlink="">
      <xdr:nvSpPr>
        <xdr:cNvPr id="7" name="Rounded Rectangle 6">
          <a:extLst>
            <a:ext uri="{FF2B5EF4-FFF2-40B4-BE49-F238E27FC236}">
              <a16:creationId xmlns:a16="http://schemas.microsoft.com/office/drawing/2014/main" id="{188DFD08-6741-493A-B6C6-5A77BEA1B0E5}"/>
            </a:ext>
          </a:extLst>
        </xdr:cNvPr>
        <xdr:cNvSpPr/>
      </xdr:nvSpPr>
      <xdr:spPr>
        <a:xfrm>
          <a:off x="532467" y="8496355"/>
          <a:ext cx="214163" cy="23186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11</a:t>
          </a:r>
        </a:p>
      </xdr:txBody>
    </xdr:sp>
    <xdr:clientData/>
  </xdr:twoCellAnchor>
  <xdr:twoCellAnchor>
    <xdr:from>
      <xdr:col>1</xdr:col>
      <xdr:colOff>49867</xdr:colOff>
      <xdr:row>36</xdr:row>
      <xdr:rowOff>107098</xdr:rowOff>
    </xdr:from>
    <xdr:to>
      <xdr:col>2</xdr:col>
      <xdr:colOff>48130</xdr:colOff>
      <xdr:row>36</xdr:row>
      <xdr:rowOff>354204</xdr:rowOff>
    </xdr:to>
    <xdr:sp macro="" textlink="">
      <xdr:nvSpPr>
        <xdr:cNvPr id="9" name="Rounded Rectangle 8">
          <a:extLst>
            <a:ext uri="{FF2B5EF4-FFF2-40B4-BE49-F238E27FC236}">
              <a16:creationId xmlns:a16="http://schemas.microsoft.com/office/drawing/2014/main" id="{F3A34BC2-23CB-4216-88EC-0F2D8239603C}"/>
            </a:ext>
          </a:extLst>
        </xdr:cNvPr>
        <xdr:cNvSpPr/>
      </xdr:nvSpPr>
      <xdr:spPr>
        <a:xfrm>
          <a:off x="532467" y="9009798"/>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12</a:t>
          </a:r>
        </a:p>
      </xdr:txBody>
    </xdr:sp>
    <xdr:clientData/>
  </xdr:twoCellAnchor>
  <xdr:twoCellAnchor>
    <xdr:from>
      <xdr:col>1</xdr:col>
      <xdr:colOff>68852</xdr:colOff>
      <xdr:row>12</xdr:row>
      <xdr:rowOff>128453</xdr:rowOff>
    </xdr:from>
    <xdr:to>
      <xdr:col>2</xdr:col>
      <xdr:colOff>67115</xdr:colOff>
      <xdr:row>12</xdr:row>
      <xdr:rowOff>375559</xdr:rowOff>
    </xdr:to>
    <xdr:sp macro="" textlink="">
      <xdr:nvSpPr>
        <xdr:cNvPr id="10" name="Rounded Rectangle 9">
          <a:extLst>
            <a:ext uri="{FF2B5EF4-FFF2-40B4-BE49-F238E27FC236}">
              <a16:creationId xmlns:a16="http://schemas.microsoft.com/office/drawing/2014/main" id="{0F1D306F-43E5-4E51-8C96-13A896D01994}"/>
            </a:ext>
          </a:extLst>
        </xdr:cNvPr>
        <xdr:cNvSpPr/>
      </xdr:nvSpPr>
      <xdr:spPr>
        <a:xfrm>
          <a:off x="551452" y="3627303"/>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a:t>
          </a:r>
        </a:p>
      </xdr:txBody>
    </xdr:sp>
    <xdr:clientData/>
  </xdr:twoCellAnchor>
  <xdr:twoCellAnchor editAs="absolute">
    <xdr:from>
      <xdr:col>0</xdr:col>
      <xdr:colOff>458847</xdr:colOff>
      <xdr:row>59</xdr:row>
      <xdr:rowOff>7289</xdr:rowOff>
    </xdr:from>
    <xdr:to>
      <xdr:col>4</xdr:col>
      <xdr:colOff>704295</xdr:colOff>
      <xdr:row>60</xdr:row>
      <xdr:rowOff>180927</xdr:rowOff>
    </xdr:to>
    <xdr:pic>
      <xdr:nvPicPr>
        <xdr:cNvPr id="11" name="Picture 10" descr="http://www.rogerszone.com/En/MyCompany/SharedServices/Brand/ImagesBrand/Rogers_tm-mc_rgb.jpg">
          <a:extLst>
            <a:ext uri="{FF2B5EF4-FFF2-40B4-BE49-F238E27FC236}">
              <a16:creationId xmlns:a16="http://schemas.microsoft.com/office/drawing/2014/main" id="{D63AD296-3DA7-4393-856F-8EC840639D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085" y="15300074"/>
          <a:ext cx="3018810" cy="614566"/>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49867</xdr:colOff>
      <xdr:row>17</xdr:row>
      <xdr:rowOff>122465</xdr:rowOff>
    </xdr:from>
    <xdr:to>
      <xdr:col>2</xdr:col>
      <xdr:colOff>48130</xdr:colOff>
      <xdr:row>17</xdr:row>
      <xdr:rowOff>369571</xdr:rowOff>
    </xdr:to>
    <xdr:sp macro="" textlink="">
      <xdr:nvSpPr>
        <xdr:cNvPr id="12" name="Rounded Rectangle 11">
          <a:extLst>
            <a:ext uri="{FF2B5EF4-FFF2-40B4-BE49-F238E27FC236}">
              <a16:creationId xmlns:a16="http://schemas.microsoft.com/office/drawing/2014/main" id="{8216C3AB-5779-4019-BDEC-D0CBD690BE7B}"/>
            </a:ext>
          </a:extLst>
        </xdr:cNvPr>
        <xdr:cNvSpPr/>
      </xdr:nvSpPr>
      <xdr:spPr>
        <a:xfrm>
          <a:off x="532467" y="480241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2</a:t>
          </a:r>
        </a:p>
      </xdr:txBody>
    </xdr:sp>
    <xdr:clientData/>
  </xdr:twoCellAnchor>
  <xdr:twoCellAnchor>
    <xdr:from>
      <xdr:col>1</xdr:col>
      <xdr:colOff>49867</xdr:colOff>
      <xdr:row>20</xdr:row>
      <xdr:rowOff>149599</xdr:rowOff>
    </xdr:from>
    <xdr:to>
      <xdr:col>2</xdr:col>
      <xdr:colOff>48130</xdr:colOff>
      <xdr:row>20</xdr:row>
      <xdr:rowOff>396705</xdr:rowOff>
    </xdr:to>
    <xdr:sp macro="" textlink="">
      <xdr:nvSpPr>
        <xdr:cNvPr id="13" name="Rounded Rectangle 12">
          <a:extLst>
            <a:ext uri="{FF2B5EF4-FFF2-40B4-BE49-F238E27FC236}">
              <a16:creationId xmlns:a16="http://schemas.microsoft.com/office/drawing/2014/main" id="{A0E32791-0C19-4603-A80A-14758EBFA2F2}"/>
            </a:ext>
          </a:extLst>
        </xdr:cNvPr>
        <xdr:cNvSpPr/>
      </xdr:nvSpPr>
      <xdr:spPr>
        <a:xfrm>
          <a:off x="532467" y="54391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4</a:t>
          </a:r>
        </a:p>
      </xdr:txBody>
    </xdr:sp>
    <xdr:clientData/>
  </xdr:twoCellAnchor>
  <xdr:twoCellAnchor>
    <xdr:from>
      <xdr:col>0</xdr:col>
      <xdr:colOff>330974</xdr:colOff>
      <xdr:row>2</xdr:row>
      <xdr:rowOff>337958</xdr:rowOff>
    </xdr:from>
    <xdr:to>
      <xdr:col>20</xdr:col>
      <xdr:colOff>130267</xdr:colOff>
      <xdr:row>13</xdr:row>
      <xdr:rowOff>181076</xdr:rowOff>
    </xdr:to>
    <xdr:sp macro="" textlink="">
      <xdr:nvSpPr>
        <xdr:cNvPr id="14" name="Rectangle 13">
          <a:extLst>
            <a:ext uri="{FF2B5EF4-FFF2-40B4-BE49-F238E27FC236}">
              <a16:creationId xmlns:a16="http://schemas.microsoft.com/office/drawing/2014/main" id="{0747B69F-D0C9-4E1F-946B-E3782FE888B3}"/>
            </a:ext>
          </a:extLst>
        </xdr:cNvPr>
        <xdr:cNvSpPr/>
      </xdr:nvSpPr>
      <xdr:spPr>
        <a:xfrm>
          <a:off x="330974" y="782458"/>
          <a:ext cx="14035993" cy="3291168"/>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7</xdr:col>
      <xdr:colOff>16934</xdr:colOff>
      <xdr:row>17</xdr:row>
      <xdr:rowOff>80434</xdr:rowOff>
    </xdr:from>
    <xdr:to>
      <xdr:col>8</xdr:col>
      <xdr:colOff>77638</xdr:colOff>
      <xdr:row>17</xdr:row>
      <xdr:rowOff>327540</xdr:rowOff>
    </xdr:to>
    <xdr:sp macro="" textlink="">
      <xdr:nvSpPr>
        <xdr:cNvPr id="16" name="Rounded Rectangle 18">
          <a:extLst>
            <a:ext uri="{FF2B5EF4-FFF2-40B4-BE49-F238E27FC236}">
              <a16:creationId xmlns:a16="http://schemas.microsoft.com/office/drawing/2014/main" id="{2266C21F-B9C8-46F1-858D-F34FA330643C}"/>
            </a:ext>
          </a:extLst>
        </xdr:cNvPr>
        <xdr:cNvSpPr/>
      </xdr:nvSpPr>
      <xdr:spPr>
        <a:xfrm>
          <a:off x="5706534" y="4760384"/>
          <a:ext cx="175004"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3</a:t>
          </a:r>
        </a:p>
      </xdr:txBody>
    </xdr:sp>
    <xdr:clientData/>
  </xdr:twoCellAnchor>
  <xdr:twoCellAnchor>
    <xdr:from>
      <xdr:col>1</xdr:col>
      <xdr:colOff>49867</xdr:colOff>
      <xdr:row>26</xdr:row>
      <xdr:rowOff>75239</xdr:rowOff>
    </xdr:from>
    <xdr:to>
      <xdr:col>2</xdr:col>
      <xdr:colOff>48130</xdr:colOff>
      <xdr:row>26</xdr:row>
      <xdr:rowOff>322345</xdr:rowOff>
    </xdr:to>
    <xdr:sp macro="" textlink="">
      <xdr:nvSpPr>
        <xdr:cNvPr id="18" name="Rounded Rectangle 21">
          <a:extLst>
            <a:ext uri="{FF2B5EF4-FFF2-40B4-BE49-F238E27FC236}">
              <a16:creationId xmlns:a16="http://schemas.microsoft.com/office/drawing/2014/main" id="{F07E8D8E-6B1A-43AD-A68A-116C69028F75}"/>
            </a:ext>
          </a:extLst>
        </xdr:cNvPr>
        <xdr:cNvSpPr/>
      </xdr:nvSpPr>
      <xdr:spPr>
        <a:xfrm>
          <a:off x="532467" y="650143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7</a:t>
          </a:r>
        </a:p>
      </xdr:txBody>
    </xdr:sp>
    <xdr:clientData/>
  </xdr:twoCellAnchor>
  <xdr:twoCellAnchor>
    <xdr:from>
      <xdr:col>1</xdr:col>
      <xdr:colOff>49867</xdr:colOff>
      <xdr:row>28</xdr:row>
      <xdr:rowOff>92849</xdr:rowOff>
    </xdr:from>
    <xdr:to>
      <xdr:col>2</xdr:col>
      <xdr:colOff>48130</xdr:colOff>
      <xdr:row>28</xdr:row>
      <xdr:rowOff>339955</xdr:rowOff>
    </xdr:to>
    <xdr:sp macro="" textlink="">
      <xdr:nvSpPr>
        <xdr:cNvPr id="19" name="Rounded Rectangle 22">
          <a:extLst>
            <a:ext uri="{FF2B5EF4-FFF2-40B4-BE49-F238E27FC236}">
              <a16:creationId xmlns:a16="http://schemas.microsoft.com/office/drawing/2014/main" id="{79DC13AB-FC1A-42F8-B844-C6F7EFF6D590}"/>
            </a:ext>
          </a:extLst>
        </xdr:cNvPr>
        <xdr:cNvSpPr/>
      </xdr:nvSpPr>
      <xdr:spPr>
        <a:xfrm>
          <a:off x="532467" y="70016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8</a:t>
          </a:r>
        </a:p>
      </xdr:txBody>
    </xdr:sp>
    <xdr:clientData/>
  </xdr:twoCellAnchor>
  <xdr:twoCellAnchor>
    <xdr:from>
      <xdr:col>1</xdr:col>
      <xdr:colOff>49867</xdr:colOff>
      <xdr:row>38</xdr:row>
      <xdr:rowOff>78441</xdr:rowOff>
    </xdr:from>
    <xdr:to>
      <xdr:col>2</xdr:col>
      <xdr:colOff>48130</xdr:colOff>
      <xdr:row>38</xdr:row>
      <xdr:rowOff>325547</xdr:rowOff>
    </xdr:to>
    <xdr:sp macro="" textlink="">
      <xdr:nvSpPr>
        <xdr:cNvPr id="20" name="Rounded Rectangle 23">
          <a:extLst>
            <a:ext uri="{FF2B5EF4-FFF2-40B4-BE49-F238E27FC236}">
              <a16:creationId xmlns:a16="http://schemas.microsoft.com/office/drawing/2014/main" id="{59150FC8-B8D8-4F11-863B-26AE5F5ABFC3}"/>
            </a:ext>
          </a:extLst>
        </xdr:cNvPr>
        <xdr:cNvSpPr/>
      </xdr:nvSpPr>
      <xdr:spPr>
        <a:xfrm>
          <a:off x="532467" y="10911541"/>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13</a:t>
          </a:r>
        </a:p>
      </xdr:txBody>
    </xdr:sp>
    <xdr:clientData/>
  </xdr:twoCellAnchor>
  <xdr:twoCellAnchor>
    <xdr:from>
      <xdr:col>1</xdr:col>
      <xdr:colOff>67236</xdr:colOff>
      <xdr:row>40</xdr:row>
      <xdr:rowOff>78442</xdr:rowOff>
    </xdr:from>
    <xdr:to>
      <xdr:col>2</xdr:col>
      <xdr:colOff>65499</xdr:colOff>
      <xdr:row>40</xdr:row>
      <xdr:rowOff>325548</xdr:rowOff>
    </xdr:to>
    <xdr:sp macro="" textlink="">
      <xdr:nvSpPr>
        <xdr:cNvPr id="21" name="Rounded Rectangle 25">
          <a:extLst>
            <a:ext uri="{FF2B5EF4-FFF2-40B4-BE49-F238E27FC236}">
              <a16:creationId xmlns:a16="http://schemas.microsoft.com/office/drawing/2014/main" id="{C96943C3-8953-4C43-B4E1-F25C1B4FD5E2}"/>
            </a:ext>
          </a:extLst>
        </xdr:cNvPr>
        <xdr:cNvSpPr/>
      </xdr:nvSpPr>
      <xdr:spPr>
        <a:xfrm>
          <a:off x="551424" y="10992505"/>
          <a:ext cx="212575"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14</a:t>
          </a:r>
        </a:p>
      </xdr:txBody>
    </xdr:sp>
    <xdr:clientData/>
  </xdr:twoCellAnchor>
  <xdr:twoCellAnchor>
    <xdr:from>
      <xdr:col>1</xdr:col>
      <xdr:colOff>81617</xdr:colOff>
      <xdr:row>42</xdr:row>
      <xdr:rowOff>7004</xdr:rowOff>
    </xdr:from>
    <xdr:to>
      <xdr:col>2</xdr:col>
      <xdr:colOff>79880</xdr:colOff>
      <xdr:row>43</xdr:row>
      <xdr:rowOff>110</xdr:rowOff>
    </xdr:to>
    <xdr:sp macro="" textlink="">
      <xdr:nvSpPr>
        <xdr:cNvPr id="22" name="Rounded Rectangle 26">
          <a:extLst>
            <a:ext uri="{FF2B5EF4-FFF2-40B4-BE49-F238E27FC236}">
              <a16:creationId xmlns:a16="http://schemas.microsoft.com/office/drawing/2014/main" id="{F10E9F79-6853-42E4-A38C-F66628188BAA}"/>
            </a:ext>
          </a:extLst>
        </xdr:cNvPr>
        <xdr:cNvSpPr/>
      </xdr:nvSpPr>
      <xdr:spPr>
        <a:xfrm>
          <a:off x="565805" y="11595754"/>
          <a:ext cx="212575"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15</a:t>
          </a:r>
        </a:p>
      </xdr:txBody>
    </xdr:sp>
    <xdr:clientData/>
  </xdr:twoCellAnchor>
  <xdr:twoCellAnchor>
    <xdr:from>
      <xdr:col>1</xdr:col>
      <xdr:colOff>49867</xdr:colOff>
      <xdr:row>24</xdr:row>
      <xdr:rowOff>84686</xdr:rowOff>
    </xdr:from>
    <xdr:to>
      <xdr:col>2</xdr:col>
      <xdr:colOff>48130</xdr:colOff>
      <xdr:row>24</xdr:row>
      <xdr:rowOff>331792</xdr:rowOff>
    </xdr:to>
    <xdr:sp macro="" textlink="">
      <xdr:nvSpPr>
        <xdr:cNvPr id="24" name="Rounded Rectangle 17">
          <a:extLst>
            <a:ext uri="{FF2B5EF4-FFF2-40B4-BE49-F238E27FC236}">
              <a16:creationId xmlns:a16="http://schemas.microsoft.com/office/drawing/2014/main" id="{238AF5EF-E848-4DC3-8985-A467C3D74D78}"/>
            </a:ext>
          </a:extLst>
        </xdr:cNvPr>
        <xdr:cNvSpPr/>
      </xdr:nvSpPr>
      <xdr:spPr>
        <a:xfrm>
          <a:off x="534055" y="10030374"/>
          <a:ext cx="212575"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6</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337457</xdr:colOff>
      <xdr:row>15</xdr:row>
      <xdr:rowOff>1</xdr:rowOff>
    </xdr:from>
    <xdr:to>
      <xdr:col>14</xdr:col>
      <xdr:colOff>49481</xdr:colOff>
      <xdr:row>71</xdr:row>
      <xdr:rowOff>71438</xdr:rowOff>
    </xdr:to>
    <xdr:sp macro="" textlink="">
      <xdr:nvSpPr>
        <xdr:cNvPr id="2" name="Flowchart: Document 1">
          <a:extLst>
            <a:ext uri="{FF2B5EF4-FFF2-40B4-BE49-F238E27FC236}">
              <a16:creationId xmlns:a16="http://schemas.microsoft.com/office/drawing/2014/main" id="{C22BD9F6-4370-4ED1-90C8-4D8712B78463}"/>
            </a:ext>
          </a:extLst>
        </xdr:cNvPr>
        <xdr:cNvSpPr/>
      </xdr:nvSpPr>
      <xdr:spPr>
        <a:xfrm>
          <a:off x="337457" y="4248151"/>
          <a:ext cx="10068874" cy="13850937"/>
        </a:xfrm>
        <a:prstGeom prst="flowChartDocumen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14</xdr:col>
      <xdr:colOff>53603</xdr:colOff>
      <xdr:row>15</xdr:row>
      <xdr:rowOff>30993</xdr:rowOff>
    </xdr:from>
    <xdr:to>
      <xdr:col>20</xdr:col>
      <xdr:colOff>87311</xdr:colOff>
      <xdr:row>62</xdr:row>
      <xdr:rowOff>150055</xdr:rowOff>
    </xdr:to>
    <xdr:sp macro="" textlink="">
      <xdr:nvSpPr>
        <xdr:cNvPr id="3" name="Rectangle 2">
          <a:extLst>
            <a:ext uri="{FF2B5EF4-FFF2-40B4-BE49-F238E27FC236}">
              <a16:creationId xmlns:a16="http://schemas.microsoft.com/office/drawing/2014/main" id="{DD451866-DF40-4BC2-83F6-42DEA0E899B7}"/>
            </a:ext>
          </a:extLst>
        </xdr:cNvPr>
        <xdr:cNvSpPr/>
      </xdr:nvSpPr>
      <xdr:spPr>
        <a:xfrm>
          <a:off x="10410453" y="4279143"/>
          <a:ext cx="3913558" cy="12298362"/>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xdr:col>
      <xdr:colOff>49867</xdr:colOff>
      <xdr:row>22</xdr:row>
      <xdr:rowOff>95571</xdr:rowOff>
    </xdr:from>
    <xdr:to>
      <xdr:col>2</xdr:col>
      <xdr:colOff>48130</xdr:colOff>
      <xdr:row>22</xdr:row>
      <xdr:rowOff>342677</xdr:rowOff>
    </xdr:to>
    <xdr:sp macro="" textlink="">
      <xdr:nvSpPr>
        <xdr:cNvPr id="4" name="Rounded Rectangle 3">
          <a:extLst>
            <a:ext uri="{FF2B5EF4-FFF2-40B4-BE49-F238E27FC236}">
              <a16:creationId xmlns:a16="http://schemas.microsoft.com/office/drawing/2014/main" id="{E960618F-9E73-4D5C-9200-36E8509E1DFF}"/>
            </a:ext>
          </a:extLst>
        </xdr:cNvPr>
        <xdr:cNvSpPr/>
      </xdr:nvSpPr>
      <xdr:spPr>
        <a:xfrm>
          <a:off x="532467" y="5994721"/>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5</a:t>
          </a:r>
        </a:p>
      </xdr:txBody>
    </xdr:sp>
    <xdr:clientData/>
  </xdr:twoCellAnchor>
  <xdr:twoCellAnchor>
    <xdr:from>
      <xdr:col>1</xdr:col>
      <xdr:colOff>49867</xdr:colOff>
      <xdr:row>30</xdr:row>
      <xdr:rowOff>73480</xdr:rowOff>
    </xdr:from>
    <xdr:to>
      <xdr:col>2</xdr:col>
      <xdr:colOff>48130</xdr:colOff>
      <xdr:row>30</xdr:row>
      <xdr:rowOff>320586</xdr:rowOff>
    </xdr:to>
    <xdr:sp macro="" textlink="">
      <xdr:nvSpPr>
        <xdr:cNvPr id="5" name="Rounded Rectangle 4">
          <a:extLst>
            <a:ext uri="{FF2B5EF4-FFF2-40B4-BE49-F238E27FC236}">
              <a16:creationId xmlns:a16="http://schemas.microsoft.com/office/drawing/2014/main" id="{C994D24D-4148-4368-92E9-DC7A56209B2B}"/>
            </a:ext>
          </a:extLst>
        </xdr:cNvPr>
        <xdr:cNvSpPr/>
      </xdr:nvSpPr>
      <xdr:spPr>
        <a:xfrm>
          <a:off x="532467" y="7998280"/>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9</a:t>
          </a:r>
        </a:p>
      </xdr:txBody>
    </xdr:sp>
    <xdr:clientData/>
  </xdr:twoCellAnchor>
  <xdr:twoCellAnchor>
    <xdr:from>
      <xdr:col>1</xdr:col>
      <xdr:colOff>49867</xdr:colOff>
      <xdr:row>32</xdr:row>
      <xdr:rowOff>85005</xdr:rowOff>
    </xdr:from>
    <xdr:to>
      <xdr:col>2</xdr:col>
      <xdr:colOff>48130</xdr:colOff>
      <xdr:row>32</xdr:row>
      <xdr:rowOff>332111</xdr:rowOff>
    </xdr:to>
    <xdr:sp macro="" textlink="">
      <xdr:nvSpPr>
        <xdr:cNvPr id="6" name="Rounded Rectangle 5">
          <a:extLst>
            <a:ext uri="{FF2B5EF4-FFF2-40B4-BE49-F238E27FC236}">
              <a16:creationId xmlns:a16="http://schemas.microsoft.com/office/drawing/2014/main" id="{3A845E00-DB57-4DA6-98FD-B1DAEB919F21}"/>
            </a:ext>
          </a:extLst>
        </xdr:cNvPr>
        <xdr:cNvSpPr/>
      </xdr:nvSpPr>
      <xdr:spPr>
        <a:xfrm>
          <a:off x="532467" y="849240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10</a:t>
          </a:r>
        </a:p>
      </xdr:txBody>
    </xdr:sp>
    <xdr:clientData/>
  </xdr:twoCellAnchor>
  <xdr:twoCellAnchor>
    <xdr:from>
      <xdr:col>1</xdr:col>
      <xdr:colOff>49867</xdr:colOff>
      <xdr:row>34</xdr:row>
      <xdr:rowOff>139755</xdr:rowOff>
    </xdr:from>
    <xdr:to>
      <xdr:col>2</xdr:col>
      <xdr:colOff>48130</xdr:colOff>
      <xdr:row>34</xdr:row>
      <xdr:rowOff>371621</xdr:rowOff>
    </xdr:to>
    <xdr:sp macro="" textlink="">
      <xdr:nvSpPr>
        <xdr:cNvPr id="7" name="Rounded Rectangle 6">
          <a:extLst>
            <a:ext uri="{FF2B5EF4-FFF2-40B4-BE49-F238E27FC236}">
              <a16:creationId xmlns:a16="http://schemas.microsoft.com/office/drawing/2014/main" id="{B1B5484D-FDBC-47E4-BA28-2D98A103ADB2}"/>
            </a:ext>
          </a:extLst>
        </xdr:cNvPr>
        <xdr:cNvSpPr/>
      </xdr:nvSpPr>
      <xdr:spPr>
        <a:xfrm>
          <a:off x="532467" y="9029755"/>
          <a:ext cx="214163" cy="23186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11</a:t>
          </a:r>
        </a:p>
      </xdr:txBody>
    </xdr:sp>
    <xdr:clientData/>
  </xdr:twoCellAnchor>
  <xdr:twoCellAnchor>
    <xdr:from>
      <xdr:col>1</xdr:col>
      <xdr:colOff>49867</xdr:colOff>
      <xdr:row>36</xdr:row>
      <xdr:rowOff>107098</xdr:rowOff>
    </xdr:from>
    <xdr:to>
      <xdr:col>2</xdr:col>
      <xdr:colOff>48130</xdr:colOff>
      <xdr:row>36</xdr:row>
      <xdr:rowOff>354204</xdr:rowOff>
    </xdr:to>
    <xdr:sp macro="" textlink="">
      <xdr:nvSpPr>
        <xdr:cNvPr id="8" name="Rounded Rectangle 8">
          <a:extLst>
            <a:ext uri="{FF2B5EF4-FFF2-40B4-BE49-F238E27FC236}">
              <a16:creationId xmlns:a16="http://schemas.microsoft.com/office/drawing/2014/main" id="{F9DFCE43-B799-45F1-8B3E-CC82496D30E5}"/>
            </a:ext>
          </a:extLst>
        </xdr:cNvPr>
        <xdr:cNvSpPr/>
      </xdr:nvSpPr>
      <xdr:spPr>
        <a:xfrm>
          <a:off x="532467" y="9543198"/>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12</a:t>
          </a:r>
        </a:p>
      </xdr:txBody>
    </xdr:sp>
    <xdr:clientData/>
  </xdr:twoCellAnchor>
  <xdr:twoCellAnchor>
    <xdr:from>
      <xdr:col>1</xdr:col>
      <xdr:colOff>68852</xdr:colOff>
      <xdr:row>12</xdr:row>
      <xdr:rowOff>128453</xdr:rowOff>
    </xdr:from>
    <xdr:to>
      <xdr:col>2</xdr:col>
      <xdr:colOff>67115</xdr:colOff>
      <xdr:row>12</xdr:row>
      <xdr:rowOff>375559</xdr:rowOff>
    </xdr:to>
    <xdr:sp macro="" textlink="">
      <xdr:nvSpPr>
        <xdr:cNvPr id="9" name="Rounded Rectangle 9">
          <a:extLst>
            <a:ext uri="{FF2B5EF4-FFF2-40B4-BE49-F238E27FC236}">
              <a16:creationId xmlns:a16="http://schemas.microsoft.com/office/drawing/2014/main" id="{A8DF3633-FC27-4327-9BE0-86B024C95F34}"/>
            </a:ext>
          </a:extLst>
        </xdr:cNvPr>
        <xdr:cNvSpPr/>
      </xdr:nvSpPr>
      <xdr:spPr>
        <a:xfrm>
          <a:off x="551452" y="3627303"/>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a:t>
          </a:r>
        </a:p>
      </xdr:txBody>
    </xdr:sp>
    <xdr:clientData/>
  </xdr:twoCellAnchor>
  <xdr:twoCellAnchor editAs="absolute">
    <xdr:from>
      <xdr:col>0</xdr:col>
      <xdr:colOff>454085</xdr:colOff>
      <xdr:row>59</xdr:row>
      <xdr:rowOff>48961</xdr:rowOff>
    </xdr:from>
    <xdr:to>
      <xdr:col>4</xdr:col>
      <xdr:colOff>704295</xdr:colOff>
      <xdr:row>61</xdr:row>
      <xdr:rowOff>31702</xdr:rowOff>
    </xdr:to>
    <xdr:pic>
      <xdr:nvPicPr>
        <xdr:cNvPr id="10" name="Picture 9" descr="http://www.rogerszone.com/En/MyCompany/SharedServices/Brand/ImagesBrand/Rogers_tm-mc_rgb.jpg">
          <a:extLst>
            <a:ext uri="{FF2B5EF4-FFF2-40B4-BE49-F238E27FC236}">
              <a16:creationId xmlns:a16="http://schemas.microsoft.com/office/drawing/2014/main" id="{0799B058-F992-4A5F-9838-7E69B9B6D4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085" y="15300074"/>
          <a:ext cx="3018810" cy="61774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49867</xdr:colOff>
      <xdr:row>17</xdr:row>
      <xdr:rowOff>122465</xdr:rowOff>
    </xdr:from>
    <xdr:to>
      <xdr:col>2</xdr:col>
      <xdr:colOff>48130</xdr:colOff>
      <xdr:row>17</xdr:row>
      <xdr:rowOff>369571</xdr:rowOff>
    </xdr:to>
    <xdr:sp macro="" textlink="">
      <xdr:nvSpPr>
        <xdr:cNvPr id="11" name="Rounded Rectangle 11">
          <a:extLst>
            <a:ext uri="{FF2B5EF4-FFF2-40B4-BE49-F238E27FC236}">
              <a16:creationId xmlns:a16="http://schemas.microsoft.com/office/drawing/2014/main" id="{C041E382-5059-40DB-A7DA-03AEB7C29CC4}"/>
            </a:ext>
          </a:extLst>
        </xdr:cNvPr>
        <xdr:cNvSpPr/>
      </xdr:nvSpPr>
      <xdr:spPr>
        <a:xfrm>
          <a:off x="532467" y="480241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2</a:t>
          </a:r>
        </a:p>
      </xdr:txBody>
    </xdr:sp>
    <xdr:clientData/>
  </xdr:twoCellAnchor>
  <xdr:twoCellAnchor>
    <xdr:from>
      <xdr:col>1</xdr:col>
      <xdr:colOff>49867</xdr:colOff>
      <xdr:row>20</xdr:row>
      <xdr:rowOff>149599</xdr:rowOff>
    </xdr:from>
    <xdr:to>
      <xdr:col>2</xdr:col>
      <xdr:colOff>48130</xdr:colOff>
      <xdr:row>20</xdr:row>
      <xdr:rowOff>396705</xdr:rowOff>
    </xdr:to>
    <xdr:sp macro="" textlink="">
      <xdr:nvSpPr>
        <xdr:cNvPr id="12" name="Rounded Rectangle 12">
          <a:extLst>
            <a:ext uri="{FF2B5EF4-FFF2-40B4-BE49-F238E27FC236}">
              <a16:creationId xmlns:a16="http://schemas.microsoft.com/office/drawing/2014/main" id="{C88B050D-7C92-4B35-A6FB-F6C57D5996C7}"/>
            </a:ext>
          </a:extLst>
        </xdr:cNvPr>
        <xdr:cNvSpPr/>
      </xdr:nvSpPr>
      <xdr:spPr>
        <a:xfrm>
          <a:off x="532467" y="54391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4</a:t>
          </a:r>
        </a:p>
      </xdr:txBody>
    </xdr:sp>
    <xdr:clientData/>
  </xdr:twoCellAnchor>
  <xdr:twoCellAnchor>
    <xdr:from>
      <xdr:col>0</xdr:col>
      <xdr:colOff>330974</xdr:colOff>
      <xdr:row>2</xdr:row>
      <xdr:rowOff>337958</xdr:rowOff>
    </xdr:from>
    <xdr:to>
      <xdr:col>20</xdr:col>
      <xdr:colOff>130267</xdr:colOff>
      <xdr:row>13</xdr:row>
      <xdr:rowOff>181076</xdr:rowOff>
    </xdr:to>
    <xdr:sp macro="" textlink="">
      <xdr:nvSpPr>
        <xdr:cNvPr id="13" name="Rectangle 12">
          <a:extLst>
            <a:ext uri="{FF2B5EF4-FFF2-40B4-BE49-F238E27FC236}">
              <a16:creationId xmlns:a16="http://schemas.microsoft.com/office/drawing/2014/main" id="{191694F4-0B85-491D-A2BB-E25DAA21A784}"/>
            </a:ext>
          </a:extLst>
        </xdr:cNvPr>
        <xdr:cNvSpPr/>
      </xdr:nvSpPr>
      <xdr:spPr>
        <a:xfrm>
          <a:off x="330974" y="782458"/>
          <a:ext cx="14035993" cy="3291168"/>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7</xdr:col>
      <xdr:colOff>16934</xdr:colOff>
      <xdr:row>17</xdr:row>
      <xdr:rowOff>80434</xdr:rowOff>
    </xdr:from>
    <xdr:to>
      <xdr:col>8</xdr:col>
      <xdr:colOff>77638</xdr:colOff>
      <xdr:row>17</xdr:row>
      <xdr:rowOff>327540</xdr:rowOff>
    </xdr:to>
    <xdr:sp macro="" textlink="">
      <xdr:nvSpPr>
        <xdr:cNvPr id="14" name="Rounded Rectangle 18">
          <a:extLst>
            <a:ext uri="{FF2B5EF4-FFF2-40B4-BE49-F238E27FC236}">
              <a16:creationId xmlns:a16="http://schemas.microsoft.com/office/drawing/2014/main" id="{4BAC8C50-55E8-4435-A8B9-9741F0F88903}"/>
            </a:ext>
          </a:extLst>
        </xdr:cNvPr>
        <xdr:cNvSpPr/>
      </xdr:nvSpPr>
      <xdr:spPr>
        <a:xfrm>
          <a:off x="5706534" y="4760384"/>
          <a:ext cx="175004"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3</a:t>
          </a:r>
        </a:p>
      </xdr:txBody>
    </xdr:sp>
    <xdr:clientData/>
  </xdr:twoCellAnchor>
  <xdr:twoCellAnchor>
    <xdr:from>
      <xdr:col>1</xdr:col>
      <xdr:colOff>49867</xdr:colOff>
      <xdr:row>38</xdr:row>
      <xdr:rowOff>80682</xdr:rowOff>
    </xdr:from>
    <xdr:to>
      <xdr:col>2</xdr:col>
      <xdr:colOff>48130</xdr:colOff>
      <xdr:row>38</xdr:row>
      <xdr:rowOff>327788</xdr:rowOff>
    </xdr:to>
    <xdr:sp macro="" textlink="">
      <xdr:nvSpPr>
        <xdr:cNvPr id="15" name="Rounded Rectangle 19">
          <a:extLst>
            <a:ext uri="{FF2B5EF4-FFF2-40B4-BE49-F238E27FC236}">
              <a16:creationId xmlns:a16="http://schemas.microsoft.com/office/drawing/2014/main" id="{8D6ACB72-0072-415B-AEF4-0BC7ABBC3BE4}"/>
            </a:ext>
          </a:extLst>
        </xdr:cNvPr>
        <xdr:cNvSpPr/>
      </xdr:nvSpPr>
      <xdr:spPr>
        <a:xfrm>
          <a:off x="526117" y="10529607"/>
          <a:ext cx="20781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13</a:t>
          </a:r>
        </a:p>
      </xdr:txBody>
    </xdr:sp>
    <xdr:clientData/>
  </xdr:twoCellAnchor>
  <xdr:twoCellAnchor>
    <xdr:from>
      <xdr:col>1</xdr:col>
      <xdr:colOff>49867</xdr:colOff>
      <xdr:row>26</xdr:row>
      <xdr:rowOff>75239</xdr:rowOff>
    </xdr:from>
    <xdr:to>
      <xdr:col>2</xdr:col>
      <xdr:colOff>48130</xdr:colOff>
      <xdr:row>26</xdr:row>
      <xdr:rowOff>322345</xdr:rowOff>
    </xdr:to>
    <xdr:sp macro="" textlink="">
      <xdr:nvSpPr>
        <xdr:cNvPr id="16" name="Rounded Rectangle 21">
          <a:extLst>
            <a:ext uri="{FF2B5EF4-FFF2-40B4-BE49-F238E27FC236}">
              <a16:creationId xmlns:a16="http://schemas.microsoft.com/office/drawing/2014/main" id="{AEAB0E12-69C9-46BF-9EC7-9A75FD1F2E9C}"/>
            </a:ext>
          </a:extLst>
        </xdr:cNvPr>
        <xdr:cNvSpPr/>
      </xdr:nvSpPr>
      <xdr:spPr>
        <a:xfrm>
          <a:off x="532467" y="703483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7</a:t>
          </a:r>
        </a:p>
      </xdr:txBody>
    </xdr:sp>
    <xdr:clientData/>
  </xdr:twoCellAnchor>
  <xdr:twoCellAnchor>
    <xdr:from>
      <xdr:col>1</xdr:col>
      <xdr:colOff>49867</xdr:colOff>
      <xdr:row>28</xdr:row>
      <xdr:rowOff>92849</xdr:rowOff>
    </xdr:from>
    <xdr:to>
      <xdr:col>2</xdr:col>
      <xdr:colOff>48130</xdr:colOff>
      <xdr:row>28</xdr:row>
      <xdr:rowOff>339955</xdr:rowOff>
    </xdr:to>
    <xdr:sp macro="" textlink="">
      <xdr:nvSpPr>
        <xdr:cNvPr id="17" name="Rounded Rectangle 22">
          <a:extLst>
            <a:ext uri="{FF2B5EF4-FFF2-40B4-BE49-F238E27FC236}">
              <a16:creationId xmlns:a16="http://schemas.microsoft.com/office/drawing/2014/main" id="{0D9C7A90-BFFF-47BA-A4DC-3B8DC73500BF}"/>
            </a:ext>
          </a:extLst>
        </xdr:cNvPr>
        <xdr:cNvSpPr/>
      </xdr:nvSpPr>
      <xdr:spPr>
        <a:xfrm>
          <a:off x="532467" y="75350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8</a:t>
          </a:r>
        </a:p>
      </xdr:txBody>
    </xdr:sp>
    <xdr:clientData/>
  </xdr:twoCellAnchor>
  <xdr:twoCellAnchor>
    <xdr:from>
      <xdr:col>1</xdr:col>
      <xdr:colOff>49867</xdr:colOff>
      <xdr:row>40</xdr:row>
      <xdr:rowOff>135591</xdr:rowOff>
    </xdr:from>
    <xdr:to>
      <xdr:col>2</xdr:col>
      <xdr:colOff>48130</xdr:colOff>
      <xdr:row>40</xdr:row>
      <xdr:rowOff>382697</xdr:rowOff>
    </xdr:to>
    <xdr:sp macro="" textlink="">
      <xdr:nvSpPr>
        <xdr:cNvPr id="18" name="Rounded Rectangle 23">
          <a:extLst>
            <a:ext uri="{FF2B5EF4-FFF2-40B4-BE49-F238E27FC236}">
              <a16:creationId xmlns:a16="http://schemas.microsoft.com/office/drawing/2014/main" id="{0F3789A9-410E-4BD1-966D-17073229F4FE}"/>
            </a:ext>
          </a:extLst>
        </xdr:cNvPr>
        <xdr:cNvSpPr/>
      </xdr:nvSpPr>
      <xdr:spPr>
        <a:xfrm>
          <a:off x="526117" y="11070291"/>
          <a:ext cx="20781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14</a:t>
          </a:r>
        </a:p>
      </xdr:txBody>
    </xdr:sp>
    <xdr:clientData/>
  </xdr:twoCellAnchor>
  <xdr:twoCellAnchor>
    <xdr:from>
      <xdr:col>1</xdr:col>
      <xdr:colOff>67236</xdr:colOff>
      <xdr:row>42</xdr:row>
      <xdr:rowOff>135592</xdr:rowOff>
    </xdr:from>
    <xdr:to>
      <xdr:col>2</xdr:col>
      <xdr:colOff>65499</xdr:colOff>
      <xdr:row>42</xdr:row>
      <xdr:rowOff>382698</xdr:rowOff>
    </xdr:to>
    <xdr:sp macro="" textlink="">
      <xdr:nvSpPr>
        <xdr:cNvPr id="19" name="Rounded Rectangle 25">
          <a:extLst>
            <a:ext uri="{FF2B5EF4-FFF2-40B4-BE49-F238E27FC236}">
              <a16:creationId xmlns:a16="http://schemas.microsoft.com/office/drawing/2014/main" id="{32C22ABE-13AF-4B41-A0FF-96600920B0DA}"/>
            </a:ext>
          </a:extLst>
        </xdr:cNvPr>
        <xdr:cNvSpPr/>
      </xdr:nvSpPr>
      <xdr:spPr>
        <a:xfrm>
          <a:off x="543486" y="11556067"/>
          <a:ext cx="20781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15</a:t>
          </a:r>
        </a:p>
      </xdr:txBody>
    </xdr:sp>
    <xdr:clientData/>
  </xdr:twoCellAnchor>
  <xdr:twoCellAnchor>
    <xdr:from>
      <xdr:col>1</xdr:col>
      <xdr:colOff>49867</xdr:colOff>
      <xdr:row>24</xdr:row>
      <xdr:rowOff>84686</xdr:rowOff>
    </xdr:from>
    <xdr:to>
      <xdr:col>2</xdr:col>
      <xdr:colOff>48130</xdr:colOff>
      <xdr:row>24</xdr:row>
      <xdr:rowOff>331792</xdr:rowOff>
    </xdr:to>
    <xdr:sp macro="" textlink="">
      <xdr:nvSpPr>
        <xdr:cNvPr id="21" name="Rounded Rectangle 17">
          <a:extLst>
            <a:ext uri="{FF2B5EF4-FFF2-40B4-BE49-F238E27FC236}">
              <a16:creationId xmlns:a16="http://schemas.microsoft.com/office/drawing/2014/main" id="{14F8B887-1629-48F9-9F06-7153AF03C98C}"/>
            </a:ext>
          </a:extLst>
        </xdr:cNvPr>
        <xdr:cNvSpPr/>
      </xdr:nvSpPr>
      <xdr:spPr>
        <a:xfrm>
          <a:off x="532467" y="6510886"/>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6</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205740</xdr:colOff>
      <xdr:row>7</xdr:row>
      <xdr:rowOff>144780</xdr:rowOff>
    </xdr:from>
    <xdr:to>
      <xdr:col>1</xdr:col>
      <xdr:colOff>419156</xdr:colOff>
      <xdr:row>7</xdr:row>
      <xdr:rowOff>391886</xdr:rowOff>
    </xdr:to>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831669" y="1516380"/>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a:t>
          </a:r>
        </a:p>
      </xdr:txBody>
    </xdr:sp>
    <xdr:clientData/>
  </xdr:twoCellAnchor>
  <xdr:twoCellAnchor>
    <xdr:from>
      <xdr:col>1</xdr:col>
      <xdr:colOff>205740</xdr:colOff>
      <xdr:row>8</xdr:row>
      <xdr:rowOff>137160</xdr:rowOff>
    </xdr:from>
    <xdr:to>
      <xdr:col>1</xdr:col>
      <xdr:colOff>419156</xdr:colOff>
      <xdr:row>8</xdr:row>
      <xdr:rowOff>384266</xdr:rowOff>
    </xdr:to>
    <xdr:sp macro="" textlink="">
      <xdr:nvSpPr>
        <xdr:cNvPr id="3" name="Rounded Rectangle 2">
          <a:extLst>
            <a:ext uri="{FF2B5EF4-FFF2-40B4-BE49-F238E27FC236}">
              <a16:creationId xmlns:a16="http://schemas.microsoft.com/office/drawing/2014/main" id="{00000000-0008-0000-0300-000003000000}"/>
            </a:ext>
          </a:extLst>
        </xdr:cNvPr>
        <xdr:cNvSpPr/>
      </xdr:nvSpPr>
      <xdr:spPr>
        <a:xfrm>
          <a:off x="831669" y="2025831"/>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2</a:t>
          </a:r>
        </a:p>
      </xdr:txBody>
    </xdr:sp>
    <xdr:clientData/>
  </xdr:twoCellAnchor>
  <xdr:twoCellAnchor>
    <xdr:from>
      <xdr:col>1</xdr:col>
      <xdr:colOff>213360</xdr:colOff>
      <xdr:row>9</xdr:row>
      <xdr:rowOff>381000</xdr:rowOff>
    </xdr:from>
    <xdr:to>
      <xdr:col>1</xdr:col>
      <xdr:colOff>426776</xdr:colOff>
      <xdr:row>9</xdr:row>
      <xdr:rowOff>628106</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839289" y="2808514"/>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3</a:t>
          </a:r>
        </a:p>
      </xdr:txBody>
    </xdr:sp>
    <xdr:clientData/>
  </xdr:twoCellAnchor>
  <xdr:twoCellAnchor>
    <xdr:from>
      <xdr:col>1</xdr:col>
      <xdr:colOff>205740</xdr:colOff>
      <xdr:row>10</xdr:row>
      <xdr:rowOff>342900</xdr:rowOff>
    </xdr:from>
    <xdr:to>
      <xdr:col>1</xdr:col>
      <xdr:colOff>419156</xdr:colOff>
      <xdr:row>10</xdr:row>
      <xdr:rowOff>590006</xdr:rowOff>
    </xdr:to>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831669" y="3804557"/>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4</a:t>
          </a:r>
        </a:p>
      </xdr:txBody>
    </xdr:sp>
    <xdr:clientData/>
  </xdr:twoCellAnchor>
  <xdr:twoCellAnchor>
    <xdr:from>
      <xdr:col>1</xdr:col>
      <xdr:colOff>213360</xdr:colOff>
      <xdr:row>11</xdr:row>
      <xdr:rowOff>304800</xdr:rowOff>
    </xdr:from>
    <xdr:to>
      <xdr:col>1</xdr:col>
      <xdr:colOff>426776</xdr:colOff>
      <xdr:row>11</xdr:row>
      <xdr:rowOff>551906</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839289" y="5219700"/>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5</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10</xdr:col>
      <xdr:colOff>605280</xdr:colOff>
      <xdr:row>1</xdr:row>
      <xdr:rowOff>127546</xdr:rowOff>
    </xdr:from>
    <xdr:ext cx="1125565" cy="239809"/>
    <xdr:sp macro="" textlink="">
      <xdr:nvSpPr>
        <xdr:cNvPr id="2" name="Rectangle 1">
          <a:extLst>
            <a:ext uri="{FF2B5EF4-FFF2-40B4-BE49-F238E27FC236}">
              <a16:creationId xmlns:a16="http://schemas.microsoft.com/office/drawing/2014/main" id="{00000000-0008-0000-0700-000002000000}"/>
            </a:ext>
          </a:extLst>
        </xdr:cNvPr>
        <xdr:cNvSpPr/>
      </xdr:nvSpPr>
      <xdr:spPr>
        <a:xfrm>
          <a:off x="6101205" y="318046"/>
          <a:ext cx="1125565" cy="239809"/>
        </a:xfrm>
        <a:prstGeom prst="rect">
          <a:avLst/>
        </a:prstGeom>
        <a:noFill/>
      </xdr:spPr>
      <xdr:txBody>
        <a:bodyPr wrap="none" lIns="91440" tIns="45720" rIns="91440" bIns="45720">
          <a:spAutoFit/>
        </a:bodyPr>
        <a:lstStyle/>
        <a:p>
          <a:pPr algn="ctr"/>
          <a:r>
            <a:rPr lang="en-US" sz="1000" b="0" cap="none" spc="0">
              <a:ln w="0"/>
              <a:solidFill>
                <a:schemeClr val="tx1"/>
              </a:solidFill>
              <a:effectLst/>
              <a:latin typeface="Arial" panose="020B0604020202020204" pitchFamily="34" charset="0"/>
              <a:cs typeface="Arial" panose="020B0604020202020204" pitchFamily="34" charset="0"/>
            </a:rPr>
            <a:t>Internal us</a:t>
          </a:r>
          <a:r>
            <a:rPr lang="en-US" sz="1000" b="0" cap="none" spc="0" baseline="0">
              <a:ln w="0"/>
              <a:solidFill>
                <a:schemeClr val="tx1"/>
              </a:solidFill>
              <a:effectLst/>
              <a:latin typeface="Arial" panose="020B0604020202020204" pitchFamily="34" charset="0"/>
              <a:cs typeface="Arial" panose="020B0604020202020204" pitchFamily="34" charset="0"/>
            </a:rPr>
            <a:t>e only</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2</xdr:col>
      <xdr:colOff>68580</xdr:colOff>
      <xdr:row>4</xdr:row>
      <xdr:rowOff>45720</xdr:rowOff>
    </xdr:from>
    <xdr:to>
      <xdr:col>2</xdr:col>
      <xdr:colOff>510540</xdr:colOff>
      <xdr:row>4</xdr:row>
      <xdr:rowOff>395177</xdr:rowOff>
    </xdr:to>
    <xdr:pic>
      <xdr:nvPicPr>
        <xdr:cNvPr id="2" name="checkmarkimage">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7780" y="777240"/>
          <a:ext cx="441960" cy="349457"/>
        </a:xfrm>
        <a:prstGeom prst="rect">
          <a:avLst/>
        </a:prstGeom>
      </xdr:spPr>
    </xdr:pic>
    <xdr:clientData/>
  </xdr:twoCellAnchor>
  <xdr:twoCellAnchor editAs="oneCell">
    <xdr:from>
      <xdr:col>2</xdr:col>
      <xdr:colOff>160020</xdr:colOff>
      <xdr:row>7</xdr:row>
      <xdr:rowOff>60960</xdr:rowOff>
    </xdr:from>
    <xdr:to>
      <xdr:col>2</xdr:col>
      <xdr:colOff>388620</xdr:colOff>
      <xdr:row>7</xdr:row>
      <xdr:rowOff>281940</xdr:rowOff>
    </xdr:to>
    <xdr:pic>
      <xdr:nvPicPr>
        <xdr:cNvPr id="3" name="ximage">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9220" y="1630680"/>
          <a:ext cx="228600" cy="220980"/>
        </a:xfrm>
        <a:prstGeom prst="rect">
          <a:avLst/>
        </a:prstGeom>
      </xdr:spPr>
    </xdr:pic>
    <xdr:clientData/>
  </xdr:twoCellAnchor>
  <xdr:twoCellAnchor>
    <xdr:from>
      <xdr:col>2</xdr:col>
      <xdr:colOff>1</xdr:colOff>
      <xdr:row>15</xdr:row>
      <xdr:rowOff>50846</xdr:rowOff>
    </xdr:from>
    <xdr:to>
      <xdr:col>3</xdr:col>
      <xdr:colOff>167641</xdr:colOff>
      <xdr:row>17</xdr:row>
      <xdr:rowOff>6235</xdr:rowOff>
    </xdr:to>
    <xdr:sp macro="" textlink="">
      <xdr:nvSpPr>
        <xdr:cNvPr id="4" name="redcircle">
          <a:extLst>
            <a:ext uri="{FF2B5EF4-FFF2-40B4-BE49-F238E27FC236}">
              <a16:creationId xmlns:a16="http://schemas.microsoft.com/office/drawing/2014/main" id="{00000000-0008-0000-1300-000004000000}"/>
            </a:ext>
          </a:extLst>
        </xdr:cNvPr>
        <xdr:cNvSpPr>
          <a:spLocks/>
        </xdr:cNvSpPr>
      </xdr:nvSpPr>
      <xdr:spPr bwMode="gray">
        <a:xfrm>
          <a:off x="1219201" y="3426506"/>
          <a:ext cx="777240" cy="321149"/>
        </a:xfrm>
        <a:custGeom>
          <a:avLst/>
          <a:gdLst>
            <a:gd name="T0" fmla="*/ 2147483647 w 3884"/>
            <a:gd name="T1" fmla="*/ 2147483647 h 1600"/>
            <a:gd name="T2" fmla="*/ 2147483647 w 3884"/>
            <a:gd name="T3" fmla="*/ 2147483647 h 1600"/>
            <a:gd name="T4" fmla="*/ 2147483647 w 3884"/>
            <a:gd name="T5" fmla="*/ 2147483647 h 1600"/>
            <a:gd name="T6" fmla="*/ 2147483647 w 3884"/>
            <a:gd name="T7" fmla="*/ 2147483647 h 1600"/>
            <a:gd name="T8" fmla="*/ 2147483647 w 3884"/>
            <a:gd name="T9" fmla="*/ 2147483647 h 1600"/>
            <a:gd name="T10" fmla="*/ 2147483647 w 3884"/>
            <a:gd name="T11" fmla="*/ 2147483647 h 1600"/>
            <a:gd name="T12" fmla="*/ 0 w 3884"/>
            <a:gd name="T13" fmla="*/ 2147483647 h 1600"/>
            <a:gd name="T14" fmla="*/ 2147483647 w 3884"/>
            <a:gd name="T15" fmla="*/ 2147483647 h 1600"/>
            <a:gd name="T16" fmla="*/ 2147483647 w 3884"/>
            <a:gd name="T17" fmla="*/ 2147483647 h 1600"/>
            <a:gd name="T18" fmla="*/ 2147483647 w 3884"/>
            <a:gd name="T19" fmla="*/ 2147483647 h 1600"/>
            <a:gd name="T20" fmla="*/ 2147483647 w 3884"/>
            <a:gd name="T21" fmla="*/ 2147483647 h 1600"/>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884"/>
            <a:gd name="T34" fmla="*/ 0 h 1600"/>
            <a:gd name="T35" fmla="*/ 3884 w 3884"/>
            <a:gd name="T36" fmla="*/ 1600 h 1600"/>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884" h="1600">
              <a:moveTo>
                <a:pt x="297" y="1346"/>
              </a:moveTo>
              <a:cubicBezTo>
                <a:pt x="918" y="1523"/>
                <a:pt x="1726" y="1533"/>
                <a:pt x="2310" y="1448"/>
              </a:cubicBezTo>
              <a:cubicBezTo>
                <a:pt x="3125" y="1334"/>
                <a:pt x="3798" y="1192"/>
                <a:pt x="3810" y="884"/>
              </a:cubicBezTo>
              <a:cubicBezTo>
                <a:pt x="3822" y="576"/>
                <a:pt x="3114" y="204"/>
                <a:pt x="1945" y="137"/>
              </a:cubicBezTo>
              <a:cubicBezTo>
                <a:pt x="645" y="63"/>
                <a:pt x="74" y="564"/>
                <a:pt x="74" y="724"/>
              </a:cubicBezTo>
              <a:cubicBezTo>
                <a:pt x="74" y="884"/>
                <a:pt x="394" y="1032"/>
                <a:pt x="781" y="1072"/>
              </a:cubicBezTo>
              <a:cubicBezTo>
                <a:pt x="280" y="1135"/>
                <a:pt x="0" y="912"/>
                <a:pt x="0" y="724"/>
              </a:cubicBezTo>
              <a:cubicBezTo>
                <a:pt x="0" y="536"/>
                <a:pt x="473" y="0"/>
                <a:pt x="1951" y="68"/>
              </a:cubicBezTo>
              <a:cubicBezTo>
                <a:pt x="2863" y="110"/>
                <a:pt x="3884" y="433"/>
                <a:pt x="3878" y="884"/>
              </a:cubicBezTo>
              <a:cubicBezTo>
                <a:pt x="3872" y="1335"/>
                <a:pt x="2873" y="1446"/>
                <a:pt x="2276" y="1523"/>
              </a:cubicBezTo>
              <a:cubicBezTo>
                <a:pt x="1679" y="1600"/>
                <a:pt x="553" y="1580"/>
                <a:pt x="297" y="1346"/>
              </a:cubicBezTo>
              <a:close/>
            </a:path>
          </a:pathLst>
        </a:custGeom>
        <a:solidFill>
          <a:srgbClr val="FF0000"/>
        </a:solidFill>
        <a:ln w="9525">
          <a:solidFill>
            <a:srgbClr val="FF0000"/>
          </a:solidFill>
          <a:round/>
          <a:headEnd/>
          <a:tailEnd/>
        </a:ln>
      </xdr:spPr>
      <xdr:txBody>
        <a:bodyPr wrap="square" tIns="91440" bIns="91440" anchor="ctr"/>
        <a:lstStyle>
          <a:defPPr>
            <a:defRPr lang="en-CA"/>
          </a:defPPr>
          <a:lvl1pPr algn="ctr" rtl="0" fontAlgn="base">
            <a:spcBef>
              <a:spcPct val="50000"/>
            </a:spcBef>
            <a:spcAft>
              <a:spcPct val="0"/>
            </a:spcAft>
            <a:defRPr sz="1400" kern="1200">
              <a:solidFill>
                <a:schemeClr val="bg1"/>
              </a:solidFill>
              <a:latin typeface="Arial" charset="0"/>
              <a:ea typeface="ＭＳ Ｐゴシック" pitchFamily="-65" charset="-128"/>
              <a:cs typeface="+mn-cs"/>
            </a:defRPr>
          </a:lvl1pPr>
          <a:lvl2pPr marL="457200" algn="ctr" rtl="0" fontAlgn="base">
            <a:spcBef>
              <a:spcPct val="50000"/>
            </a:spcBef>
            <a:spcAft>
              <a:spcPct val="0"/>
            </a:spcAft>
            <a:defRPr sz="1400" kern="1200">
              <a:solidFill>
                <a:schemeClr val="bg1"/>
              </a:solidFill>
              <a:latin typeface="Arial" charset="0"/>
              <a:ea typeface="ＭＳ Ｐゴシック" pitchFamily="-65" charset="-128"/>
              <a:cs typeface="+mn-cs"/>
            </a:defRPr>
          </a:lvl2pPr>
          <a:lvl3pPr marL="914400" algn="ctr" rtl="0" fontAlgn="base">
            <a:spcBef>
              <a:spcPct val="50000"/>
            </a:spcBef>
            <a:spcAft>
              <a:spcPct val="0"/>
            </a:spcAft>
            <a:defRPr sz="1400" kern="1200">
              <a:solidFill>
                <a:schemeClr val="bg1"/>
              </a:solidFill>
              <a:latin typeface="Arial" charset="0"/>
              <a:ea typeface="ＭＳ Ｐゴシック" pitchFamily="-65" charset="-128"/>
              <a:cs typeface="+mn-cs"/>
            </a:defRPr>
          </a:lvl3pPr>
          <a:lvl4pPr marL="1371600" algn="ctr" rtl="0" fontAlgn="base">
            <a:spcBef>
              <a:spcPct val="50000"/>
            </a:spcBef>
            <a:spcAft>
              <a:spcPct val="0"/>
            </a:spcAft>
            <a:defRPr sz="1400" kern="1200">
              <a:solidFill>
                <a:schemeClr val="bg1"/>
              </a:solidFill>
              <a:latin typeface="Arial" charset="0"/>
              <a:ea typeface="ＭＳ Ｐゴシック" pitchFamily="-65" charset="-128"/>
              <a:cs typeface="+mn-cs"/>
            </a:defRPr>
          </a:lvl4pPr>
          <a:lvl5pPr marL="1828800" algn="ctr" rtl="0" fontAlgn="base">
            <a:spcBef>
              <a:spcPct val="50000"/>
            </a:spcBef>
            <a:spcAft>
              <a:spcPct val="0"/>
            </a:spcAft>
            <a:defRPr sz="1400" kern="1200">
              <a:solidFill>
                <a:schemeClr val="bg1"/>
              </a:solidFill>
              <a:latin typeface="Arial" charset="0"/>
              <a:ea typeface="ＭＳ Ｐゴシック" pitchFamily="-65" charset="-128"/>
              <a:cs typeface="+mn-cs"/>
            </a:defRPr>
          </a:lvl5pPr>
          <a:lvl6pPr marL="2286000" algn="l" defTabSz="914400" rtl="0" eaLnBrk="1" latinLnBrk="0" hangingPunct="1">
            <a:defRPr sz="1400" kern="1200">
              <a:solidFill>
                <a:schemeClr val="bg1"/>
              </a:solidFill>
              <a:latin typeface="Arial" charset="0"/>
              <a:ea typeface="ＭＳ Ｐゴシック" pitchFamily="-65" charset="-128"/>
              <a:cs typeface="+mn-cs"/>
            </a:defRPr>
          </a:lvl6pPr>
          <a:lvl7pPr marL="2743200" algn="l" defTabSz="914400" rtl="0" eaLnBrk="1" latinLnBrk="0" hangingPunct="1">
            <a:defRPr sz="1400" kern="1200">
              <a:solidFill>
                <a:schemeClr val="bg1"/>
              </a:solidFill>
              <a:latin typeface="Arial" charset="0"/>
              <a:ea typeface="ＭＳ Ｐゴシック" pitchFamily="-65" charset="-128"/>
              <a:cs typeface="+mn-cs"/>
            </a:defRPr>
          </a:lvl7pPr>
          <a:lvl8pPr marL="3200400" algn="l" defTabSz="914400" rtl="0" eaLnBrk="1" latinLnBrk="0" hangingPunct="1">
            <a:defRPr sz="1400" kern="1200">
              <a:solidFill>
                <a:schemeClr val="bg1"/>
              </a:solidFill>
              <a:latin typeface="Arial" charset="0"/>
              <a:ea typeface="ＭＳ Ｐゴシック" pitchFamily="-65" charset="-128"/>
              <a:cs typeface="+mn-cs"/>
            </a:defRPr>
          </a:lvl8pPr>
          <a:lvl9pPr marL="3657600" algn="l" defTabSz="914400" rtl="0" eaLnBrk="1" latinLnBrk="0" hangingPunct="1">
            <a:defRPr sz="1400" kern="1200">
              <a:solidFill>
                <a:schemeClr val="bg1"/>
              </a:solidFill>
              <a:latin typeface="Arial" charset="0"/>
              <a:ea typeface="ＭＳ Ｐゴシック" pitchFamily="-65" charset="-128"/>
              <a:cs typeface="+mn-cs"/>
            </a:defRPr>
          </a:lvl9pPr>
        </a:lstStyle>
        <a:p>
          <a:endParaRPr lang="en-CA"/>
        </a:p>
      </xdr:txBody>
    </xdr:sp>
    <xdr:clientData/>
  </xdr:twoCellAnchor>
  <xdr:twoCellAnchor>
    <xdr:from>
      <xdr:col>2</xdr:col>
      <xdr:colOff>1</xdr:colOff>
      <xdr:row>19</xdr:row>
      <xdr:rowOff>66086</xdr:rowOff>
    </xdr:from>
    <xdr:to>
      <xdr:col>3</xdr:col>
      <xdr:colOff>167641</xdr:colOff>
      <xdr:row>21</xdr:row>
      <xdr:rowOff>21475</xdr:rowOff>
    </xdr:to>
    <xdr:sp macro="" textlink="">
      <xdr:nvSpPr>
        <xdr:cNvPr id="5" name="greencircle">
          <a:extLst>
            <a:ext uri="{FF2B5EF4-FFF2-40B4-BE49-F238E27FC236}">
              <a16:creationId xmlns:a16="http://schemas.microsoft.com/office/drawing/2014/main" id="{00000000-0008-0000-1300-000005000000}"/>
            </a:ext>
          </a:extLst>
        </xdr:cNvPr>
        <xdr:cNvSpPr>
          <a:spLocks/>
        </xdr:cNvSpPr>
      </xdr:nvSpPr>
      <xdr:spPr bwMode="gray">
        <a:xfrm>
          <a:off x="1219201" y="4173266"/>
          <a:ext cx="777240" cy="321149"/>
        </a:xfrm>
        <a:custGeom>
          <a:avLst/>
          <a:gdLst>
            <a:gd name="T0" fmla="*/ 2147483647 w 3884"/>
            <a:gd name="T1" fmla="*/ 2147483647 h 1600"/>
            <a:gd name="T2" fmla="*/ 2147483647 w 3884"/>
            <a:gd name="T3" fmla="*/ 2147483647 h 1600"/>
            <a:gd name="T4" fmla="*/ 2147483647 w 3884"/>
            <a:gd name="T5" fmla="*/ 2147483647 h 1600"/>
            <a:gd name="T6" fmla="*/ 2147483647 w 3884"/>
            <a:gd name="T7" fmla="*/ 2147483647 h 1600"/>
            <a:gd name="T8" fmla="*/ 2147483647 w 3884"/>
            <a:gd name="T9" fmla="*/ 2147483647 h 1600"/>
            <a:gd name="T10" fmla="*/ 2147483647 w 3884"/>
            <a:gd name="T11" fmla="*/ 2147483647 h 1600"/>
            <a:gd name="T12" fmla="*/ 0 w 3884"/>
            <a:gd name="T13" fmla="*/ 2147483647 h 1600"/>
            <a:gd name="T14" fmla="*/ 2147483647 w 3884"/>
            <a:gd name="T15" fmla="*/ 2147483647 h 1600"/>
            <a:gd name="T16" fmla="*/ 2147483647 w 3884"/>
            <a:gd name="T17" fmla="*/ 2147483647 h 1600"/>
            <a:gd name="T18" fmla="*/ 2147483647 w 3884"/>
            <a:gd name="T19" fmla="*/ 2147483647 h 1600"/>
            <a:gd name="T20" fmla="*/ 2147483647 w 3884"/>
            <a:gd name="T21" fmla="*/ 2147483647 h 1600"/>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884"/>
            <a:gd name="T34" fmla="*/ 0 h 1600"/>
            <a:gd name="T35" fmla="*/ 3884 w 3884"/>
            <a:gd name="T36" fmla="*/ 1600 h 1600"/>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884" h="1600">
              <a:moveTo>
                <a:pt x="297" y="1346"/>
              </a:moveTo>
              <a:cubicBezTo>
                <a:pt x="918" y="1523"/>
                <a:pt x="1726" y="1533"/>
                <a:pt x="2310" y="1448"/>
              </a:cubicBezTo>
              <a:cubicBezTo>
                <a:pt x="3125" y="1334"/>
                <a:pt x="3798" y="1192"/>
                <a:pt x="3810" y="884"/>
              </a:cubicBezTo>
              <a:cubicBezTo>
                <a:pt x="3822" y="576"/>
                <a:pt x="3114" y="204"/>
                <a:pt x="1945" y="137"/>
              </a:cubicBezTo>
              <a:cubicBezTo>
                <a:pt x="645" y="63"/>
                <a:pt x="74" y="564"/>
                <a:pt x="74" y="724"/>
              </a:cubicBezTo>
              <a:cubicBezTo>
                <a:pt x="74" y="884"/>
                <a:pt x="394" y="1032"/>
                <a:pt x="781" y="1072"/>
              </a:cubicBezTo>
              <a:cubicBezTo>
                <a:pt x="280" y="1135"/>
                <a:pt x="0" y="912"/>
                <a:pt x="0" y="724"/>
              </a:cubicBezTo>
              <a:cubicBezTo>
                <a:pt x="0" y="536"/>
                <a:pt x="473" y="0"/>
                <a:pt x="1951" y="68"/>
              </a:cubicBezTo>
              <a:cubicBezTo>
                <a:pt x="2863" y="110"/>
                <a:pt x="3884" y="433"/>
                <a:pt x="3878" y="884"/>
              </a:cubicBezTo>
              <a:cubicBezTo>
                <a:pt x="3872" y="1335"/>
                <a:pt x="2873" y="1446"/>
                <a:pt x="2276" y="1523"/>
              </a:cubicBezTo>
              <a:cubicBezTo>
                <a:pt x="1679" y="1600"/>
                <a:pt x="553" y="1580"/>
                <a:pt x="297" y="1346"/>
              </a:cubicBezTo>
              <a:close/>
            </a:path>
          </a:pathLst>
        </a:custGeom>
        <a:solidFill>
          <a:srgbClr val="00B050"/>
        </a:solidFill>
        <a:ln w="9525">
          <a:solidFill>
            <a:srgbClr val="00B050"/>
          </a:solidFill>
          <a:round/>
          <a:headEnd/>
          <a:tailEnd/>
        </a:ln>
      </xdr:spPr>
      <xdr:txBody>
        <a:bodyPr wrap="square" tIns="91440" bIns="91440" anchor="ctr"/>
        <a:lstStyle>
          <a:defPPr>
            <a:defRPr lang="en-CA"/>
          </a:defPPr>
          <a:lvl1pPr algn="ctr" rtl="0" fontAlgn="base">
            <a:spcBef>
              <a:spcPct val="50000"/>
            </a:spcBef>
            <a:spcAft>
              <a:spcPct val="0"/>
            </a:spcAft>
            <a:defRPr sz="1400" kern="1200">
              <a:solidFill>
                <a:schemeClr val="bg1"/>
              </a:solidFill>
              <a:latin typeface="Arial" charset="0"/>
              <a:ea typeface="ＭＳ Ｐゴシック" pitchFamily="-65" charset="-128"/>
              <a:cs typeface="+mn-cs"/>
            </a:defRPr>
          </a:lvl1pPr>
          <a:lvl2pPr marL="457200" algn="ctr" rtl="0" fontAlgn="base">
            <a:spcBef>
              <a:spcPct val="50000"/>
            </a:spcBef>
            <a:spcAft>
              <a:spcPct val="0"/>
            </a:spcAft>
            <a:defRPr sz="1400" kern="1200">
              <a:solidFill>
                <a:schemeClr val="bg1"/>
              </a:solidFill>
              <a:latin typeface="Arial" charset="0"/>
              <a:ea typeface="ＭＳ Ｐゴシック" pitchFamily="-65" charset="-128"/>
              <a:cs typeface="+mn-cs"/>
            </a:defRPr>
          </a:lvl2pPr>
          <a:lvl3pPr marL="914400" algn="ctr" rtl="0" fontAlgn="base">
            <a:spcBef>
              <a:spcPct val="50000"/>
            </a:spcBef>
            <a:spcAft>
              <a:spcPct val="0"/>
            </a:spcAft>
            <a:defRPr sz="1400" kern="1200">
              <a:solidFill>
                <a:schemeClr val="bg1"/>
              </a:solidFill>
              <a:latin typeface="Arial" charset="0"/>
              <a:ea typeface="ＭＳ Ｐゴシック" pitchFamily="-65" charset="-128"/>
              <a:cs typeface="+mn-cs"/>
            </a:defRPr>
          </a:lvl3pPr>
          <a:lvl4pPr marL="1371600" algn="ctr" rtl="0" fontAlgn="base">
            <a:spcBef>
              <a:spcPct val="50000"/>
            </a:spcBef>
            <a:spcAft>
              <a:spcPct val="0"/>
            </a:spcAft>
            <a:defRPr sz="1400" kern="1200">
              <a:solidFill>
                <a:schemeClr val="bg1"/>
              </a:solidFill>
              <a:latin typeface="Arial" charset="0"/>
              <a:ea typeface="ＭＳ Ｐゴシック" pitchFamily="-65" charset="-128"/>
              <a:cs typeface="+mn-cs"/>
            </a:defRPr>
          </a:lvl4pPr>
          <a:lvl5pPr marL="1828800" algn="ctr" rtl="0" fontAlgn="base">
            <a:spcBef>
              <a:spcPct val="50000"/>
            </a:spcBef>
            <a:spcAft>
              <a:spcPct val="0"/>
            </a:spcAft>
            <a:defRPr sz="1400" kern="1200">
              <a:solidFill>
                <a:schemeClr val="bg1"/>
              </a:solidFill>
              <a:latin typeface="Arial" charset="0"/>
              <a:ea typeface="ＭＳ Ｐゴシック" pitchFamily="-65" charset="-128"/>
              <a:cs typeface="+mn-cs"/>
            </a:defRPr>
          </a:lvl5pPr>
          <a:lvl6pPr marL="2286000" algn="l" defTabSz="914400" rtl="0" eaLnBrk="1" latinLnBrk="0" hangingPunct="1">
            <a:defRPr sz="1400" kern="1200">
              <a:solidFill>
                <a:schemeClr val="bg1"/>
              </a:solidFill>
              <a:latin typeface="Arial" charset="0"/>
              <a:ea typeface="ＭＳ Ｐゴシック" pitchFamily="-65" charset="-128"/>
              <a:cs typeface="+mn-cs"/>
            </a:defRPr>
          </a:lvl6pPr>
          <a:lvl7pPr marL="2743200" algn="l" defTabSz="914400" rtl="0" eaLnBrk="1" latinLnBrk="0" hangingPunct="1">
            <a:defRPr sz="1400" kern="1200">
              <a:solidFill>
                <a:schemeClr val="bg1"/>
              </a:solidFill>
              <a:latin typeface="Arial" charset="0"/>
              <a:ea typeface="ＭＳ Ｐゴシック" pitchFamily="-65" charset="-128"/>
              <a:cs typeface="+mn-cs"/>
            </a:defRPr>
          </a:lvl7pPr>
          <a:lvl8pPr marL="3200400" algn="l" defTabSz="914400" rtl="0" eaLnBrk="1" latinLnBrk="0" hangingPunct="1">
            <a:defRPr sz="1400" kern="1200">
              <a:solidFill>
                <a:schemeClr val="bg1"/>
              </a:solidFill>
              <a:latin typeface="Arial" charset="0"/>
              <a:ea typeface="ＭＳ Ｐゴシック" pitchFamily="-65" charset="-128"/>
              <a:cs typeface="+mn-cs"/>
            </a:defRPr>
          </a:lvl8pPr>
          <a:lvl9pPr marL="3657600" algn="l" defTabSz="914400" rtl="0" eaLnBrk="1" latinLnBrk="0" hangingPunct="1">
            <a:defRPr sz="1400" kern="1200">
              <a:solidFill>
                <a:schemeClr val="bg1"/>
              </a:solidFill>
              <a:latin typeface="Arial" charset="0"/>
              <a:ea typeface="ＭＳ Ｐゴシック" pitchFamily="-65" charset="-128"/>
              <a:cs typeface="+mn-cs"/>
            </a:defRPr>
          </a:lvl9pPr>
        </a:lstStyle>
        <a:p>
          <a:endParaRPr lang="en-CA"/>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cirogers-my.sharepoint.com/personal/jennifer_goheen_rci_rogers_ca/Documents/Deal%20Approval%20Process/Investment%20Calculator/Cost%20Calculator%20-%20June%20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lculator"/>
      <sheetName val="Ratio lookup"/>
      <sheetName val="Qualitative criteria OLD"/>
      <sheetName val="Qualitative Criteria"/>
      <sheetName val="Prescribed investment lookup"/>
      <sheetName val="LOOKUP_ACQ_&lt;10"/>
      <sheetName val="LOOKUP_ACQ_11-20"/>
      <sheetName val="LOOKUP_ACQ_21-30"/>
      <sheetName val="LOOKUP_ACQ_30+"/>
      <sheetName val="LOOKUP_RET_&lt;10"/>
      <sheetName val="LOOKUP_RET_11-20"/>
      <sheetName val="LOOKUP_RET_21-30"/>
      <sheetName val="LOOKUP_RET_30+"/>
      <sheetName val="Qualitative Measures Lookup"/>
      <sheetName val="Line Count Multiple"/>
      <sheetName val="prehup waiver lookup"/>
      <sheetName val="images"/>
      <sheetName val="Business New Activations"/>
      <sheetName val="Subsidy cost"/>
      <sheetName val="Hardware Pricing-May 2 2018"/>
      <sheetName val="Sheet1"/>
      <sheetName val="Investment Credit Matrices"/>
    </sheetNames>
    <sheetDataSet>
      <sheetData sheetId="0" refreshError="1"/>
      <sheetData sheetId="1">
        <row r="83">
          <cell r="C83" t="str">
            <v>blank</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8" tint="0.39997558519241921"/>
  </sheetPr>
  <dimension ref="A1:G48"/>
  <sheetViews>
    <sheetView zoomScale="70" zoomScaleNormal="70" workbookViewId="0">
      <selection activeCell="E17" sqref="E17"/>
    </sheetView>
  </sheetViews>
  <sheetFormatPr defaultColWidth="9" defaultRowHeight="14.25" x14ac:dyDescent="0.2"/>
  <cols>
    <col min="1" max="1" width="9" style="120"/>
    <col min="2" max="2" width="15" style="120" customWidth="1"/>
    <col min="3" max="3" width="2.5703125" style="120" customWidth="1"/>
    <col min="4" max="4" width="9" style="120"/>
    <col min="5" max="5" width="40" style="120" customWidth="1"/>
    <col min="6" max="6" width="1.5703125" style="120" customWidth="1"/>
    <col min="7" max="7" width="91.42578125" style="120" customWidth="1"/>
    <col min="8" max="16384" width="9" style="120"/>
  </cols>
  <sheetData>
    <row r="1" spans="2:7" ht="22.5" customHeight="1" x14ac:dyDescent="0.2"/>
    <row r="2" spans="2:7" ht="22.5" customHeight="1" thickBot="1" x14ac:dyDescent="0.25">
      <c r="B2" s="389" t="s">
        <v>206</v>
      </c>
      <c r="E2" s="214" t="s">
        <v>355</v>
      </c>
      <c r="G2" s="10" t="s">
        <v>200</v>
      </c>
    </row>
    <row r="3" spans="2:7" ht="44.45" customHeight="1" x14ac:dyDescent="0.2">
      <c r="B3" s="389"/>
      <c r="E3" s="210" t="s">
        <v>356</v>
      </c>
      <c r="F3" s="121"/>
      <c r="G3" s="212" t="s">
        <v>590</v>
      </c>
    </row>
    <row r="4" spans="2:7" ht="36" x14ac:dyDescent="0.2">
      <c r="B4" s="389"/>
      <c r="E4" s="210" t="s">
        <v>699</v>
      </c>
      <c r="F4" s="121"/>
      <c r="G4" s="212" t="s">
        <v>347</v>
      </c>
    </row>
    <row r="5" spans="2:7" ht="44.45" customHeight="1" x14ac:dyDescent="0.2">
      <c r="B5" s="389"/>
      <c r="E5" s="210" t="s">
        <v>700</v>
      </c>
      <c r="F5" s="121"/>
      <c r="G5" s="212" t="s">
        <v>348</v>
      </c>
    </row>
    <row r="6" spans="2:7" ht="29.45" customHeight="1" x14ac:dyDescent="0.2">
      <c r="B6" s="389"/>
      <c r="E6" s="210" t="s">
        <v>621</v>
      </c>
      <c r="F6" s="121"/>
      <c r="G6" s="212" t="s">
        <v>622</v>
      </c>
    </row>
    <row r="7" spans="2:7" ht="44.45" customHeight="1" x14ac:dyDescent="0.2">
      <c r="B7" s="389"/>
      <c r="E7" s="210" t="s">
        <v>228</v>
      </c>
      <c r="F7" s="121"/>
      <c r="G7" s="212" t="s">
        <v>350</v>
      </c>
    </row>
    <row r="8" spans="2:7" ht="44.45" customHeight="1" x14ac:dyDescent="0.2">
      <c r="B8" s="389"/>
      <c r="E8" s="210" t="s">
        <v>5</v>
      </c>
      <c r="F8" s="121"/>
      <c r="G8" s="212" t="s">
        <v>203</v>
      </c>
    </row>
    <row r="9" spans="2:7" ht="40.5" customHeight="1" x14ac:dyDescent="0.2">
      <c r="B9" s="389"/>
      <c r="E9" s="210" t="s">
        <v>349</v>
      </c>
      <c r="F9" s="121"/>
      <c r="G9" s="212" t="s">
        <v>352</v>
      </c>
    </row>
    <row r="10" spans="2:7" ht="40.9" customHeight="1" x14ac:dyDescent="0.2">
      <c r="B10" s="389"/>
      <c r="E10" s="210" t="s">
        <v>199</v>
      </c>
      <c r="F10" s="121"/>
      <c r="G10" s="211" t="s">
        <v>582</v>
      </c>
    </row>
    <row r="11" spans="2:7" ht="30.95" customHeight="1" x14ac:dyDescent="0.2">
      <c r="B11" s="389"/>
      <c r="E11" s="210" t="s">
        <v>585</v>
      </c>
      <c r="G11" s="212" t="s">
        <v>587</v>
      </c>
    </row>
    <row r="12" spans="2:7" ht="31.35" customHeight="1" x14ac:dyDescent="0.2">
      <c r="B12" s="389"/>
      <c r="E12" s="210" t="s">
        <v>701</v>
      </c>
      <c r="G12" s="212" t="s">
        <v>588</v>
      </c>
    </row>
    <row r="13" spans="2:7" ht="43.5" customHeight="1" x14ac:dyDescent="0.2">
      <c r="B13" s="389"/>
      <c r="E13" s="210" t="s">
        <v>619</v>
      </c>
      <c r="G13" s="212" t="s">
        <v>623</v>
      </c>
    </row>
    <row r="14" spans="2:7" ht="44.25" customHeight="1" x14ac:dyDescent="0.2">
      <c r="B14" s="389"/>
      <c r="E14" s="210" t="s">
        <v>198</v>
      </c>
      <c r="F14" s="121"/>
      <c r="G14" s="211" t="s">
        <v>351</v>
      </c>
    </row>
    <row r="15" spans="2:7" ht="32.25" customHeight="1" x14ac:dyDescent="0.2">
      <c r="B15" s="389"/>
      <c r="E15" s="210" t="s">
        <v>608</v>
      </c>
      <c r="F15" s="121"/>
      <c r="G15" s="211" t="s">
        <v>624</v>
      </c>
    </row>
    <row r="16" spans="2:7" ht="32.450000000000003" customHeight="1" x14ac:dyDescent="0.2">
      <c r="B16" s="389"/>
      <c r="E16" s="210" t="s">
        <v>641</v>
      </c>
      <c r="F16" s="121"/>
      <c r="G16" s="211" t="s">
        <v>647</v>
      </c>
    </row>
    <row r="17" spans="2:7" ht="44.45" customHeight="1" x14ac:dyDescent="0.2">
      <c r="B17" s="389"/>
      <c r="E17" s="210" t="s">
        <v>642</v>
      </c>
      <c r="G17" s="211" t="s">
        <v>648</v>
      </c>
    </row>
    <row r="18" spans="2:7" ht="44.45" customHeight="1" x14ac:dyDescent="0.2">
      <c r="B18" s="269"/>
    </row>
    <row r="19" spans="2:7" ht="15" customHeight="1" x14ac:dyDescent="0.2"/>
    <row r="20" spans="2:7" ht="15" customHeight="1" x14ac:dyDescent="0.2">
      <c r="E20" s="210"/>
      <c r="F20" s="121"/>
      <c r="G20" s="211"/>
    </row>
    <row r="21" spans="2:7" ht="15" customHeight="1" x14ac:dyDescent="0.25">
      <c r="G21" s="124"/>
    </row>
    <row r="22" spans="2:7" ht="49.5" customHeight="1" x14ac:dyDescent="0.2">
      <c r="B22" s="389" t="s">
        <v>207</v>
      </c>
      <c r="E22" s="122" t="s">
        <v>219</v>
      </c>
      <c r="G22" s="123" t="s">
        <v>625</v>
      </c>
    </row>
    <row r="23" spans="2:7" ht="44.45" customHeight="1" x14ac:dyDescent="0.2">
      <c r="B23" s="389"/>
      <c r="E23" s="122" t="s">
        <v>9</v>
      </c>
      <c r="G23" s="123" t="s">
        <v>208</v>
      </c>
    </row>
    <row r="24" spans="2:7" ht="44.45" customHeight="1" x14ac:dyDescent="0.2">
      <c r="B24" s="389"/>
      <c r="E24" s="122" t="s">
        <v>10</v>
      </c>
      <c r="G24" s="125" t="s">
        <v>209</v>
      </c>
    </row>
    <row r="25" spans="2:7" ht="44.45" customHeight="1" x14ac:dyDescent="0.2">
      <c r="B25" s="389"/>
      <c r="E25" s="122" t="s">
        <v>202</v>
      </c>
      <c r="G25" s="126" t="s">
        <v>210</v>
      </c>
    </row>
    <row r="26" spans="2:7" ht="44.45" customHeight="1" x14ac:dyDescent="0.2">
      <c r="B26" s="389"/>
      <c r="E26" s="122" t="s">
        <v>626</v>
      </c>
      <c r="G26" s="126" t="s">
        <v>627</v>
      </c>
    </row>
    <row r="27" spans="2:7" ht="44.45" customHeight="1" x14ac:dyDescent="0.2">
      <c r="B27" s="389"/>
      <c r="E27" s="122" t="s">
        <v>629</v>
      </c>
      <c r="G27" s="126" t="s">
        <v>628</v>
      </c>
    </row>
    <row r="28" spans="2:7" ht="44.45" customHeight="1" x14ac:dyDescent="0.2">
      <c r="B28" s="389"/>
      <c r="E28" s="122" t="s">
        <v>204</v>
      </c>
      <c r="G28" s="126" t="s">
        <v>211</v>
      </c>
    </row>
    <row r="29" spans="2:7" ht="44.45" customHeight="1" x14ac:dyDescent="0.2">
      <c r="B29" s="389"/>
      <c r="E29" s="122" t="s">
        <v>695</v>
      </c>
      <c r="G29" s="126"/>
    </row>
    <row r="30" spans="2:7" ht="44.45" customHeight="1" x14ac:dyDescent="0.2">
      <c r="B30" s="389"/>
      <c r="E30" s="122" t="s">
        <v>197</v>
      </c>
      <c r="G30" s="126" t="s">
        <v>212</v>
      </c>
    </row>
    <row r="31" spans="2:7" ht="15" customHeight="1" x14ac:dyDescent="0.2"/>
    <row r="32" spans="2:7" ht="15" customHeight="1" x14ac:dyDescent="0.2"/>
    <row r="33" spans="1:7" ht="15" customHeight="1" x14ac:dyDescent="0.2"/>
    <row r="34" spans="1:7" ht="41.45" customHeight="1" x14ac:dyDescent="0.2">
      <c r="A34" s="296"/>
      <c r="B34" s="390"/>
      <c r="C34" s="296"/>
      <c r="D34" s="384"/>
      <c r="E34" s="384"/>
      <c r="F34" s="297"/>
      <c r="G34" s="298"/>
    </row>
    <row r="35" spans="1:7" ht="41.45" customHeight="1" x14ac:dyDescent="0.2">
      <c r="A35" s="296"/>
      <c r="B35" s="390"/>
      <c r="C35" s="296"/>
      <c r="D35" s="299"/>
      <c r="E35" s="300"/>
      <c r="F35" s="297"/>
      <c r="G35" s="301"/>
    </row>
    <row r="36" spans="1:7" ht="49.5" customHeight="1" x14ac:dyDescent="0.2">
      <c r="A36" s="296"/>
      <c r="B36" s="390"/>
      <c r="C36" s="296"/>
      <c r="D36" s="299"/>
      <c r="E36" s="300"/>
      <c r="F36" s="297"/>
      <c r="G36" s="301"/>
    </row>
    <row r="37" spans="1:7" ht="49.5" customHeight="1" x14ac:dyDescent="0.2">
      <c r="A37" s="296"/>
      <c r="B37" s="390"/>
      <c r="C37" s="296"/>
      <c r="D37" s="299"/>
      <c r="E37" s="300"/>
      <c r="F37" s="297"/>
      <c r="G37" s="301"/>
    </row>
    <row r="38" spans="1:7" ht="81" customHeight="1" x14ac:dyDescent="0.2">
      <c r="A38" s="296"/>
      <c r="B38" s="390"/>
      <c r="C38" s="296"/>
      <c r="D38" s="299"/>
      <c r="E38" s="300"/>
      <c r="F38" s="297"/>
      <c r="G38" s="301"/>
    </row>
    <row r="39" spans="1:7" ht="21.75" customHeight="1" x14ac:dyDescent="0.2">
      <c r="A39" s="296"/>
      <c r="B39" s="390"/>
      <c r="C39" s="296"/>
      <c r="D39" s="299"/>
      <c r="E39" s="300"/>
      <c r="F39" s="297"/>
      <c r="G39" s="301"/>
    </row>
    <row r="40" spans="1:7" ht="25.5" customHeight="1" x14ac:dyDescent="0.2">
      <c r="A40" s="296"/>
      <c r="B40" s="390"/>
      <c r="C40" s="296"/>
      <c r="D40" s="299"/>
      <c r="E40" s="300"/>
      <c r="F40" s="297"/>
      <c r="G40" s="302"/>
    </row>
    <row r="41" spans="1:7" ht="15.75" customHeight="1" x14ac:dyDescent="0.2">
      <c r="A41" s="296"/>
      <c r="B41" s="390"/>
      <c r="C41" s="296"/>
      <c r="D41" s="303"/>
      <c r="E41" s="296"/>
      <c r="F41" s="296"/>
      <c r="G41" s="304"/>
    </row>
    <row r="42" spans="1:7" ht="15.75" customHeight="1" x14ac:dyDescent="0.2">
      <c r="A42" s="296"/>
      <c r="B42" s="390"/>
      <c r="C42" s="296"/>
      <c r="D42" s="303"/>
      <c r="E42" s="296"/>
      <c r="F42" s="296"/>
      <c r="G42" s="304"/>
    </row>
    <row r="43" spans="1:7" ht="24.75" customHeight="1" x14ac:dyDescent="0.2">
      <c r="A43" s="296"/>
      <c r="B43" s="390"/>
      <c r="C43" s="296"/>
      <c r="D43" s="303"/>
      <c r="E43" s="296"/>
      <c r="F43" s="296"/>
      <c r="G43" s="305"/>
    </row>
    <row r="44" spans="1:7" ht="34.5" customHeight="1" x14ac:dyDescent="0.2">
      <c r="A44" s="296"/>
      <c r="B44" s="390"/>
      <c r="C44" s="296"/>
      <c r="D44" s="303"/>
      <c r="E44" s="296"/>
      <c r="F44" s="296"/>
      <c r="G44" s="306"/>
    </row>
    <row r="45" spans="1:7" ht="20.25" customHeight="1" x14ac:dyDescent="0.2">
      <c r="A45" s="296"/>
      <c r="B45" s="390"/>
      <c r="C45" s="296"/>
      <c r="D45" s="303"/>
      <c r="E45" s="296"/>
      <c r="F45" s="296"/>
      <c r="G45" s="305"/>
    </row>
    <row r="46" spans="1:7" ht="15.75" x14ac:dyDescent="0.2">
      <c r="A46" s="296"/>
      <c r="B46" s="390"/>
      <c r="C46" s="296"/>
      <c r="D46" s="303"/>
      <c r="E46" s="296"/>
      <c r="F46" s="296"/>
      <c r="G46" s="307"/>
    </row>
    <row r="47" spans="1:7" ht="15" x14ac:dyDescent="0.2">
      <c r="D47" s="217"/>
      <c r="G47" s="215"/>
    </row>
    <row r="48" spans="1:7" ht="15.75" x14ac:dyDescent="0.2">
      <c r="D48" s="216"/>
      <c r="G48" s="215"/>
    </row>
  </sheetData>
  <mergeCells count="3">
    <mergeCell ref="B22:B30"/>
    <mergeCell ref="B34:B46"/>
    <mergeCell ref="B2:B1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9AC2-067C-42C6-AA1A-01203D6ACBAC}">
  <sheetPr codeName="Sheet24">
    <tabColor rgb="FFFDEB03"/>
    <pageSetUpPr fitToPage="1"/>
  </sheetPr>
  <dimension ref="A1:BT128"/>
  <sheetViews>
    <sheetView showGridLines="0" topLeftCell="A19" zoomScale="80" zoomScaleNormal="80" zoomScaleSheetLayoutView="70" workbookViewId="0">
      <selection activeCell="K45" sqref="K45"/>
    </sheetView>
  </sheetViews>
  <sheetFormatPr defaultColWidth="9" defaultRowHeight="14.25" outlineLevelRow="1" x14ac:dyDescent="0.2"/>
  <cols>
    <col min="1" max="1" width="7" style="3" customWidth="1"/>
    <col min="2" max="2" width="3" style="3" customWidth="1"/>
    <col min="3" max="3" width="28" style="127" customWidth="1"/>
    <col min="4" max="4" width="1.5703125" style="3" customWidth="1"/>
    <col min="5" max="5" width="20" style="135" customWidth="1"/>
    <col min="6" max="6" width="1.5703125" style="3" customWidth="1"/>
    <col min="7" max="7" width="20" style="127" customWidth="1"/>
    <col min="8" max="8" width="1.5703125" style="3" customWidth="1"/>
    <col min="9" max="9" width="20" style="127" customWidth="1"/>
    <col min="10" max="10" width="1.5703125" style="3" customWidth="1"/>
    <col min="11" max="11" width="20" style="127" customWidth="1"/>
    <col min="12" max="12" width="1.5703125" style="3" customWidth="1"/>
    <col min="13" max="13" width="20" style="127" customWidth="1"/>
    <col min="14" max="14" width="1.5703125" style="3" customWidth="1"/>
    <col min="15" max="15" width="2" style="3" customWidth="1"/>
    <col min="16" max="16" width="1.5703125" style="3" customWidth="1"/>
    <col min="17" max="17" width="22.5703125" style="127" customWidth="1"/>
    <col min="18" max="18" width="1.5703125" style="3" customWidth="1"/>
    <col min="19" max="19" width="26" style="127" customWidth="1"/>
    <col min="20" max="20" width="1.5703125" style="3" customWidth="1"/>
    <col min="21" max="21" width="4.42578125" style="127" customWidth="1"/>
    <col min="22" max="22" width="3" style="3" customWidth="1"/>
    <col min="23" max="23" width="11.28515625" style="3" customWidth="1"/>
    <col min="24" max="24" width="9" style="3" bestFit="1" customWidth="1"/>
    <col min="25" max="25" width="11.28515625" style="3" bestFit="1" customWidth="1"/>
    <col min="26" max="26" width="10" style="3" bestFit="1" customWidth="1"/>
    <col min="27" max="27" width="24" style="3" customWidth="1"/>
    <col min="28" max="28" width="10" style="3" bestFit="1" customWidth="1"/>
    <col min="29" max="31" width="9" style="3"/>
    <col min="32" max="32" width="10" style="3" customWidth="1"/>
    <col min="33" max="33" width="9" style="3" bestFit="1" customWidth="1"/>
    <col min="34" max="16384" width="9" style="3"/>
  </cols>
  <sheetData>
    <row r="1" spans="1:31" s="158" customFormat="1" x14ac:dyDescent="0.2">
      <c r="C1" s="157"/>
      <c r="E1" s="159"/>
      <c r="G1" s="157"/>
      <c r="I1" s="157"/>
      <c r="K1" s="157"/>
      <c r="M1" s="157"/>
      <c r="Q1" s="157"/>
      <c r="S1" s="157"/>
      <c r="U1" s="157"/>
    </row>
    <row r="2" spans="1:31" s="158" customFormat="1" ht="21" customHeight="1" x14ac:dyDescent="0.2">
      <c r="B2" s="160" t="s">
        <v>224</v>
      </c>
      <c r="C2" s="161"/>
      <c r="D2" s="162"/>
      <c r="E2" s="163"/>
      <c r="F2" s="162"/>
      <c r="G2" s="161"/>
      <c r="H2" s="162"/>
      <c r="I2" s="161"/>
      <c r="J2" s="162"/>
      <c r="K2" s="161"/>
      <c r="L2" s="162"/>
      <c r="M2" s="161"/>
      <c r="N2" s="162"/>
      <c r="O2" s="162"/>
      <c r="P2" s="162"/>
      <c r="Q2" s="161"/>
      <c r="R2" s="162"/>
      <c r="S2" s="161"/>
      <c r="T2" s="162"/>
      <c r="U2" s="161"/>
    </row>
    <row r="3" spans="1:31" s="285" customFormat="1" ht="30" customHeight="1" x14ac:dyDescent="0.2">
      <c r="A3" s="315"/>
      <c r="B3" s="316" t="s">
        <v>658</v>
      </c>
      <c r="C3" s="317"/>
      <c r="D3" s="318"/>
      <c r="E3" s="319"/>
      <c r="F3" s="318"/>
      <c r="G3" s="317"/>
      <c r="H3" s="318"/>
      <c r="I3" s="317"/>
      <c r="J3" s="318"/>
      <c r="K3" s="317"/>
      <c r="L3" s="318"/>
      <c r="M3" s="317"/>
      <c r="N3" s="318"/>
      <c r="O3" s="318"/>
      <c r="P3" s="318"/>
      <c r="Q3" s="317"/>
      <c r="R3" s="318"/>
      <c r="S3" s="317"/>
      <c r="T3" s="318"/>
      <c r="U3" s="317"/>
      <c r="V3" s="315"/>
    </row>
    <row r="5" spans="1:31" ht="31.5" customHeight="1" thickBot="1" x14ac:dyDescent="0.25">
      <c r="B5" s="4"/>
      <c r="C5" s="165" t="s">
        <v>223</v>
      </c>
      <c r="E5" s="398"/>
      <c r="F5" s="398"/>
      <c r="G5" s="398"/>
      <c r="H5" s="398"/>
      <c r="K5" s="393"/>
      <c r="L5" s="393"/>
      <c r="M5" s="393"/>
      <c r="O5" s="399" t="s">
        <v>249</v>
      </c>
      <c r="P5" s="400"/>
      <c r="Q5" s="400"/>
      <c r="R5" s="180"/>
      <c r="S5" s="184">
        <v>32</v>
      </c>
      <c r="T5" s="180"/>
      <c r="U5" s="180"/>
    </row>
    <row r="6" spans="1:31" ht="18" customHeight="1" x14ac:dyDescent="0.2">
      <c r="B6" s="4"/>
      <c r="C6" s="165"/>
      <c r="E6" s="181"/>
      <c r="F6" s="181"/>
      <c r="G6" s="181"/>
      <c r="I6" s="3"/>
      <c r="K6" s="7"/>
      <c r="L6" s="7"/>
      <c r="M6" s="7"/>
      <c r="Q6" s="3"/>
      <c r="S6" s="180"/>
      <c r="T6" s="180"/>
    </row>
    <row r="7" spans="1:31" ht="31.5" customHeight="1" thickBot="1" x14ac:dyDescent="0.25">
      <c r="B7" s="4"/>
      <c r="C7" s="165" t="s">
        <v>215</v>
      </c>
      <c r="E7" s="401"/>
      <c r="F7" s="401"/>
      <c r="G7" s="401"/>
      <c r="K7" s="393"/>
      <c r="L7" s="393"/>
      <c r="M7" s="393"/>
      <c r="O7" s="394" t="s">
        <v>313</v>
      </c>
      <c r="P7" s="391"/>
      <c r="Q7" s="391"/>
      <c r="R7" s="136"/>
      <c r="S7" s="308"/>
      <c r="T7" s="136"/>
    </row>
    <row r="8" spans="1:31" ht="18" customHeight="1" x14ac:dyDescent="0.2">
      <c r="B8" s="4"/>
      <c r="I8" s="3"/>
      <c r="K8" s="7"/>
      <c r="L8" s="7"/>
      <c r="M8" s="7"/>
      <c r="Q8" s="3"/>
      <c r="R8" s="182"/>
      <c r="S8" s="136"/>
      <c r="T8" s="135"/>
    </row>
    <row r="9" spans="1:31" ht="31.5" customHeight="1" thickBot="1" x14ac:dyDescent="0.25">
      <c r="C9" s="165" t="s">
        <v>201</v>
      </c>
      <c r="E9" s="401"/>
      <c r="F9" s="401"/>
      <c r="G9" s="401"/>
      <c r="K9" s="393"/>
      <c r="L9" s="393"/>
      <c r="M9" s="393"/>
      <c r="O9" s="394" t="s">
        <v>250</v>
      </c>
      <c r="P9" s="391"/>
      <c r="Q9" s="391"/>
      <c r="R9" s="179"/>
      <c r="S9" s="185"/>
      <c r="T9" s="179"/>
    </row>
    <row r="10" spans="1:31" ht="18" customHeight="1" x14ac:dyDescent="0.2">
      <c r="E10" s="136"/>
      <c r="F10" s="7"/>
      <c r="G10" s="128"/>
      <c r="H10" s="7"/>
      <c r="K10" s="7"/>
      <c r="L10" s="7"/>
      <c r="M10" s="7"/>
      <c r="Q10" s="3"/>
      <c r="S10" s="135"/>
      <c r="T10" s="135"/>
      <c r="AE10" s="293"/>
    </row>
    <row r="11" spans="1:31" ht="31.5" customHeight="1" x14ac:dyDescent="0.2">
      <c r="C11" s="385" t="s">
        <v>697</v>
      </c>
      <c r="D11" s="5"/>
      <c r="E11" s="388"/>
      <c r="G11" s="3"/>
      <c r="K11" s="393"/>
      <c r="L11" s="393"/>
      <c r="M11" s="393"/>
      <c r="O11" s="394" t="s">
        <v>299</v>
      </c>
      <c r="P11" s="391"/>
      <c r="Q11" s="391"/>
      <c r="R11" s="179"/>
      <c r="S11" s="184"/>
      <c r="T11" s="179"/>
      <c r="Z11" s="13"/>
    </row>
    <row r="12" spans="1:31" ht="18.75" customHeight="1" x14ac:dyDescent="0.2">
      <c r="C12" s="344"/>
      <c r="D12" s="5"/>
      <c r="E12" s="127"/>
      <c r="K12" s="7"/>
      <c r="L12" s="7"/>
      <c r="M12" s="7"/>
      <c r="O12" s="395"/>
      <c r="P12" s="395"/>
      <c r="Q12" s="395"/>
      <c r="Z12" s="13"/>
    </row>
    <row r="13" spans="1:31" ht="31.35" customHeight="1" x14ac:dyDescent="0.2">
      <c r="C13" s="345" t="s">
        <v>631</v>
      </c>
      <c r="D13" s="5"/>
      <c r="E13" s="327"/>
      <c r="I13" s="128"/>
      <c r="J13" s="7"/>
      <c r="K13" s="284"/>
      <c r="L13" s="284"/>
      <c r="M13" s="284"/>
      <c r="N13" s="286"/>
      <c r="O13" s="394" t="s">
        <v>639</v>
      </c>
      <c r="P13" s="391"/>
      <c r="Q13" s="391"/>
      <c r="R13" s="179"/>
      <c r="S13" s="184">
        <v>36</v>
      </c>
      <c r="Z13" s="13"/>
    </row>
    <row r="14" spans="1:31" ht="18.75" customHeight="1" x14ac:dyDescent="0.2">
      <c r="C14" s="344"/>
      <c r="D14" s="5"/>
      <c r="E14" s="127"/>
      <c r="K14" s="285"/>
      <c r="L14" s="285"/>
      <c r="M14" s="285"/>
      <c r="N14" s="285"/>
      <c r="O14" s="396"/>
      <c r="P14" s="396"/>
      <c r="Q14" s="396"/>
    </row>
    <row r="15" spans="1:31" ht="9.75" customHeight="1" x14ac:dyDescent="0.2"/>
    <row r="16" spans="1:31" ht="29.25" customHeight="1" thickBot="1" x14ac:dyDescent="0.3">
      <c r="B16" s="6"/>
      <c r="C16" s="397" t="s">
        <v>7</v>
      </c>
      <c r="D16" s="397"/>
      <c r="E16" s="397"/>
      <c r="F16" s="397"/>
      <c r="G16" s="397"/>
      <c r="H16" s="397"/>
      <c r="I16" s="397"/>
      <c r="J16" s="397"/>
      <c r="K16" s="397"/>
      <c r="L16" s="397"/>
      <c r="M16" s="397"/>
      <c r="N16" s="397"/>
      <c r="O16" s="32"/>
      <c r="P16" s="397" t="s">
        <v>8</v>
      </c>
      <c r="Q16" s="397"/>
      <c r="R16" s="397"/>
      <c r="S16" s="397"/>
      <c r="T16" s="397"/>
      <c r="U16" s="273"/>
      <c r="Z16" s="328"/>
    </row>
    <row r="17" spans="2:30" ht="5.45" customHeight="1" x14ac:dyDescent="0.2">
      <c r="B17" s="7"/>
      <c r="C17" s="128"/>
      <c r="D17" s="7"/>
      <c r="E17" s="136"/>
      <c r="F17" s="7"/>
      <c r="G17" s="128"/>
      <c r="H17" s="7"/>
      <c r="I17" s="128"/>
      <c r="J17" s="7"/>
      <c r="K17" s="128"/>
      <c r="L17" s="7"/>
      <c r="M17" s="128"/>
      <c r="N17" s="7"/>
      <c r="O17" s="7"/>
      <c r="P17" s="7"/>
      <c r="Q17" s="128"/>
      <c r="R17" s="7"/>
      <c r="S17" s="128"/>
      <c r="T17" s="7"/>
    </row>
    <row r="18" spans="2:30" ht="33" customHeight="1" thickBot="1" x14ac:dyDescent="0.3">
      <c r="B18" s="7"/>
      <c r="C18" s="345" t="s">
        <v>213</v>
      </c>
      <c r="D18" s="7"/>
      <c r="E18" s="137"/>
      <c r="F18" s="7"/>
      <c r="G18" s="128"/>
      <c r="H18" s="7"/>
      <c r="I18" s="391" t="s">
        <v>345</v>
      </c>
      <c r="J18" s="391"/>
      <c r="K18" s="391"/>
      <c r="L18" s="7"/>
      <c r="M18" s="137"/>
      <c r="N18" s="7"/>
      <c r="O18" s="7"/>
      <c r="P18" s="7"/>
      <c r="Q18" s="149"/>
      <c r="R18" s="12"/>
      <c r="S18" s="392" t="s">
        <v>195</v>
      </c>
      <c r="T18" s="392"/>
      <c r="X18" s="32"/>
    </row>
    <row r="19" spans="2:30" ht="7.5" customHeight="1" x14ac:dyDescent="0.2">
      <c r="B19" s="7"/>
      <c r="C19" s="128"/>
      <c r="D19" s="7"/>
      <c r="E19" s="128"/>
      <c r="F19" s="7"/>
      <c r="G19" s="128"/>
      <c r="H19" s="7"/>
      <c r="I19" s="128"/>
      <c r="J19" s="7"/>
      <c r="K19" s="128"/>
      <c r="L19" s="7"/>
      <c r="M19" s="128"/>
      <c r="N19" s="7"/>
      <c r="O19" s="7"/>
      <c r="P19" s="7"/>
      <c r="Q19" s="128"/>
      <c r="R19" s="7"/>
      <c r="S19" s="128"/>
      <c r="T19" s="7"/>
    </row>
    <row r="20" spans="2:30" ht="7.5" customHeight="1" x14ac:dyDescent="0.2">
      <c r="B20" s="7"/>
      <c r="C20" s="128"/>
      <c r="D20" s="7"/>
      <c r="E20" s="136"/>
      <c r="F20" s="7"/>
      <c r="G20" s="128"/>
      <c r="H20" s="7"/>
      <c r="I20" s="128"/>
      <c r="J20" s="7"/>
      <c r="K20" s="128"/>
      <c r="L20" s="7"/>
      <c r="M20" s="128"/>
      <c r="N20" s="7"/>
      <c r="O20" s="7"/>
      <c r="P20" s="7"/>
      <c r="Q20" s="128"/>
      <c r="R20" s="7"/>
      <c r="S20" s="128"/>
      <c r="T20" s="7"/>
    </row>
    <row r="21" spans="2:30" s="13" customFormat="1" ht="40.5" customHeight="1" thickBot="1" x14ac:dyDescent="0.3">
      <c r="B21" s="8"/>
      <c r="C21" s="345" t="s">
        <v>687</v>
      </c>
      <c r="D21" s="9"/>
      <c r="E21" s="314" t="s">
        <v>605</v>
      </c>
      <c r="F21" s="11"/>
      <c r="G21" s="314" t="s">
        <v>605</v>
      </c>
      <c r="H21" s="11"/>
      <c r="I21" s="314" t="s">
        <v>605</v>
      </c>
      <c r="J21" s="11"/>
      <c r="K21" s="314" t="s">
        <v>605</v>
      </c>
      <c r="L21" s="11"/>
      <c r="M21" s="314" t="s">
        <v>605</v>
      </c>
      <c r="N21" s="11"/>
      <c r="O21" s="12"/>
      <c r="P21" s="12"/>
      <c r="Q21" s="345" t="s">
        <v>219</v>
      </c>
      <c r="R21" s="14"/>
      <c r="S21" s="257">
        <f>IF(E27+G27+I27+K27+M27&lt;=0,"",+E27+G27+I27+K27+M27)</f>
        <v>50</v>
      </c>
      <c r="U21" s="9"/>
      <c r="X21" s="5"/>
    </row>
    <row r="22" spans="2:30" s="13" customFormat="1" ht="7.5" customHeight="1" x14ac:dyDescent="0.25">
      <c r="B22" s="8"/>
      <c r="C22" s="129"/>
      <c r="D22" s="9"/>
      <c r="E22" s="132"/>
      <c r="F22" s="11"/>
      <c r="G22" s="132"/>
      <c r="H22" s="11"/>
      <c r="I22" s="132"/>
      <c r="J22" s="11"/>
      <c r="K22" s="132"/>
      <c r="L22" s="11"/>
      <c r="M22" s="132"/>
      <c r="N22" s="11"/>
      <c r="O22" s="12"/>
      <c r="P22" s="12"/>
      <c r="Q22" s="149"/>
      <c r="R22" s="12"/>
      <c r="S22" s="11"/>
      <c r="T22" s="8"/>
      <c r="U22" s="11"/>
      <c r="X22" s="5"/>
    </row>
    <row r="23" spans="2:30" s="13" customFormat="1" ht="36.75" customHeight="1" x14ac:dyDescent="0.25">
      <c r="B23" s="8"/>
      <c r="C23" s="345" t="s">
        <v>228</v>
      </c>
      <c r="D23" s="9"/>
      <c r="E23" s="183" t="s">
        <v>226</v>
      </c>
      <c r="F23" s="11"/>
      <c r="G23" s="183" t="s">
        <v>226</v>
      </c>
      <c r="H23" s="11"/>
      <c r="I23" s="183" t="s">
        <v>226</v>
      </c>
      <c r="J23" s="11"/>
      <c r="K23" s="183" t="s">
        <v>226</v>
      </c>
      <c r="L23" s="11"/>
      <c r="M23" s="183" t="s">
        <v>226</v>
      </c>
      <c r="N23" s="11"/>
      <c r="O23" s="12"/>
      <c r="P23" s="12"/>
      <c r="Q23" s="345" t="s">
        <v>9</v>
      </c>
      <c r="R23" s="8"/>
      <c r="S23" s="258">
        <f>IFERROR(SUMPRODUCT(E27:M27,E37:M37)/SUM(E27:M27),"")</f>
        <v>47.84</v>
      </c>
      <c r="T23" s="254"/>
      <c r="U23" s="254"/>
      <c r="X23" s="5"/>
      <c r="Z23" s="328"/>
      <c r="AA23" s="328"/>
      <c r="AB23" s="328"/>
      <c r="AC23" s="328"/>
      <c r="AD23" s="328"/>
    </row>
    <row r="24" spans="2:30" ht="5.45" customHeight="1" x14ac:dyDescent="0.2">
      <c r="B24" s="7"/>
      <c r="C24" s="128"/>
      <c r="D24" s="7"/>
      <c r="E24" s="136"/>
      <c r="F24" s="7"/>
      <c r="G24" s="136"/>
      <c r="H24" s="7"/>
      <c r="I24" s="136"/>
      <c r="J24" s="7"/>
      <c r="K24" s="136"/>
      <c r="L24" s="7"/>
      <c r="M24" s="128"/>
      <c r="N24" s="7"/>
      <c r="O24" s="7"/>
      <c r="P24" s="7"/>
      <c r="Q24" s="128"/>
      <c r="R24" s="7"/>
      <c r="S24" s="136"/>
      <c r="T24" s="7"/>
      <c r="U24" s="128"/>
    </row>
    <row r="25" spans="2:30" ht="37.15" customHeight="1" x14ac:dyDescent="0.2">
      <c r="B25" s="7"/>
      <c r="C25" s="345" t="s">
        <v>694</v>
      </c>
      <c r="D25" s="14"/>
      <c r="E25" s="138">
        <v>36</v>
      </c>
      <c r="F25" s="15"/>
      <c r="G25" s="138">
        <v>36</v>
      </c>
      <c r="H25" s="15"/>
      <c r="I25" s="138">
        <v>36</v>
      </c>
      <c r="J25" s="15"/>
      <c r="K25" s="138">
        <v>36</v>
      </c>
      <c r="L25" s="15"/>
      <c r="M25" s="138">
        <v>36</v>
      </c>
      <c r="N25" s="7"/>
      <c r="O25" s="7"/>
      <c r="P25" s="7"/>
      <c r="Q25" s="345" t="s">
        <v>214</v>
      </c>
      <c r="R25" s="9"/>
      <c r="S25" s="154">
        <f>IF(SUM(E27:M27)=0,"",IF(SUMPRODUCT(E57:M57,E27:M27)&lt;=0,"",SUMPRODUCT(E57:M57,E27:M27)))</f>
        <v>86112</v>
      </c>
      <c r="T25" s="7"/>
      <c r="U25" s="128"/>
    </row>
    <row r="26" spans="2:30" ht="5.45" customHeight="1" x14ac:dyDescent="0.2">
      <c r="B26" s="7"/>
      <c r="C26" s="128"/>
      <c r="D26" s="7"/>
      <c r="E26" s="136"/>
      <c r="F26" s="7"/>
      <c r="G26" s="136"/>
      <c r="H26" s="7"/>
      <c r="I26" s="136"/>
      <c r="J26" s="7"/>
      <c r="K26" s="136"/>
      <c r="L26" s="7"/>
      <c r="M26" s="128"/>
      <c r="N26" s="7"/>
      <c r="O26" s="7"/>
      <c r="P26" s="7"/>
      <c r="Q26" s="128"/>
      <c r="R26" s="7"/>
      <c r="S26" s="136"/>
      <c r="T26" s="7"/>
      <c r="U26" s="128"/>
    </row>
    <row r="27" spans="2:30" s="13" customFormat="1" ht="33" customHeight="1" x14ac:dyDescent="0.25">
      <c r="B27" s="8"/>
      <c r="C27" s="345" t="s">
        <v>218</v>
      </c>
      <c r="D27" s="14"/>
      <c r="E27" s="138">
        <v>10</v>
      </c>
      <c r="F27" s="15"/>
      <c r="G27" s="138">
        <v>10</v>
      </c>
      <c r="H27" s="15"/>
      <c r="I27" s="138">
        <v>10</v>
      </c>
      <c r="J27" s="15"/>
      <c r="K27" s="138">
        <v>10</v>
      </c>
      <c r="L27" s="15"/>
      <c r="M27" s="138">
        <v>10</v>
      </c>
      <c r="N27" s="15"/>
      <c r="O27" s="8"/>
      <c r="P27" s="8"/>
      <c r="Q27" s="345" t="s">
        <v>202</v>
      </c>
      <c r="R27" s="8"/>
      <c r="S27" s="154">
        <f>IFERROR(SUMPRODUCT(E27:M27,E51:M51)/SUM(E27:M27),"")</f>
        <v>845</v>
      </c>
      <c r="T27" s="255"/>
      <c r="U27" s="255"/>
      <c r="Z27" s="204"/>
      <c r="AA27" s="164"/>
      <c r="AB27" s="164"/>
    </row>
    <row r="28" spans="2:30" s="13" customFormat="1" ht="5.45" customHeight="1" x14ac:dyDescent="0.25">
      <c r="B28" s="8"/>
      <c r="C28" s="130"/>
      <c r="D28" s="16"/>
      <c r="E28" s="139"/>
      <c r="F28" s="15"/>
      <c r="G28" s="139"/>
      <c r="H28" s="15"/>
      <c r="I28" s="139"/>
      <c r="J28" s="15"/>
      <c r="K28" s="139"/>
      <c r="L28" s="15"/>
      <c r="M28" s="139"/>
      <c r="N28" s="15"/>
      <c r="O28" s="8"/>
      <c r="P28" s="8"/>
      <c r="Q28" s="150"/>
      <c r="R28" s="8"/>
      <c r="S28" s="139"/>
      <c r="T28" s="8"/>
      <c r="U28" s="150"/>
    </row>
    <row r="29" spans="2:30" s="13" customFormat="1" ht="33" customHeight="1" x14ac:dyDescent="0.25">
      <c r="B29" s="8"/>
      <c r="C29" s="345" t="s">
        <v>199</v>
      </c>
      <c r="D29" s="16"/>
      <c r="E29" s="287" t="s">
        <v>205</v>
      </c>
      <c r="F29" s="15"/>
      <c r="G29" s="287" t="s">
        <v>205</v>
      </c>
      <c r="H29" s="15"/>
      <c r="I29" s="287" t="s">
        <v>205</v>
      </c>
      <c r="J29" s="15"/>
      <c r="K29" s="287" t="s">
        <v>649</v>
      </c>
      <c r="L29" s="15"/>
      <c r="M29" s="287" t="s">
        <v>649</v>
      </c>
      <c r="N29" s="15"/>
      <c r="O29" s="8"/>
      <c r="P29" s="8"/>
      <c r="Q29" s="345" t="s">
        <v>230</v>
      </c>
      <c r="S29" s="154">
        <f>IFERROR((SUMPRODUCT(E27:M27,E51:M51)),"")</f>
        <v>42250</v>
      </c>
      <c r="T29" s="8"/>
      <c r="U29" s="150"/>
    </row>
    <row r="30" spans="2:30" s="13" customFormat="1" ht="5.45" customHeight="1" x14ac:dyDescent="0.25">
      <c r="B30" s="8"/>
      <c r="C30" s="130"/>
      <c r="D30" s="16"/>
      <c r="E30" s="139"/>
      <c r="F30" s="15"/>
      <c r="G30" s="139"/>
      <c r="H30" s="15"/>
      <c r="I30" s="139"/>
      <c r="J30" s="15"/>
      <c r="K30" s="139"/>
      <c r="L30" s="15"/>
      <c r="M30" s="139"/>
      <c r="N30" s="15"/>
      <c r="O30" s="8"/>
      <c r="P30" s="8"/>
      <c r="Q30" s="150"/>
      <c r="R30" s="8"/>
      <c r="S30" s="139"/>
      <c r="T30" s="8"/>
      <c r="U30" s="150"/>
    </row>
    <row r="31" spans="2:30" s="13" customFormat="1" ht="33" customHeight="1" x14ac:dyDescent="0.2">
      <c r="B31" s="8"/>
      <c r="C31" s="345" t="s">
        <v>589</v>
      </c>
      <c r="D31" s="16"/>
      <c r="E31" s="287" t="s">
        <v>663</v>
      </c>
      <c r="F31" s="15"/>
      <c r="G31" s="287" t="s">
        <v>662</v>
      </c>
      <c r="H31" s="15"/>
      <c r="I31" s="350" t="s">
        <v>664</v>
      </c>
      <c r="J31" s="15"/>
      <c r="K31" s="350" t="s">
        <v>662</v>
      </c>
      <c r="L31" s="15"/>
      <c r="M31" s="350" t="s">
        <v>664</v>
      </c>
      <c r="N31" s="15"/>
      <c r="O31" s="8"/>
      <c r="P31" s="8"/>
      <c r="Q31" s="345" t="s">
        <v>225</v>
      </c>
      <c r="S31" s="154">
        <f>IFERROR(IF(OR(E21="Voice &amp; Data", E21="Voice Only"),(IF($S$13="","Set Contract Term",E18*E27*'Qualitative Measures Lookup'!$M$4*$S$13/12)),"0")
+ (IF(OR(G21="Voice &amp; Data", G21="Voice Only"),(IF($S$13="","Set Contract Term",E18*G27*'Qualitative Measures Lookup'!$M$4*$S$13/12)),"0"))
+ (IF(OR(I119="Voice &amp; Data", I21="Voice Only"),(IF($S$13="","Set Contract Term",E18*I27*'Qualitative Measures Lookup'!$M$4*$S$13/12)),"0"))
+ (IF(OR(K21="Voice &amp; Data", K21="Voice Only"),(IF($S$13="","Set Contract Term",E18*K27*'Qualitative Measures Lookup'!$M$4*$S$13/12)),"0"))
+ (IF(OR(M21="Voice &amp; Data", M21="Voice Only"),(IF($S$13="","Set Contract Term",E18*M27*'Qualitative Measures Lookup'!$M$4*$S$13/12)),"0")),"")</f>
        <v>0</v>
      </c>
      <c r="T31" s="8"/>
      <c r="U31" s="150"/>
    </row>
    <row r="32" spans="2:30" s="13" customFormat="1" ht="5.45" customHeight="1" x14ac:dyDescent="0.25">
      <c r="B32" s="8"/>
      <c r="C32" s="130"/>
      <c r="D32" s="16"/>
      <c r="E32" s="139"/>
      <c r="F32" s="15"/>
      <c r="G32" s="139"/>
      <c r="H32" s="15"/>
      <c r="I32" s="139"/>
      <c r="J32" s="15"/>
      <c r="K32" s="139"/>
      <c r="L32" s="15"/>
      <c r="M32" s="139"/>
      <c r="N32" s="15"/>
      <c r="O32" s="8"/>
      <c r="P32" s="8"/>
      <c r="Q32" s="150"/>
      <c r="R32" s="8"/>
      <c r="S32" s="139"/>
      <c r="T32" s="8"/>
      <c r="U32" s="150"/>
    </row>
    <row r="33" spans="2:28" s="13" customFormat="1" ht="33" customHeight="1" x14ac:dyDescent="0.25">
      <c r="B33" s="8"/>
      <c r="C33" s="345" t="s">
        <v>586</v>
      </c>
      <c r="D33" s="16"/>
      <c r="E33" s="295">
        <f>IF(E31="","",VLOOKUP(E25&amp;"|"&amp;E29&amp;"|"&amp;E31, 'Qualitative Measures Lookup'!$AU$3:$AV$72, 2,FALSE))</f>
        <v>60</v>
      </c>
      <c r="F33" s="15"/>
      <c r="G33" s="295">
        <f>IF(G31="","",VLOOKUP(G25&amp;"|"&amp;G29&amp;"|"&amp;G31, 'Qualitative Measures Lookup'!$AU$3:$AV$72, 2,FALSE))</f>
        <v>50</v>
      </c>
      <c r="H33" s="15"/>
      <c r="I33" s="295">
        <f>IF(I31="","",VLOOKUP(I25&amp;"|"&amp;I29&amp;"|"&amp;I31, 'Qualitative Measures Lookup'!$AU$3:$AV$72, 2,FALSE))</f>
        <v>70</v>
      </c>
      <c r="J33" s="15"/>
      <c r="K33" s="295">
        <f>IF(K31="","",VLOOKUP(K25&amp;"|"&amp;K29&amp;"|"&amp;K31, 'Qualitative Measures Lookup'!$AU$3:$AV$72, 2,FALSE))</f>
        <v>65</v>
      </c>
      <c r="L33" s="15"/>
      <c r="M33" s="295">
        <f>IF(M31="","",VLOOKUP(M25&amp;"|"&amp;M29&amp;"|"&amp;M31, 'Qualitative Measures Lookup'!$AU$3:$AV$72, 2,FALSE))</f>
        <v>85</v>
      </c>
      <c r="N33" s="15"/>
      <c r="O33" s="8"/>
      <c r="P33" s="8"/>
      <c r="Q33" s="345" t="s">
        <v>346</v>
      </c>
      <c r="S33" s="154">
        <f>IF($S$13="","Set Contract Term",M18*SUM(E27:M27)*'Qualitative Measures Lookup'!$M$3*$S$13/12)</f>
        <v>0</v>
      </c>
      <c r="T33" s="8"/>
      <c r="U33" s="150"/>
    </row>
    <row r="34" spans="2:28" s="13" customFormat="1" ht="5.45" customHeight="1" x14ac:dyDescent="0.25">
      <c r="B34" s="8"/>
      <c r="C34" s="130"/>
      <c r="D34" s="16"/>
      <c r="E34" s="139"/>
      <c r="F34" s="15"/>
      <c r="G34" s="139"/>
      <c r="H34" s="15"/>
      <c r="I34" s="139"/>
      <c r="J34" s="15"/>
      <c r="K34" s="139"/>
      <c r="L34" s="15"/>
      <c r="M34" s="139"/>
      <c r="N34" s="15"/>
      <c r="O34" s="8"/>
      <c r="P34" s="8"/>
      <c r="Q34" s="344"/>
      <c r="R34" s="9"/>
      <c r="S34" s="152"/>
      <c r="T34" s="8"/>
      <c r="U34" s="150"/>
    </row>
    <row r="35" spans="2:28" s="13" customFormat="1" ht="38.25" customHeight="1" x14ac:dyDescent="0.25">
      <c r="B35" s="8"/>
      <c r="C35" s="345" t="s">
        <v>619</v>
      </c>
      <c r="D35" s="16"/>
      <c r="E35" s="312">
        <v>0.3</v>
      </c>
      <c r="F35" s="313"/>
      <c r="G35" s="312">
        <v>0.3</v>
      </c>
      <c r="H35" s="313"/>
      <c r="I35" s="312">
        <v>0.28999999999999998</v>
      </c>
      <c r="J35" s="313"/>
      <c r="K35" s="312">
        <v>0.25</v>
      </c>
      <c r="L35" s="313"/>
      <c r="M35" s="312">
        <v>0.25</v>
      </c>
      <c r="N35" s="15"/>
      <c r="O35" s="8"/>
      <c r="P35" s="8"/>
      <c r="Q35" s="345" t="s">
        <v>640</v>
      </c>
      <c r="S35" s="274">
        <f>IFERROR(S25-S29-S31-S33,"")</f>
        <v>43862</v>
      </c>
      <c r="T35" s="256"/>
      <c r="U35" s="256"/>
      <c r="X35" s="5"/>
      <c r="Z35" s="332"/>
      <c r="AA35" s="164"/>
      <c r="AB35" s="164"/>
    </row>
    <row r="36" spans="2:28" s="13" customFormat="1" ht="5.45" customHeight="1" x14ac:dyDescent="0.25">
      <c r="B36" s="8"/>
      <c r="C36" s="130"/>
      <c r="D36" s="16"/>
      <c r="E36" s="139"/>
      <c r="F36" s="15"/>
      <c r="G36" s="139"/>
      <c r="H36" s="15"/>
      <c r="I36" s="139"/>
      <c r="J36" s="15"/>
      <c r="K36" s="139"/>
      <c r="L36" s="15"/>
      <c r="M36" s="139"/>
      <c r="N36" s="15"/>
      <c r="O36" s="8"/>
      <c r="P36" s="8"/>
      <c r="Q36" s="150"/>
      <c r="R36" s="8"/>
      <c r="S36" s="139"/>
      <c r="T36" s="8"/>
      <c r="U36" s="151"/>
      <c r="X36" s="5"/>
    </row>
    <row r="37" spans="2:28" s="13" customFormat="1" ht="33" customHeight="1" x14ac:dyDescent="0.25">
      <c r="B37" s="8"/>
      <c r="C37" s="345" t="s">
        <v>651</v>
      </c>
      <c r="D37" s="14"/>
      <c r="E37" s="334">
        <f>IFERROR(IF(E33&lt;&gt;"",E33-(E33*E35),""),"")</f>
        <v>42</v>
      </c>
      <c r="F37" s="335"/>
      <c r="G37" s="334">
        <f>IFERROR(IF(G33&lt;&gt;"",G33-(G33*G35),""),"")</f>
        <v>35</v>
      </c>
      <c r="H37" s="335"/>
      <c r="I37" s="334">
        <f>IFERROR(IF(I33&lt;&gt;"",I33-(I33*I35),""),"")</f>
        <v>49.7</v>
      </c>
      <c r="J37" s="335"/>
      <c r="K37" s="334">
        <f>IFERROR(IF(K33&lt;&gt;"",K33-(K33*K35),""),"")</f>
        <v>48.75</v>
      </c>
      <c r="L37" s="335"/>
      <c r="M37" s="334">
        <f>IFERROR(IF(M33&lt;&gt;"",M33-(M33*M35),""),"")</f>
        <v>63.75</v>
      </c>
      <c r="N37" s="15"/>
      <c r="O37" s="8"/>
      <c r="P37" s="8"/>
      <c r="Q37" s="345" t="s">
        <v>638</v>
      </c>
      <c r="S37" s="155">
        <f>IF(S25="","N/A",S35/S25)</f>
        <v>0.5093599033816425</v>
      </c>
      <c r="T37" s="8"/>
      <c r="U37" s="276"/>
      <c r="W37" s="164"/>
      <c r="X37" s="5"/>
      <c r="Y37" s="209"/>
      <c r="Z37" s="204"/>
      <c r="AA37" s="164"/>
      <c r="AB37" s="164"/>
    </row>
    <row r="38" spans="2:28" s="13" customFormat="1" ht="5.45" customHeight="1" x14ac:dyDescent="0.25">
      <c r="B38" s="8"/>
      <c r="C38" s="130"/>
      <c r="D38" s="16"/>
      <c r="E38" s="139"/>
      <c r="F38" s="15"/>
      <c r="G38" s="139"/>
      <c r="H38" s="15"/>
      <c r="I38" s="139"/>
      <c r="J38" s="15"/>
      <c r="K38" s="139"/>
      <c r="L38" s="15"/>
      <c r="M38" s="139"/>
      <c r="N38" s="15"/>
      <c r="O38" s="8"/>
      <c r="P38" s="8"/>
      <c r="Q38" s="150"/>
      <c r="R38" s="8"/>
      <c r="S38" s="139"/>
      <c r="T38" s="8"/>
      <c r="U38" s="277"/>
      <c r="X38" s="5"/>
    </row>
    <row r="39" spans="2:28" s="13" customFormat="1" ht="33" customHeight="1" x14ac:dyDescent="0.25">
      <c r="B39" s="8"/>
      <c r="C39" s="345" t="s">
        <v>608</v>
      </c>
      <c r="D39" s="16"/>
      <c r="E39" s="140">
        <v>675</v>
      </c>
      <c r="F39" s="15"/>
      <c r="G39" s="140">
        <v>675</v>
      </c>
      <c r="H39" s="15"/>
      <c r="I39" s="140">
        <v>700</v>
      </c>
      <c r="J39" s="15"/>
      <c r="K39" s="140">
        <v>675</v>
      </c>
      <c r="L39" s="15"/>
      <c r="M39" s="140">
        <v>700</v>
      </c>
      <c r="N39" s="15"/>
      <c r="O39" s="8"/>
      <c r="P39" s="8"/>
      <c r="Q39" s="345" t="s">
        <v>231</v>
      </c>
      <c r="S39" s="156" t="str">
        <f>IFERROR(ROUND(SUMPRODUCT(E27:M27,E51:M51)/SUMPRODUCT(E27:M27,E37:M37),1)&amp;" mo.","")</f>
        <v>17.7 mo.</v>
      </c>
      <c r="U39" s="278"/>
      <c r="X39" s="5"/>
      <c r="Z39" s="333"/>
    </row>
    <row r="40" spans="2:28" s="13" customFormat="1" ht="5.45" customHeight="1" x14ac:dyDescent="0.25">
      <c r="B40" s="8"/>
      <c r="C40" s="130"/>
      <c r="D40" s="16"/>
      <c r="E40" s="139"/>
      <c r="F40" s="15"/>
      <c r="G40" s="139"/>
      <c r="H40" s="15"/>
      <c r="I40" s="139"/>
      <c r="J40" s="15"/>
      <c r="K40" s="139"/>
      <c r="L40" s="15"/>
      <c r="M40" s="139"/>
      <c r="N40" s="15"/>
      <c r="O40" s="8"/>
      <c r="P40" s="8"/>
      <c r="T40" s="8"/>
      <c r="U40" s="277"/>
      <c r="X40" s="5"/>
    </row>
    <row r="41" spans="2:28" s="13" customFormat="1" ht="33" customHeight="1" x14ac:dyDescent="0.25">
      <c r="B41" s="8"/>
      <c r="C41" s="345" t="s">
        <v>641</v>
      </c>
      <c r="E41" s="140"/>
      <c r="F41" s="15"/>
      <c r="G41" s="140"/>
      <c r="H41" s="15"/>
      <c r="I41" s="140"/>
      <c r="J41" s="15"/>
      <c r="K41" s="140"/>
      <c r="L41" s="15"/>
      <c r="M41" s="140"/>
      <c r="N41" s="15"/>
      <c r="O41" s="8"/>
      <c r="P41" s="8"/>
      <c r="Q41" s="326"/>
      <c r="R41" s="8"/>
      <c r="S41" s="326"/>
      <c r="U41" s="278"/>
      <c r="X41" s="5"/>
    </row>
    <row r="42" spans="2:28" s="13" customFormat="1" ht="5.65" customHeight="1" x14ac:dyDescent="0.25">
      <c r="B42" s="8"/>
      <c r="C42" s="130"/>
      <c r="D42" s="16"/>
      <c r="E42" s="139"/>
      <c r="F42" s="15"/>
      <c r="G42" s="139"/>
      <c r="H42" s="15"/>
      <c r="I42" s="139"/>
      <c r="J42" s="15"/>
      <c r="K42" s="139"/>
      <c r="L42" s="15"/>
      <c r="M42" s="139"/>
      <c r="N42" s="15"/>
      <c r="O42" s="8"/>
      <c r="P42" s="8"/>
      <c r="Q42" s="326"/>
      <c r="R42" s="8"/>
      <c r="S42" s="139"/>
      <c r="T42" s="8"/>
      <c r="U42" s="277"/>
      <c r="X42" s="5"/>
    </row>
    <row r="43" spans="2:28" s="13" customFormat="1" ht="34.9" customHeight="1" outlineLevel="1" x14ac:dyDescent="0.25">
      <c r="B43" s="8"/>
      <c r="C43" s="345" t="s">
        <v>642</v>
      </c>
      <c r="E43" s="140"/>
      <c r="F43" s="15"/>
      <c r="G43" s="140"/>
      <c r="H43" s="15"/>
      <c r="I43" s="140"/>
      <c r="J43" s="15"/>
      <c r="K43" s="140"/>
      <c r="L43" s="15"/>
      <c r="M43" s="140"/>
      <c r="N43" s="15"/>
      <c r="O43" s="8"/>
      <c r="P43" s="8"/>
      <c r="T43" s="8"/>
      <c r="U43" s="278"/>
      <c r="X43" s="5"/>
    </row>
    <row r="44" spans="2:28" s="13" customFormat="1" ht="20.25" outlineLevel="1" x14ac:dyDescent="0.25">
      <c r="B44" s="8"/>
      <c r="C44" s="130"/>
      <c r="D44" s="16"/>
      <c r="E44" s="142"/>
      <c r="F44" s="15"/>
      <c r="G44" s="142"/>
      <c r="H44" s="15"/>
      <c r="I44" s="142"/>
      <c r="J44" s="15"/>
      <c r="K44" s="142"/>
      <c r="L44" s="15"/>
      <c r="M44" s="142"/>
      <c r="N44" s="15"/>
      <c r="O44" s="8"/>
      <c r="P44" s="8"/>
      <c r="X44" s="5"/>
    </row>
    <row r="45" spans="2:28" s="13" customFormat="1" ht="21" customHeight="1" outlineLevel="1" x14ac:dyDescent="0.25">
      <c r="B45" s="8"/>
      <c r="C45" s="130" t="s">
        <v>189</v>
      </c>
      <c r="D45" s="16"/>
      <c r="E45" s="141">
        <f>IF(E29="BYOD",0,(IF(E29="Data Only",200,(IF(E29="Basic",100,(IF(E29="Silver",400,(IF(E29="Gold",600))))+E41+E43)))))</f>
        <v>0</v>
      </c>
      <c r="F45" s="15"/>
      <c r="G45" s="141">
        <f>IF(G29="BYOD",0,(IF(G29="Data Only",200,(IF(G29="Basic",100,(IF(G29="Silver",400,(IF(G29="Gold",600))))+G41+G43)))))</f>
        <v>0</v>
      </c>
      <c r="H45" s="15"/>
      <c r="I45" s="141">
        <f>IF(I29="BYOD",0,(IF(I29="Data Only",200,(IF(I29="Basic",100,(IF(I29="Silver",400,(IF(I29="Gold",600))))+I41+I43)))))</f>
        <v>0</v>
      </c>
      <c r="J45" s="15"/>
      <c r="K45" s="141">
        <f>IF(K29="BYOD",0,(IF(K29="Data Only",200,(IF(K29="Basic",100,(IF(K29="Silver",400,(IF(K29="Gold",600))))+K41+K43)))))</f>
        <v>400</v>
      </c>
      <c r="L45" s="15"/>
      <c r="M45" s="141">
        <f>IF(M29="BYOD",0,(IF(M29="Data Only",200,(IF(M29="Basic",100,(IF(M29="Silver",400,(IF(M29="Gold",600))))+M41+M43)))))</f>
        <v>400</v>
      </c>
      <c r="N45" s="15"/>
      <c r="O45" s="8"/>
      <c r="P45" s="8"/>
      <c r="S45" s="326"/>
      <c r="T45" s="326"/>
      <c r="U45" s="201"/>
      <c r="X45" s="5"/>
    </row>
    <row r="46" spans="2:28" s="13" customFormat="1" ht="20.25" customHeight="1" outlineLevel="1" x14ac:dyDescent="0.25">
      <c r="B46" s="8"/>
      <c r="N46" s="15"/>
      <c r="O46" s="8"/>
      <c r="P46" s="8"/>
      <c r="R46" s="279"/>
      <c r="S46" s="326"/>
      <c r="T46" s="326"/>
      <c r="U46" s="201"/>
      <c r="X46" s="5"/>
    </row>
    <row r="47" spans="2:28" s="13" customFormat="1" ht="25.5" customHeight="1" outlineLevel="1" x14ac:dyDescent="0.25">
      <c r="B47" s="8"/>
      <c r="C47" s="130" t="s">
        <v>634</v>
      </c>
      <c r="E47" s="141">
        <f>IF(E27&gt;0,(IF($E$13="Direct",30,(IF($E$13="Dealer Only",30,IF(AND($E$21="Voice &amp; Data",$E$13="Dealer Protected"),150,IF(AND($E$21="Voice &amp; Data",$E$13="Dealer Owned Co-Sell"),150,IF(AND($E$21="Voice &amp; Data",$E$13="VAR/Distributor"),150,IF(AND($E$21="Voice Only",$E$13="Dealer Protected"),75,IF(AND($E$21="Voice Only",$E$13="Dealer Owned Co-Sell"),75,IF(AND($E$21="Voice Only",$E$13="VAR/Distributor"),75,IF(AND($E$21="Data Only",$E$13="Dealer Protected"),75,IF(AND($E$21="Data Only",$E$13="Dealer Owned Co-Sell"),75,IF(AND($E$21="Data Only",$E$13="VAR/Distributor"),75,0))))))))))))),0)</f>
        <v>0</v>
      </c>
      <c r="F47" s="15"/>
      <c r="G47" s="141">
        <f>IF(G27&gt;0,(IF($E$13="Direct",30,(IF($E$13="Dealer Only",30,IF(AND($G$21="Voice &amp; Data",$E$13="Dealer Protected"),150,IF(AND($G$21="Voice &amp; Data",$E$13="Dealer Owned Co-Sell"),150,IF(AND($G$21="Voice &amp; Data",$E$13="VAR/Distributor"),150,IF(AND($G$21="Voice Only",$E$13="Dealer Protected"),75,IF(AND($G$21="Voice Only",$E$13="Dealer Owned Co-Sell"),75,IF(AND($G$21="Voice Only",$E$13="VAR/Distributor"),75,IF(AND($G$21="Data Only",$E$13="Dealer Protected"),75,IF(AND($G$21="Data Only",$E$13="Dealer Owned Co-Sell"),75,IF(AND($G$21="Data Only",$E$13="VAR/Distributor"),75,0))))))))))))),0)</f>
        <v>0</v>
      </c>
      <c r="H47" s="15"/>
      <c r="I47" s="141">
        <f>IF(I27&gt;0,(IF($E$13="Direct",30,(IF($E$13="Dealer Only",30,IF(AND($I$21="Voice &amp; Data",$E$13="Dealer Protected"),150,IF(AND($I$21="Voice &amp; Data",$E$13="Dealer Owned Co-Sell"),150,IF(AND($I$21="Voice &amp; Data",$E$13="VAR/Distributor"),150,IF(AND($I$21="Voice Only",$E$13="Dealer Protected"),75,IF(AND($I$21="Voice Only",$E$13="Dealer Owned Co-Sell"),75,IF(AND($I$21="Voice Only",$E$13="VAR/Distributor"),75,IF(AND($I$21="Data Only",$E$13="Dealer Protected"),75,IF(AND($I$21="Data Only",$E$13="Dealer Owned Co-Sell"),75,IF(AND($I$21="Data Only",$E$13="VAR/Distributor"),75,0))))))))))))),0)</f>
        <v>0</v>
      </c>
      <c r="J47" s="15"/>
      <c r="K47" s="141">
        <f>IF(K27&gt;0,(IF($E$13="Direct",30,(IF($E$13="Dealer Only",30,IF(AND($K$21="Voice &amp; Data",$E$13="Dealer Protected"),150,IF(AND($K$21="Voice &amp; Data",$E$13="Dealer Owned Co-Sell"),150,IF(AND($K$21="Voice &amp; Data",$E$13="VAR/Distributor"),150,IF(AND($K$21="Voice Only",$E$13="Dealer Protected"),75,IF(AND($K$21="Voice Only",$E$13="Dealer Owned Co-Sell"),75,IF(AND($K$21="Voice Only",$E$13="VAR/Distributor"),75,IF(AND($K$21="Data Only",$E$13="Dealer Protected"),75,IF(AND($K$21="Data Only",$E$13="Dealer Owned Co-Sell"),75,IF(AND($K$21="Data Only",$E$13="VAR/Distributor"),75,0))))))))))))),0)</f>
        <v>0</v>
      </c>
      <c r="L47" s="15"/>
      <c r="M47" s="141">
        <f>IF(M27&gt;0,(IF($E$13="Direct",30,(IF($E$13="Dealer Only",30,IF(AND($M$21="Voice &amp; Data",$E$13="Dealer Protected"),150,IF(AND($M$21="Voice &amp; Data",$E$13="Dealer Owned Co-Sell"),150,IF(AND($M$21="Voice &amp; Data",$E$13="VAR/Distributor"),150,IF(AND($M$21="Voice Only",$E$13="Dealer Protected"),75,IF(AND($M$21="Voice Only",$E$13="Dealer Owned Co-Sell"),75,IF(AND($M$21="Voice Only",$E$13="VAR/Distributor"),75,IF(AND($M$21="Data Only",$E$13="Dealer Protected"),75,IF(AND($M$21="Data Only",$E$13="Dealer Owned Co-Sell"),75,IF(AND($M$21="Data Only",$E$13="VAR/Distributor"),75,0))))))))))))),0)</f>
        <v>0</v>
      </c>
      <c r="N47" s="15"/>
      <c r="O47" s="8"/>
      <c r="P47" s="8"/>
      <c r="R47" s="279"/>
      <c r="S47" s="326"/>
      <c r="T47" s="326"/>
      <c r="X47" s="5"/>
    </row>
    <row r="48" spans="2:28" s="13" customFormat="1" ht="20.25" customHeight="1" outlineLevel="1" x14ac:dyDescent="0.25">
      <c r="B48" s="8"/>
      <c r="C48" s="130"/>
      <c r="E48" s="205"/>
      <c r="F48" s="15"/>
      <c r="G48" s="205"/>
      <c r="H48" s="15"/>
      <c r="I48" s="205"/>
      <c r="J48" s="15"/>
      <c r="K48" s="205"/>
      <c r="L48" s="15"/>
      <c r="M48" s="205"/>
      <c r="N48" s="15"/>
      <c r="O48" s="8"/>
      <c r="P48" s="8"/>
      <c r="R48" s="279"/>
      <c r="S48" s="326"/>
      <c r="T48" s="326"/>
      <c r="X48" s="5"/>
    </row>
    <row r="49" spans="2:35" s="13" customFormat="1" ht="20.25" customHeight="1" outlineLevel="1" x14ac:dyDescent="0.25">
      <c r="B49" s="8"/>
      <c r="C49" s="130" t="s">
        <v>635</v>
      </c>
      <c r="E49" s="141">
        <f>SUM(E39)</f>
        <v>675</v>
      </c>
      <c r="F49" s="15"/>
      <c r="G49" s="141">
        <f>SUM(G39)</f>
        <v>675</v>
      </c>
      <c r="H49" s="15"/>
      <c r="I49" s="141">
        <f>SUM(I39)</f>
        <v>700</v>
      </c>
      <c r="J49" s="15"/>
      <c r="K49" s="141">
        <f>SUM(K39)</f>
        <v>675</v>
      </c>
      <c r="L49" s="15"/>
      <c r="M49" s="141">
        <f>SUM(M39)</f>
        <v>700</v>
      </c>
      <c r="N49" s="15"/>
      <c r="O49" s="8"/>
      <c r="P49" s="8"/>
      <c r="R49" s="279"/>
      <c r="S49" s="326"/>
      <c r="T49" s="326"/>
      <c r="W49" s="207"/>
      <c r="X49" s="5"/>
      <c r="Y49" s="204"/>
      <c r="Z49" s="164"/>
    </row>
    <row r="50" spans="2:35" s="13" customFormat="1" ht="9" customHeight="1" x14ac:dyDescent="0.2">
      <c r="B50" s="8"/>
      <c r="N50" s="15"/>
      <c r="O50" s="8"/>
      <c r="P50" s="8"/>
      <c r="R50" s="279"/>
      <c r="S50" s="326"/>
      <c r="T50" s="326"/>
      <c r="U50" s="127"/>
      <c r="X50" s="5"/>
    </row>
    <row r="51" spans="2:35" s="13" customFormat="1" ht="33" customHeight="1" x14ac:dyDescent="0.2">
      <c r="B51" s="8"/>
      <c r="C51" s="345" t="s">
        <v>191</v>
      </c>
      <c r="D51" s="16"/>
      <c r="E51" s="143">
        <f>E45+E47+E49</f>
        <v>675</v>
      </c>
      <c r="F51" s="15"/>
      <c r="G51" s="143">
        <f>G45+G47+G49</f>
        <v>675</v>
      </c>
      <c r="H51" s="15"/>
      <c r="I51" s="143">
        <f>I45+I47+I49</f>
        <v>700</v>
      </c>
      <c r="J51" s="15"/>
      <c r="K51" s="143">
        <f>K45+K47+K49</f>
        <v>1075</v>
      </c>
      <c r="L51" s="15"/>
      <c r="M51" s="143">
        <f>M45+M47+M49</f>
        <v>1100</v>
      </c>
      <c r="N51" s="17"/>
      <c r="O51" s="8"/>
      <c r="P51" s="8"/>
      <c r="R51" s="279"/>
      <c r="S51" s="326"/>
      <c r="T51" s="326"/>
      <c r="U51" s="127"/>
      <c r="W51" s="164"/>
      <c r="X51" s="208"/>
    </row>
    <row r="52" spans="2:35" s="13" customFormat="1" ht="11.1" customHeight="1" x14ac:dyDescent="0.2">
      <c r="B52" s="8"/>
      <c r="N52" s="15"/>
      <c r="O52" s="8"/>
      <c r="P52" s="8"/>
      <c r="R52" s="8"/>
      <c r="S52" s="326"/>
      <c r="T52" s="326"/>
      <c r="U52" s="127"/>
      <c r="X52" s="5"/>
    </row>
    <row r="53" spans="2:35" s="13" customFormat="1" ht="20.25" x14ac:dyDescent="0.25">
      <c r="B53" s="8"/>
      <c r="C53" s="345" t="s">
        <v>636</v>
      </c>
      <c r="D53" s="16"/>
      <c r="E53" s="143">
        <f>E57</f>
        <v>1512</v>
      </c>
      <c r="F53" s="15"/>
      <c r="G53" s="143">
        <f>G57</f>
        <v>1260</v>
      </c>
      <c r="H53" s="15"/>
      <c r="I53" s="143">
        <f>I57</f>
        <v>1789.2</v>
      </c>
      <c r="J53" s="15"/>
      <c r="K53" s="143">
        <f>K57</f>
        <v>1755</v>
      </c>
      <c r="L53" s="15"/>
      <c r="M53" s="143">
        <f>M57</f>
        <v>2295</v>
      </c>
      <c r="N53" s="15"/>
      <c r="O53" s="8"/>
      <c r="P53" s="8"/>
      <c r="S53" s="326"/>
      <c r="T53" s="326"/>
      <c r="U53" s="201"/>
      <c r="W53" s="164"/>
      <c r="X53" s="5"/>
      <c r="Y53" s="204"/>
      <c r="Z53" s="207"/>
    </row>
    <row r="54" spans="2:35" s="13" customFormat="1" ht="13.15" customHeight="1" x14ac:dyDescent="0.25">
      <c r="B54" s="8"/>
      <c r="C54" s="280"/>
      <c r="D54" s="281"/>
      <c r="E54" s="282"/>
      <c r="F54" s="283"/>
      <c r="G54" s="282"/>
      <c r="H54" s="283"/>
      <c r="I54" s="282"/>
      <c r="J54" s="283"/>
      <c r="K54" s="282"/>
      <c r="L54" s="283"/>
      <c r="M54" s="282"/>
      <c r="N54" s="15"/>
      <c r="O54" s="8"/>
      <c r="P54" s="8"/>
      <c r="R54" s="8"/>
      <c r="S54" s="326"/>
      <c r="T54" s="326"/>
      <c r="U54" s="201"/>
      <c r="X54" s="5"/>
      <c r="AE54" s="8"/>
      <c r="AF54" s="8"/>
      <c r="AG54" s="8"/>
      <c r="AH54" s="8"/>
      <c r="AI54" s="8"/>
    </row>
    <row r="55" spans="2:35" s="13" customFormat="1" ht="20.25" outlineLevel="1" x14ac:dyDescent="0.25">
      <c r="B55" s="8"/>
      <c r="C55" s="345" t="s">
        <v>637</v>
      </c>
      <c r="D55" s="16"/>
      <c r="E55" s="309">
        <f>IFERROR((E53-E51)/E53,"")</f>
        <v>0.5535714285714286</v>
      </c>
      <c r="F55" s="15"/>
      <c r="G55" s="309">
        <f>IFERROR((G53-G51)/G53,"")</f>
        <v>0.4642857142857143</v>
      </c>
      <c r="H55" s="15"/>
      <c r="I55" s="309">
        <f>IFERROR((I53-I51)/I53,"")</f>
        <v>0.60876369327073554</v>
      </c>
      <c r="J55" s="15"/>
      <c r="K55" s="309">
        <f>IFERROR((K53-K51)/K53,"")</f>
        <v>0.38746438746438744</v>
      </c>
      <c r="L55" s="15"/>
      <c r="M55" s="309">
        <f>IFERROR((M53-M51)/M53,"")</f>
        <v>0.52069716775599129</v>
      </c>
      <c r="N55" s="15"/>
      <c r="O55" s="8"/>
      <c r="P55" s="8"/>
      <c r="W55" s="207"/>
      <c r="X55" s="5"/>
      <c r="Y55" s="204"/>
      <c r="Z55" s="207"/>
    </row>
    <row r="56" spans="2:35" s="13" customFormat="1" ht="21" thickBot="1" x14ac:dyDescent="0.25">
      <c r="B56" s="8"/>
      <c r="C56" s="130"/>
      <c r="D56" s="16"/>
      <c r="E56" s="139"/>
      <c r="F56" s="15"/>
      <c r="G56" s="139"/>
      <c r="H56" s="15"/>
      <c r="I56" s="139"/>
      <c r="J56" s="15"/>
      <c r="K56" s="139"/>
      <c r="L56" s="15"/>
      <c r="M56" s="139"/>
      <c r="N56" s="15"/>
      <c r="O56" s="8"/>
      <c r="P56" s="8"/>
      <c r="Q56" s="127"/>
      <c r="R56" s="3"/>
      <c r="S56" s="127"/>
      <c r="T56" s="3"/>
      <c r="U56" s="127"/>
      <c r="X56" s="5"/>
    </row>
    <row r="57" spans="2:35" s="13" customFormat="1" ht="21" thickBot="1" x14ac:dyDescent="0.25">
      <c r="B57" s="8"/>
      <c r="C57" s="131" t="s">
        <v>6</v>
      </c>
      <c r="D57" s="14"/>
      <c r="E57" s="144">
        <f>IF(E27="",0,E37*E25)</f>
        <v>1512</v>
      </c>
      <c r="F57" s="15"/>
      <c r="G57" s="144">
        <f>IF(G27="",0,G37*G25)</f>
        <v>1260</v>
      </c>
      <c r="H57" s="15"/>
      <c r="I57" s="144">
        <f>IF(I27="",0,I37*I25)</f>
        <v>1789.2</v>
      </c>
      <c r="J57" s="15"/>
      <c r="K57" s="144">
        <f>IF(K27="",0,K37*K25)</f>
        <v>1755</v>
      </c>
      <c r="L57" s="15"/>
      <c r="M57" s="144">
        <f>IF(M27="",0,M37*M25)</f>
        <v>2295</v>
      </c>
      <c r="N57" s="30"/>
      <c r="O57" s="8"/>
      <c r="P57" s="8"/>
      <c r="Q57" s="127"/>
      <c r="R57" s="3"/>
      <c r="S57" s="127"/>
      <c r="T57" s="3"/>
      <c r="U57" s="127"/>
      <c r="X57" s="5"/>
    </row>
    <row r="58" spans="2:35" s="13" customFormat="1" ht="20.25" x14ac:dyDescent="0.2">
      <c r="B58" s="8"/>
      <c r="C58" s="130"/>
      <c r="D58" s="16"/>
      <c r="E58" s="139"/>
      <c r="F58" s="15"/>
      <c r="G58" s="139"/>
      <c r="H58" s="15"/>
      <c r="I58" s="139"/>
      <c r="J58" s="15"/>
      <c r="K58" s="139"/>
      <c r="L58" s="15"/>
      <c r="M58" s="139"/>
      <c r="N58" s="19"/>
      <c r="O58" s="8"/>
      <c r="P58" s="8"/>
      <c r="Q58" s="127"/>
      <c r="R58" s="3"/>
      <c r="S58" s="127"/>
      <c r="T58" s="3"/>
      <c r="U58" s="127"/>
      <c r="X58" s="5"/>
    </row>
    <row r="59" spans="2:35" s="13" customFormat="1" ht="20.45" customHeight="1" x14ac:dyDescent="0.2">
      <c r="B59" s="8"/>
      <c r="N59" s="19"/>
      <c r="O59" s="8"/>
      <c r="P59" s="8"/>
      <c r="Q59" s="127"/>
      <c r="R59" s="3"/>
      <c r="S59" s="127"/>
      <c r="T59" s="3"/>
      <c r="U59" s="127"/>
      <c r="X59" s="5"/>
    </row>
    <row r="60" spans="2:35" ht="34.5" customHeight="1" x14ac:dyDescent="0.25">
      <c r="C60" s="132"/>
      <c r="D60" s="16"/>
      <c r="E60" s="145"/>
      <c r="F60" s="15"/>
      <c r="G60" s="145"/>
      <c r="H60" s="15"/>
      <c r="I60" s="145"/>
      <c r="J60" s="15"/>
      <c r="K60" s="145"/>
      <c r="L60" s="15"/>
      <c r="M60" s="145"/>
      <c r="X60" s="32"/>
    </row>
    <row r="61" spans="2:35" ht="15.75" customHeight="1" x14ac:dyDescent="0.2">
      <c r="C61" s="153"/>
      <c r="D61" s="14"/>
      <c r="E61" s="146"/>
      <c r="F61" s="30"/>
      <c r="G61" s="146"/>
      <c r="H61" s="30"/>
      <c r="I61" s="146"/>
      <c r="J61" s="30"/>
      <c r="K61" s="146"/>
      <c r="L61" s="30"/>
      <c r="M61" s="146"/>
    </row>
    <row r="62" spans="2:35" ht="14.25" customHeight="1" x14ac:dyDescent="0.2">
      <c r="C62" s="130"/>
      <c r="D62" s="16"/>
      <c r="E62" s="205"/>
      <c r="F62" s="15"/>
      <c r="G62" s="205"/>
      <c r="H62" s="15"/>
      <c r="I62" s="205"/>
      <c r="J62" s="15"/>
      <c r="K62" s="205"/>
      <c r="L62" s="15"/>
      <c r="M62" s="205"/>
    </row>
    <row r="63" spans="2:35" ht="14.25" customHeight="1" x14ac:dyDescent="0.2">
      <c r="C63" s="13"/>
      <c r="D63" s="13"/>
      <c r="E63" s="13"/>
      <c r="F63" s="13"/>
      <c r="G63" s="13"/>
      <c r="H63" s="13"/>
      <c r="I63" s="13"/>
      <c r="J63" s="13"/>
      <c r="K63" s="13"/>
      <c r="L63" s="13"/>
      <c r="M63" s="13"/>
    </row>
    <row r="64" spans="2:35" ht="14.25" customHeight="1" x14ac:dyDescent="0.2">
      <c r="C64" s="133"/>
      <c r="D64" s="18"/>
      <c r="E64" s="147"/>
      <c r="F64" s="19"/>
      <c r="G64" s="147"/>
      <c r="H64" s="19"/>
      <c r="I64" s="147"/>
      <c r="J64" s="19"/>
      <c r="K64" s="147"/>
      <c r="L64" s="19"/>
      <c r="M64" s="147"/>
    </row>
    <row r="65" spans="3:70" ht="14.25" customHeight="1" x14ac:dyDescent="0.2">
      <c r="C65" s="133"/>
      <c r="D65" s="18"/>
      <c r="E65" s="147"/>
      <c r="F65" s="19"/>
      <c r="G65" s="147"/>
      <c r="H65" s="19"/>
      <c r="I65" s="147"/>
      <c r="J65" s="19"/>
      <c r="K65" s="147"/>
      <c r="L65" s="19"/>
      <c r="M65" s="147"/>
      <c r="N65" s="329"/>
      <c r="O65" s="329"/>
      <c r="P65" s="329"/>
      <c r="Q65" s="169"/>
      <c r="R65" s="329"/>
      <c r="S65" s="169"/>
      <c r="T65" s="329"/>
      <c r="U65" s="169"/>
      <c r="V65" s="329"/>
      <c r="W65" s="329"/>
      <c r="X65" s="329"/>
      <c r="Y65" s="329"/>
    </row>
    <row r="66" spans="3:70" ht="14.25" customHeight="1" x14ac:dyDescent="0.25">
      <c r="N66" s="329"/>
      <c r="O66" s="329"/>
      <c r="P66" s="329"/>
      <c r="Q66" s="169"/>
      <c r="R66" s="329"/>
      <c r="S66" s="169"/>
      <c r="T66" s="329"/>
      <c r="U66" s="169"/>
      <c r="V66" s="329"/>
      <c r="W66" s="329"/>
      <c r="X66" s="329"/>
      <c r="Y66" s="329"/>
      <c r="AC66"/>
      <c r="AD66"/>
    </row>
    <row r="67" spans="3:70" ht="14.25" customHeight="1" x14ac:dyDescent="0.25">
      <c r="M67" s="169"/>
      <c r="N67" s="329"/>
      <c r="O67" s="329"/>
      <c r="P67" s="329"/>
      <c r="Q67" s="169"/>
      <c r="R67" s="329"/>
      <c r="S67" s="169"/>
      <c r="T67" s="329"/>
      <c r="U67" s="169"/>
      <c r="V67" s="329"/>
      <c r="W67" s="329"/>
      <c r="X67" s="329"/>
      <c r="Y67" s="329"/>
      <c r="AC67"/>
      <c r="AD67"/>
    </row>
    <row r="68" spans="3:70" ht="14.25" customHeight="1" x14ac:dyDescent="0.25">
      <c r="M68" s="169"/>
      <c r="N68" s="329"/>
      <c r="O68" s="329"/>
      <c r="P68" s="329"/>
      <c r="Q68" s="169"/>
      <c r="R68" s="329"/>
      <c r="S68" s="169"/>
      <c r="T68" s="329"/>
      <c r="U68" s="169"/>
      <c r="V68" s="329"/>
      <c r="W68" s="329"/>
      <c r="X68" s="329"/>
      <c r="Y68" s="329"/>
      <c r="AC68"/>
      <c r="AD68"/>
    </row>
    <row r="69" spans="3:70" ht="14.25" customHeight="1" x14ac:dyDescent="0.25">
      <c r="M69" s="169"/>
      <c r="N69" s="329"/>
      <c r="O69" s="329"/>
      <c r="P69" s="329"/>
      <c r="Q69" s="169"/>
      <c r="R69" s="329"/>
      <c r="S69" s="169"/>
      <c r="T69" s="329"/>
      <c r="U69" s="169"/>
      <c r="V69" s="329"/>
      <c r="W69" s="329"/>
      <c r="X69" s="329"/>
      <c r="Y69" s="329"/>
      <c r="AC69"/>
      <c r="AD69"/>
    </row>
    <row r="70" spans="3:70" ht="14.25" customHeight="1" x14ac:dyDescent="0.25">
      <c r="M70" s="169"/>
      <c r="N70" s="329"/>
      <c r="O70" s="329"/>
      <c r="P70" s="329"/>
      <c r="Q70" s="169"/>
      <c r="R70" s="329"/>
      <c r="S70" s="169"/>
      <c r="T70" s="329"/>
      <c r="U70" s="169"/>
      <c r="V70" s="329"/>
      <c r="W70" s="329"/>
      <c r="X70" s="329"/>
      <c r="Y70" s="329"/>
      <c r="AC70"/>
      <c r="AD70"/>
    </row>
    <row r="71" spans="3:70" ht="14.25" customHeight="1" x14ac:dyDescent="0.2">
      <c r="M71" s="169"/>
      <c r="N71" s="329"/>
      <c r="O71" s="329"/>
      <c r="P71" s="329"/>
      <c r="Q71" s="169"/>
      <c r="R71" s="329"/>
      <c r="S71" s="169"/>
      <c r="T71" s="329"/>
      <c r="U71" s="169"/>
      <c r="V71" s="329"/>
      <c r="W71" s="329"/>
      <c r="X71" s="329"/>
      <c r="Y71" s="329"/>
    </row>
    <row r="72" spans="3:70" x14ac:dyDescent="0.2">
      <c r="M72" s="169"/>
      <c r="N72" s="329"/>
      <c r="O72" s="329"/>
      <c r="P72" s="329"/>
      <c r="Q72" s="320"/>
      <c r="R72" s="321"/>
      <c r="S72" s="320"/>
      <c r="T72" s="321"/>
      <c r="U72" s="169"/>
      <c r="V72" s="329"/>
      <c r="W72" s="329"/>
      <c r="X72" s="329"/>
      <c r="Y72" s="329"/>
    </row>
    <row r="73" spans="3:70" x14ac:dyDescent="0.2">
      <c r="M73" s="169"/>
      <c r="N73" s="329"/>
      <c r="O73" s="329"/>
      <c r="P73" s="329"/>
      <c r="Q73" s="320"/>
      <c r="R73" s="321"/>
      <c r="S73" s="322"/>
      <c r="T73" s="321"/>
      <c r="U73" s="169"/>
      <c r="V73" s="329"/>
      <c r="W73" s="329"/>
      <c r="X73" s="329"/>
      <c r="Y73" s="329"/>
    </row>
    <row r="74" spans="3:70" x14ac:dyDescent="0.2">
      <c r="M74" s="169"/>
      <c r="N74" s="329"/>
      <c r="O74" s="329"/>
      <c r="P74" s="329"/>
      <c r="Q74" s="320"/>
      <c r="R74" s="321"/>
      <c r="S74" s="322"/>
      <c r="T74" s="321"/>
      <c r="U74" s="169"/>
      <c r="V74" s="329"/>
      <c r="W74" s="329"/>
      <c r="X74" s="329"/>
      <c r="Y74" s="329"/>
      <c r="BL74" s="270"/>
      <c r="BM74" s="270"/>
      <c r="BN74" s="270"/>
      <c r="BO74" s="270"/>
      <c r="BP74" s="270"/>
      <c r="BQ74" s="270"/>
      <c r="BR74" s="270"/>
    </row>
    <row r="75" spans="3:70" x14ac:dyDescent="0.2">
      <c r="E75" s="206"/>
      <c r="G75" s="206"/>
      <c r="I75" s="206"/>
      <c r="K75" s="206"/>
      <c r="M75" s="330"/>
      <c r="N75" s="329"/>
      <c r="O75" s="329"/>
      <c r="P75" s="329"/>
      <c r="Q75" s="320"/>
      <c r="R75" s="321"/>
      <c r="S75" s="322"/>
      <c r="T75" s="321"/>
      <c r="U75" s="169"/>
      <c r="V75" s="329"/>
      <c r="W75" s="329"/>
      <c r="X75" s="329"/>
      <c r="Y75" s="329"/>
      <c r="BL75" s="270"/>
      <c r="BM75" s="270"/>
      <c r="BN75" s="270"/>
      <c r="BO75" s="270"/>
      <c r="BP75" s="270"/>
      <c r="BQ75" s="270"/>
      <c r="BR75" s="270"/>
    </row>
    <row r="76" spans="3:70" x14ac:dyDescent="0.2">
      <c r="M76" s="169"/>
      <c r="N76" s="329"/>
      <c r="O76" s="329"/>
      <c r="P76" s="329"/>
      <c r="Q76" s="320"/>
      <c r="R76" s="321"/>
      <c r="S76" s="322"/>
      <c r="T76" s="321"/>
      <c r="U76" s="169"/>
      <c r="V76" s="329"/>
      <c r="W76" s="329"/>
      <c r="X76" s="329"/>
      <c r="Y76" s="329"/>
      <c r="BL76" s="270"/>
      <c r="BM76" s="270"/>
      <c r="BN76" s="270"/>
      <c r="BO76" s="270"/>
      <c r="BP76" s="270"/>
      <c r="BQ76" s="270"/>
      <c r="BR76" s="270"/>
    </row>
    <row r="77" spans="3:70" x14ac:dyDescent="0.2">
      <c r="M77" s="169"/>
      <c r="N77" s="329"/>
      <c r="O77" s="329"/>
      <c r="P77" s="329"/>
      <c r="Q77" s="320"/>
      <c r="R77" s="321"/>
      <c r="S77" s="320"/>
      <c r="T77" s="321"/>
      <c r="U77" s="169"/>
      <c r="V77" s="329"/>
      <c r="W77" s="329"/>
      <c r="X77" s="329"/>
      <c r="Y77" s="329"/>
      <c r="BL77" s="270"/>
      <c r="BM77" s="270"/>
      <c r="BN77" s="270"/>
      <c r="BO77" s="270"/>
      <c r="BP77" s="270"/>
      <c r="BQ77" s="270"/>
      <c r="BR77" s="270"/>
    </row>
    <row r="78" spans="3:70" x14ac:dyDescent="0.2">
      <c r="M78" s="169"/>
      <c r="N78" s="329"/>
      <c r="O78" s="329"/>
      <c r="P78" s="329"/>
      <c r="Q78" s="169"/>
      <c r="R78" s="329"/>
      <c r="S78" s="169"/>
      <c r="T78" s="329"/>
      <c r="U78" s="169"/>
      <c r="V78" s="329"/>
      <c r="W78" s="329"/>
      <c r="X78" s="329"/>
      <c r="Y78" s="329"/>
      <c r="BL78" s="270"/>
      <c r="BM78" s="270"/>
      <c r="BN78" s="270"/>
      <c r="BO78" s="270"/>
      <c r="BP78" s="270"/>
      <c r="BQ78" s="270"/>
      <c r="BR78" s="270"/>
    </row>
    <row r="79" spans="3:70" x14ac:dyDescent="0.2">
      <c r="M79" s="169"/>
      <c r="N79" s="329"/>
      <c r="O79" s="329"/>
      <c r="P79" s="329"/>
      <c r="Q79" s="169"/>
      <c r="R79" s="329"/>
      <c r="S79" s="169"/>
      <c r="T79" s="329"/>
      <c r="U79" s="169"/>
      <c r="V79" s="329"/>
      <c r="W79" s="329"/>
      <c r="X79" s="329"/>
      <c r="Y79" s="329"/>
      <c r="BL79" s="270"/>
      <c r="BM79" s="270"/>
      <c r="BN79" s="270"/>
      <c r="BO79" s="270"/>
      <c r="BP79" s="270"/>
      <c r="BQ79" s="270"/>
      <c r="BR79" s="270"/>
    </row>
    <row r="80" spans="3:70" x14ac:dyDescent="0.2">
      <c r="M80" s="169"/>
      <c r="N80" s="329"/>
      <c r="O80" s="329"/>
      <c r="P80" s="329"/>
      <c r="Q80" s="169"/>
      <c r="R80" s="329"/>
      <c r="S80" s="169"/>
      <c r="T80" s="329"/>
      <c r="U80" s="169"/>
      <c r="V80" s="329"/>
      <c r="W80" s="329"/>
      <c r="X80" s="329"/>
      <c r="Y80" s="329"/>
      <c r="BL80" s="270"/>
      <c r="BM80" s="270"/>
      <c r="BN80" s="270"/>
      <c r="BO80" s="270"/>
      <c r="BP80" s="270"/>
      <c r="BQ80" s="270"/>
      <c r="BR80" s="270"/>
    </row>
    <row r="81" spans="3:70" hidden="1" outlineLevel="1" x14ac:dyDescent="0.2">
      <c r="M81" s="169"/>
      <c r="N81" s="329"/>
      <c r="O81" s="329"/>
      <c r="P81" s="329"/>
      <c r="Q81" s="169"/>
      <c r="R81" s="329"/>
      <c r="S81" s="169"/>
      <c r="T81" s="329"/>
      <c r="U81" s="169"/>
      <c r="V81" s="329"/>
      <c r="W81" s="329"/>
      <c r="X81" s="329"/>
      <c r="Y81" s="329"/>
      <c r="BL81" s="270"/>
      <c r="BM81" s="270"/>
      <c r="BN81" s="270"/>
      <c r="BO81" s="270"/>
      <c r="BP81" s="270"/>
      <c r="BQ81" s="270"/>
      <c r="BR81" s="270"/>
    </row>
    <row r="82" spans="3:70" hidden="1" outlineLevel="1" x14ac:dyDescent="0.2">
      <c r="M82" s="169"/>
      <c r="N82" s="329"/>
      <c r="O82" s="329"/>
      <c r="P82" s="329"/>
      <c r="Q82" s="169"/>
      <c r="R82" s="329"/>
      <c r="S82" s="169"/>
      <c r="T82" s="329"/>
      <c r="U82" s="169"/>
      <c r="V82" s="329"/>
      <c r="W82" s="329"/>
      <c r="X82" s="329"/>
      <c r="Y82" s="329"/>
      <c r="BL82" s="270"/>
      <c r="BM82" s="270"/>
      <c r="BN82" s="270"/>
      <c r="BO82" s="270"/>
      <c r="BP82" s="270"/>
      <c r="BQ82" s="270"/>
      <c r="BR82" s="270"/>
    </row>
    <row r="83" spans="3:70" hidden="1" outlineLevel="1" x14ac:dyDescent="0.2">
      <c r="M83" s="169"/>
      <c r="N83" s="329"/>
      <c r="O83" s="329"/>
      <c r="P83" s="329"/>
      <c r="Q83" s="169"/>
      <c r="R83" s="329"/>
      <c r="S83" s="169"/>
      <c r="T83" s="329"/>
      <c r="U83" s="169"/>
      <c r="V83" s="329"/>
      <c r="W83" s="329"/>
      <c r="X83" s="329"/>
      <c r="Y83" s="329"/>
      <c r="BL83" s="270"/>
      <c r="BM83" s="270"/>
      <c r="BN83" s="270"/>
      <c r="BO83" s="270"/>
      <c r="BP83" s="270"/>
      <c r="BQ83" s="270"/>
      <c r="BR83" s="270"/>
    </row>
    <row r="84" spans="3:70" hidden="1" outlineLevel="1" x14ac:dyDescent="0.2">
      <c r="M84" s="169"/>
      <c r="N84" s="329"/>
      <c r="O84" s="329"/>
      <c r="P84" s="329"/>
      <c r="Q84" s="169"/>
      <c r="R84" s="329"/>
      <c r="S84" s="169"/>
      <c r="T84" s="329"/>
      <c r="U84" s="169"/>
      <c r="V84" s="329"/>
      <c r="W84" s="329"/>
      <c r="X84" s="329"/>
      <c r="Y84" s="329"/>
      <c r="BL84" s="270"/>
      <c r="BM84" s="270"/>
      <c r="BN84" s="270"/>
      <c r="BO84" s="270"/>
      <c r="BP84" s="270"/>
      <c r="BQ84" s="270"/>
      <c r="BR84" s="270"/>
    </row>
    <row r="85" spans="3:70" hidden="1" outlineLevel="1" x14ac:dyDescent="0.2">
      <c r="M85" s="169"/>
      <c r="N85" s="329"/>
      <c r="O85" s="329"/>
      <c r="P85" s="329"/>
      <c r="Q85" s="169"/>
      <c r="R85" s="329"/>
      <c r="S85" s="169"/>
      <c r="T85" s="329"/>
      <c r="U85" s="169"/>
      <c r="V85" s="329"/>
      <c r="W85" s="329"/>
      <c r="X85" s="329"/>
      <c r="Y85" s="329"/>
      <c r="BL85" s="270"/>
      <c r="BM85" s="270"/>
      <c r="BN85" s="270"/>
      <c r="BO85" s="270"/>
      <c r="BP85" s="270"/>
      <c r="BQ85" s="270"/>
      <c r="BR85" s="270"/>
    </row>
    <row r="86" spans="3:70" hidden="1" outlineLevel="1" x14ac:dyDescent="0.2">
      <c r="M86" s="169"/>
      <c r="N86" s="329"/>
      <c r="O86" s="329"/>
      <c r="P86" s="329"/>
      <c r="Q86" s="169"/>
      <c r="R86" s="329"/>
      <c r="S86" s="169"/>
      <c r="T86" s="329"/>
      <c r="U86" s="169"/>
      <c r="V86" s="329"/>
      <c r="W86" s="329"/>
      <c r="X86" s="329"/>
      <c r="Y86" s="329"/>
      <c r="BL86" s="270"/>
      <c r="BM86" s="270"/>
      <c r="BN86" s="270"/>
      <c r="BO86" s="270"/>
      <c r="BP86" s="270"/>
      <c r="BQ86" s="270"/>
      <c r="BR86" s="270"/>
    </row>
    <row r="87" spans="3:70" hidden="1" outlineLevel="1" x14ac:dyDescent="0.2">
      <c r="C87" s="134"/>
      <c r="E87" s="148"/>
      <c r="G87" s="148"/>
      <c r="I87" s="148"/>
      <c r="K87" s="148"/>
      <c r="M87" s="331"/>
      <c r="N87" s="329"/>
      <c r="O87" s="329"/>
      <c r="P87" s="329"/>
      <c r="Q87" s="169"/>
      <c r="R87" s="329"/>
      <c r="S87" s="169"/>
      <c r="T87" s="329"/>
      <c r="U87" s="169"/>
      <c r="V87" s="329"/>
      <c r="W87" s="329"/>
      <c r="X87" s="329"/>
      <c r="Y87" s="329"/>
      <c r="BL87" s="270"/>
      <c r="BM87" s="270"/>
      <c r="BN87" s="270"/>
      <c r="BO87" s="270"/>
      <c r="BP87" s="270"/>
      <c r="BQ87" s="270"/>
      <c r="BR87" s="270"/>
    </row>
    <row r="88" spans="3:70" s="158" customFormat="1" hidden="1" outlineLevel="1" x14ac:dyDescent="0.2">
      <c r="C88" s="127"/>
      <c r="D88" s="3"/>
      <c r="E88" s="135"/>
      <c r="F88" s="3"/>
      <c r="G88" s="127"/>
      <c r="H88" s="3"/>
      <c r="I88" s="127"/>
      <c r="J88" s="3"/>
      <c r="K88" s="127"/>
      <c r="L88" s="3"/>
      <c r="M88" s="169"/>
      <c r="Q88" s="320"/>
      <c r="R88" s="321"/>
      <c r="S88" s="320"/>
      <c r="T88" s="321"/>
      <c r="U88" s="320"/>
      <c r="V88" s="321"/>
      <c r="BL88" s="271"/>
      <c r="BM88" s="271"/>
      <c r="BN88" s="271"/>
      <c r="BO88" s="271"/>
      <c r="BP88" s="271"/>
      <c r="BQ88" s="271"/>
      <c r="BR88" s="271"/>
    </row>
    <row r="89" spans="3:70" s="158" customFormat="1" hidden="1" outlineLevel="1" x14ac:dyDescent="0.2">
      <c r="C89" s="127"/>
      <c r="D89" s="3"/>
      <c r="E89" s="135"/>
      <c r="F89" s="3"/>
      <c r="G89" s="127"/>
      <c r="H89" s="3"/>
      <c r="I89" s="127"/>
      <c r="J89" s="3"/>
      <c r="K89" s="127"/>
      <c r="L89" s="3"/>
      <c r="M89" s="169"/>
      <c r="Q89" s="320"/>
      <c r="R89" s="321"/>
      <c r="S89" s="320"/>
      <c r="T89" s="321"/>
      <c r="U89" s="320"/>
      <c r="V89" s="321"/>
      <c r="BL89" s="271"/>
      <c r="BM89" s="271"/>
      <c r="BN89" s="271"/>
      <c r="BO89" s="271"/>
      <c r="BP89" s="271"/>
      <c r="BQ89" s="271"/>
      <c r="BR89" s="271"/>
    </row>
    <row r="90" spans="3:70" s="158" customFormat="1" hidden="1" outlineLevel="1" x14ac:dyDescent="0.2">
      <c r="C90" s="157"/>
      <c r="E90" s="159"/>
      <c r="G90" s="157"/>
      <c r="I90" s="157"/>
      <c r="K90" s="157"/>
      <c r="M90" s="157"/>
      <c r="Q90" s="320"/>
      <c r="R90" s="321"/>
      <c r="S90" s="320"/>
      <c r="T90" s="321"/>
      <c r="U90" s="320"/>
      <c r="V90" s="321"/>
      <c r="BL90" s="271"/>
      <c r="BM90" s="271"/>
      <c r="BN90" s="271"/>
      <c r="BO90" s="271"/>
      <c r="BP90" s="271"/>
      <c r="BQ90" s="271"/>
      <c r="BR90" s="271"/>
    </row>
    <row r="91" spans="3:70" s="158" customFormat="1" hidden="1" outlineLevel="1" x14ac:dyDescent="0.2">
      <c r="C91" s="157"/>
      <c r="E91" s="159"/>
      <c r="G91" s="157"/>
      <c r="I91" s="157"/>
      <c r="K91" s="157"/>
      <c r="M91" s="157"/>
      <c r="Q91" s="320"/>
      <c r="R91" s="321"/>
      <c r="S91" s="320"/>
      <c r="T91" s="321"/>
      <c r="U91" s="320"/>
      <c r="V91" s="321"/>
      <c r="BL91" s="271"/>
      <c r="BM91" s="271"/>
      <c r="BN91" s="271"/>
      <c r="BO91" s="271"/>
      <c r="BP91" s="271"/>
      <c r="BQ91" s="271"/>
      <c r="BR91" s="271"/>
    </row>
    <row r="92" spans="3:70" s="158" customFormat="1" hidden="1" outlineLevel="1" x14ac:dyDescent="0.2">
      <c r="C92" s="157"/>
      <c r="E92" s="159"/>
      <c r="G92" s="157"/>
      <c r="I92" s="157"/>
      <c r="K92" s="157"/>
      <c r="M92" s="157"/>
      <c r="Q92" s="320"/>
      <c r="R92" s="321"/>
      <c r="S92" s="320"/>
      <c r="T92" s="321"/>
      <c r="U92" s="320"/>
      <c r="V92" s="321"/>
      <c r="BL92" s="271"/>
      <c r="BM92" s="271"/>
      <c r="BN92" s="271"/>
      <c r="BO92" s="271"/>
      <c r="BP92" s="271"/>
      <c r="BQ92" s="271"/>
      <c r="BR92" s="271"/>
    </row>
    <row r="93" spans="3:70" s="158" customFormat="1" hidden="1" outlineLevel="1" x14ac:dyDescent="0.2">
      <c r="C93" s="157"/>
      <c r="E93" s="159"/>
      <c r="G93" s="157"/>
      <c r="I93" s="157"/>
      <c r="K93" s="157"/>
      <c r="M93" s="157"/>
      <c r="Q93" s="320"/>
      <c r="R93" s="321"/>
      <c r="S93" s="320"/>
      <c r="T93" s="321"/>
      <c r="U93" s="320"/>
      <c r="V93" s="321"/>
      <c r="BL93" s="271"/>
      <c r="BM93" s="271"/>
      <c r="BN93" s="271"/>
      <c r="BO93" s="271"/>
      <c r="BP93" s="271"/>
      <c r="BQ93" s="271"/>
      <c r="BR93" s="271"/>
    </row>
    <row r="94" spans="3:70" s="158" customFormat="1" hidden="1" outlineLevel="1" x14ac:dyDescent="0.2">
      <c r="C94" s="157"/>
      <c r="E94" s="159"/>
      <c r="G94" s="157"/>
      <c r="I94" s="157"/>
      <c r="K94" s="157"/>
      <c r="M94" s="157"/>
      <c r="Q94" s="320"/>
      <c r="R94" s="321"/>
      <c r="S94" s="320"/>
      <c r="T94" s="321"/>
      <c r="U94" s="320"/>
      <c r="V94" s="321"/>
      <c r="BL94" s="271"/>
      <c r="BM94" s="271"/>
      <c r="BN94" s="271"/>
      <c r="BO94" s="271"/>
      <c r="BP94" s="271"/>
      <c r="BQ94" s="271"/>
      <c r="BR94" s="271"/>
    </row>
    <row r="95" spans="3:70" s="158" customFormat="1" hidden="1" outlineLevel="1" x14ac:dyDescent="0.2">
      <c r="C95" s="157"/>
      <c r="E95" s="159"/>
      <c r="G95" s="157"/>
      <c r="I95" s="157"/>
      <c r="K95" s="157"/>
      <c r="M95" s="157"/>
      <c r="Q95" s="320"/>
      <c r="R95" s="321"/>
      <c r="S95" s="320"/>
      <c r="T95" s="321"/>
      <c r="U95" s="320"/>
      <c r="V95" s="321"/>
      <c r="BL95" s="271"/>
      <c r="BM95" s="271"/>
      <c r="BN95" s="271"/>
      <c r="BO95" s="271"/>
      <c r="BP95" s="271"/>
      <c r="BQ95" s="271"/>
      <c r="BR95" s="271"/>
    </row>
    <row r="96" spans="3:70" s="158" customFormat="1" hidden="1" outlineLevel="1" x14ac:dyDescent="0.2">
      <c r="C96" s="157"/>
      <c r="E96" s="159"/>
      <c r="G96" s="157"/>
      <c r="I96" s="157"/>
      <c r="K96" s="157"/>
      <c r="M96" s="157"/>
      <c r="Q96" s="320"/>
      <c r="R96" s="321"/>
      <c r="S96" s="320"/>
      <c r="T96" s="321"/>
      <c r="U96" s="320"/>
      <c r="V96" s="321"/>
      <c r="BL96" s="271"/>
      <c r="BM96" s="271"/>
      <c r="BN96" s="271"/>
      <c r="BO96" s="271"/>
      <c r="BP96" s="271"/>
      <c r="BQ96" s="271"/>
      <c r="BR96" s="271"/>
    </row>
    <row r="97" spans="1:72" s="158" customFormat="1" hidden="1" outlineLevel="1" x14ac:dyDescent="0.2">
      <c r="C97" s="157"/>
      <c r="E97" s="159"/>
      <c r="G97" s="157"/>
      <c r="I97" s="157"/>
      <c r="K97" s="157"/>
      <c r="M97" s="157"/>
      <c r="Q97" s="320"/>
      <c r="R97" s="321"/>
      <c r="S97" s="320"/>
      <c r="T97" s="321"/>
      <c r="U97" s="320"/>
      <c r="V97" s="321"/>
      <c r="BL97" s="271"/>
      <c r="BM97" s="271"/>
      <c r="BN97" s="271"/>
      <c r="BO97" s="271"/>
      <c r="BP97" s="271"/>
      <c r="BQ97" s="271"/>
      <c r="BR97" s="271"/>
    </row>
    <row r="98" spans="1:72" s="158" customFormat="1" hidden="1" outlineLevel="1" x14ac:dyDescent="0.2">
      <c r="C98" s="157"/>
      <c r="E98" s="159"/>
      <c r="G98" s="157"/>
      <c r="I98" s="157"/>
      <c r="K98" s="157"/>
      <c r="M98" s="157"/>
      <c r="Q98" s="320"/>
      <c r="R98" s="321"/>
      <c r="S98" s="320"/>
      <c r="T98" s="321"/>
      <c r="U98" s="320"/>
      <c r="V98" s="321"/>
      <c r="BL98" s="271"/>
      <c r="BM98" s="271"/>
      <c r="BN98" s="271"/>
      <c r="BO98" s="271"/>
      <c r="BP98" s="271"/>
      <c r="BQ98" s="271"/>
      <c r="BR98" s="271"/>
    </row>
    <row r="99" spans="1:72" s="158" customFormat="1" hidden="1" outlineLevel="1" x14ac:dyDescent="0.2">
      <c r="C99" s="157"/>
      <c r="E99" s="159"/>
      <c r="G99" s="157"/>
      <c r="I99" s="157"/>
      <c r="K99" s="157"/>
      <c r="M99" s="157"/>
      <c r="Q99" s="320"/>
      <c r="R99" s="321"/>
      <c r="S99" s="320"/>
      <c r="T99" s="321"/>
      <c r="U99" s="320"/>
      <c r="V99" s="321"/>
      <c r="BL99" s="271"/>
      <c r="BM99" s="271"/>
      <c r="BN99" s="271"/>
      <c r="BO99" s="271"/>
      <c r="BP99" s="271"/>
      <c r="BQ99" s="271"/>
      <c r="BR99" s="271"/>
    </row>
    <row r="100" spans="1:72" s="158" customFormat="1" hidden="1" outlineLevel="1" x14ac:dyDescent="0.2">
      <c r="C100" s="157"/>
      <c r="E100" s="159"/>
      <c r="G100" s="157"/>
      <c r="I100" s="157"/>
      <c r="K100" s="157"/>
      <c r="M100" s="157"/>
      <c r="Q100" s="320"/>
      <c r="R100" s="321"/>
      <c r="S100" s="320"/>
      <c r="T100" s="321"/>
      <c r="U100" s="320"/>
      <c r="V100" s="321"/>
      <c r="BL100" s="271"/>
      <c r="BM100" s="271"/>
      <c r="BN100" s="271"/>
      <c r="BO100" s="271"/>
      <c r="BP100" s="271"/>
      <c r="BQ100" s="271"/>
      <c r="BR100" s="271"/>
    </row>
    <row r="101" spans="1:72" s="158" customFormat="1" hidden="1" outlineLevel="1" x14ac:dyDescent="0.2">
      <c r="C101" s="157"/>
      <c r="E101" s="159"/>
      <c r="G101" s="157"/>
      <c r="I101" s="157"/>
      <c r="K101" s="157"/>
      <c r="M101" s="157"/>
      <c r="Q101" s="323" t="s">
        <v>248</v>
      </c>
      <c r="R101" s="323" t="s">
        <v>261</v>
      </c>
      <c r="S101" s="323" t="s">
        <v>262</v>
      </c>
      <c r="T101" s="323" t="s">
        <v>267</v>
      </c>
      <c r="U101" s="323" t="s">
        <v>263</v>
      </c>
      <c r="V101" s="321"/>
      <c r="BL101" s="271"/>
      <c r="BM101" s="271"/>
      <c r="BN101" s="271"/>
      <c r="BO101" s="271"/>
      <c r="BP101" s="271"/>
      <c r="BQ101" s="271"/>
      <c r="BR101" s="271"/>
    </row>
    <row r="102" spans="1:72" s="158" customFormat="1" hidden="1" outlineLevel="1" x14ac:dyDescent="0.2">
      <c r="C102" s="157"/>
      <c r="E102" s="159"/>
      <c r="G102" s="157"/>
      <c r="I102" s="157"/>
      <c r="K102" s="157"/>
      <c r="M102" s="157"/>
      <c r="Q102" s="324">
        <f>U43</f>
        <v>0</v>
      </c>
      <c r="R102" s="323" t="str">
        <f>E23</f>
        <v>Acquisition</v>
      </c>
      <c r="S102" s="323">
        <f>E27</f>
        <v>10</v>
      </c>
      <c r="T102" s="325">
        <f>E37</f>
        <v>42</v>
      </c>
      <c r="U102" s="323" t="e">
        <f>#REF!</f>
        <v>#REF!</v>
      </c>
      <c r="V102" s="321"/>
      <c r="BL102" s="272"/>
      <c r="BM102" s="272"/>
      <c r="BN102" s="272"/>
      <c r="BO102" s="272"/>
      <c r="BP102" s="272"/>
      <c r="BQ102" s="272"/>
      <c r="BR102" s="272"/>
      <c r="BS102" s="272"/>
      <c r="BT102" s="272"/>
    </row>
    <row r="103" spans="1:72" s="158" customFormat="1" hidden="1" outlineLevel="1" x14ac:dyDescent="0.2">
      <c r="C103" s="157"/>
      <c r="E103" s="159"/>
      <c r="G103" s="157"/>
      <c r="I103" s="157"/>
      <c r="K103" s="157"/>
      <c r="M103" s="157"/>
      <c r="Q103" s="320"/>
      <c r="R103" s="321"/>
      <c r="S103" s="320"/>
      <c r="T103" s="321"/>
      <c r="U103" s="320"/>
      <c r="V103" s="321"/>
      <c r="BL103" s="272"/>
      <c r="BM103" s="272"/>
      <c r="BN103" s="272"/>
      <c r="BO103" s="272"/>
      <c r="BP103" s="272"/>
      <c r="BQ103" s="272"/>
      <c r="BR103" s="272"/>
      <c r="BS103" s="272"/>
      <c r="BT103" s="272"/>
    </row>
    <row r="104" spans="1:72" s="158" customFormat="1" hidden="1" outlineLevel="1" x14ac:dyDescent="0.2">
      <c r="C104" s="157"/>
      <c r="E104" s="159"/>
      <c r="G104" s="157"/>
      <c r="I104" s="157"/>
      <c r="K104" s="157"/>
      <c r="M104" s="157"/>
      <c r="Q104" s="320"/>
      <c r="R104" s="321"/>
      <c r="S104" s="320"/>
      <c r="T104" s="321"/>
      <c r="U104" s="320"/>
      <c r="V104" s="321"/>
      <c r="BL104" s="272"/>
      <c r="BM104" s="272"/>
      <c r="BN104" s="272"/>
      <c r="BO104" s="272"/>
      <c r="BP104" s="272"/>
      <c r="BQ104" s="272"/>
      <c r="BR104" s="272"/>
      <c r="BS104" s="272"/>
      <c r="BT104" s="272"/>
    </row>
    <row r="105" spans="1:72" s="219" customFormat="1" hidden="1" outlineLevel="1" x14ac:dyDescent="0.2">
      <c r="A105" s="219" t="s">
        <v>237</v>
      </c>
      <c r="B105" s="219" t="s">
        <v>238</v>
      </c>
      <c r="C105" s="157"/>
      <c r="D105" s="158"/>
      <c r="E105" s="159"/>
      <c r="F105" s="158"/>
      <c r="G105" s="157"/>
      <c r="H105" s="158"/>
      <c r="I105" s="157"/>
      <c r="J105" s="158"/>
      <c r="K105" s="157"/>
      <c r="L105" s="158"/>
      <c r="M105" s="157"/>
      <c r="N105" s="219" t="s">
        <v>196</v>
      </c>
      <c r="O105" s="219" t="s">
        <v>246</v>
      </c>
      <c r="P105" s="219" t="s">
        <v>247</v>
      </c>
      <c r="Q105" s="320"/>
      <c r="R105" s="321"/>
      <c r="S105" s="320"/>
      <c r="T105" s="321"/>
      <c r="U105" s="320"/>
      <c r="V105" s="323" t="s">
        <v>268</v>
      </c>
      <c r="W105" s="219" t="s">
        <v>264</v>
      </c>
      <c r="X105" s="219" t="s">
        <v>266</v>
      </c>
      <c r="Y105" s="219" t="s">
        <v>265</v>
      </c>
      <c r="BF105" s="219" t="s">
        <v>270</v>
      </c>
      <c r="BG105" s="219" t="s">
        <v>271</v>
      </c>
      <c r="BH105" s="219" t="s">
        <v>272</v>
      </c>
      <c r="BI105" s="219" t="s">
        <v>273</v>
      </c>
      <c r="BJ105" s="219" t="s">
        <v>274</v>
      </c>
      <c r="BK105" s="219" t="s">
        <v>284</v>
      </c>
      <c r="BL105" s="219" t="s">
        <v>303</v>
      </c>
      <c r="BM105" s="219" t="s">
        <v>302</v>
      </c>
      <c r="BN105" s="219" t="s">
        <v>253</v>
      </c>
      <c r="BO105" s="219" t="s">
        <v>254</v>
      </c>
      <c r="BP105" s="219" t="s">
        <v>285</v>
      </c>
      <c r="BQ105" s="219" t="s">
        <v>286</v>
      </c>
      <c r="BR105" s="219" t="s">
        <v>287</v>
      </c>
      <c r="BS105" s="219" t="s">
        <v>300</v>
      </c>
    </row>
    <row r="106" spans="1:72" s="219" customFormat="1" hidden="1" outlineLevel="1" x14ac:dyDescent="0.2">
      <c r="A106" s="219">
        <f>E7</f>
        <v>0</v>
      </c>
      <c r="B106" s="219">
        <f>E5</f>
        <v>0</v>
      </c>
      <c r="C106" s="157"/>
      <c r="D106" s="158"/>
      <c r="E106" s="159"/>
      <c r="F106" s="158"/>
      <c r="G106" s="157"/>
      <c r="H106" s="158"/>
      <c r="I106" s="157"/>
      <c r="J106" s="158"/>
      <c r="K106" s="157"/>
      <c r="L106" s="158"/>
      <c r="M106" s="157"/>
      <c r="N106" s="220" t="e">
        <f>#REF!</f>
        <v>#REF!</v>
      </c>
      <c r="O106" s="221">
        <f>U39</f>
        <v>0</v>
      </c>
      <c r="P106" s="222" t="str">
        <f>S39</f>
        <v>17.7 mo.</v>
      </c>
      <c r="Q106" s="320"/>
      <c r="R106" s="321"/>
      <c r="S106" s="320"/>
      <c r="T106" s="321"/>
      <c r="U106" s="320"/>
      <c r="V106" s="323" t="e">
        <f>#REF!</f>
        <v>#REF!</v>
      </c>
      <c r="W106" s="223">
        <f>E39</f>
        <v>675</v>
      </c>
      <c r="X106" s="223">
        <f>E41</f>
        <v>0</v>
      </c>
      <c r="Y106" s="223">
        <f>E51</f>
        <v>675</v>
      </c>
      <c r="Z106" s="223"/>
      <c r="AC106" s="223"/>
      <c r="AF106" s="223"/>
      <c r="AG106" s="223"/>
      <c r="AH106" s="223"/>
      <c r="AI106" s="223"/>
      <c r="AL106" s="223"/>
      <c r="AO106" s="223"/>
      <c r="AP106" s="223"/>
      <c r="AQ106" s="223"/>
      <c r="AR106" s="223"/>
      <c r="AU106" s="223"/>
      <c r="AX106" s="223"/>
      <c r="AY106" s="223"/>
      <c r="AZ106" s="223"/>
      <c r="BA106" s="223"/>
      <c r="BD106" s="223"/>
      <c r="BF106" s="219" t="e">
        <f>#REF!</f>
        <v>#REF!</v>
      </c>
      <c r="BG106" s="223">
        <f>M39</f>
        <v>700</v>
      </c>
      <c r="BH106" s="223">
        <f>M41</f>
        <v>0</v>
      </c>
      <c r="BI106" s="223">
        <f>M51</f>
        <v>1100</v>
      </c>
      <c r="BJ106" s="223">
        <f>M53</f>
        <v>2295</v>
      </c>
      <c r="BK106" s="219">
        <f>+S5</f>
        <v>32</v>
      </c>
      <c r="BL106" s="219" t="e">
        <f>+#REF!</f>
        <v>#REF!</v>
      </c>
      <c r="BM106" s="219">
        <f>+S7</f>
        <v>0</v>
      </c>
      <c r="BN106" s="219" t="str">
        <f>+O9</f>
        <v>Region and Vertical</v>
      </c>
      <c r="BO106" s="219">
        <f>+S9</f>
        <v>0</v>
      </c>
      <c r="BP106" s="219" t="str">
        <f>+O11</f>
        <v>Other Rogers lines of business</v>
      </c>
      <c r="BQ106" s="219">
        <f>+S11</f>
        <v>0</v>
      </c>
      <c r="BR106" s="219" t="str">
        <f>+O13</f>
        <v>Contract Term</v>
      </c>
      <c r="BS106" s="219">
        <f>+E11</f>
        <v>0</v>
      </c>
    </row>
    <row r="107" spans="1:72" s="224" customFormat="1" hidden="1" outlineLevel="1" x14ac:dyDescent="0.2">
      <c r="C107" s="157"/>
      <c r="D107" s="158"/>
      <c r="E107" s="159"/>
      <c r="F107" s="158"/>
      <c r="G107" s="157"/>
      <c r="H107" s="158"/>
      <c r="I107" s="157"/>
      <c r="J107" s="158"/>
      <c r="K107" s="157"/>
      <c r="L107" s="158"/>
      <c r="M107" s="157"/>
      <c r="Q107" s="320"/>
      <c r="R107" s="321"/>
      <c r="S107" s="320"/>
      <c r="T107" s="321"/>
      <c r="U107" s="320"/>
      <c r="V107" s="321"/>
      <c r="BL107" s="272"/>
      <c r="BM107" s="272"/>
      <c r="BN107" s="272"/>
      <c r="BO107" s="272"/>
      <c r="BP107" s="272"/>
      <c r="BQ107" s="272"/>
      <c r="BR107" s="272"/>
      <c r="BS107" s="272"/>
      <c r="BT107" s="272"/>
    </row>
    <row r="108" spans="1:72" s="158" customFormat="1" hidden="1" outlineLevel="1" x14ac:dyDescent="0.2">
      <c r="C108" s="157"/>
      <c r="E108" s="159"/>
      <c r="G108" s="157"/>
      <c r="I108" s="157"/>
      <c r="K108" s="157"/>
      <c r="M108" s="157"/>
      <c r="Q108" s="320"/>
      <c r="R108" s="321"/>
      <c r="S108" s="320"/>
      <c r="T108" s="321"/>
      <c r="U108" s="320"/>
      <c r="V108" s="321"/>
      <c r="BL108" s="272"/>
      <c r="BM108" s="272"/>
      <c r="BN108" s="272"/>
      <c r="BO108" s="272"/>
      <c r="BP108" s="272"/>
      <c r="BQ108" s="272"/>
      <c r="BR108" s="272"/>
      <c r="BS108" s="272"/>
      <c r="BT108" s="272"/>
    </row>
    <row r="109" spans="1:72" s="158" customFormat="1" hidden="1" outlineLevel="1" x14ac:dyDescent="0.2">
      <c r="C109" s="157"/>
      <c r="E109" s="159"/>
      <c r="G109" s="157"/>
      <c r="I109" s="157"/>
      <c r="K109" s="157"/>
      <c r="M109" s="157"/>
      <c r="Q109" s="320"/>
      <c r="R109" s="321"/>
      <c r="S109" s="320"/>
      <c r="T109" s="321"/>
      <c r="U109" s="320"/>
      <c r="V109" s="321"/>
      <c r="BL109" s="272"/>
      <c r="BM109" s="272"/>
      <c r="BN109" s="272"/>
      <c r="BO109" s="272"/>
      <c r="BP109" s="272"/>
      <c r="BQ109" s="272"/>
      <c r="BR109" s="272"/>
      <c r="BS109" s="272"/>
      <c r="BT109" s="272"/>
    </row>
    <row r="110" spans="1:72" s="158" customFormat="1" hidden="1" outlineLevel="1" x14ac:dyDescent="0.2">
      <c r="C110" s="157"/>
      <c r="E110" s="159"/>
      <c r="G110" s="157"/>
      <c r="I110" s="157"/>
      <c r="K110" s="157"/>
      <c r="M110" s="157"/>
      <c r="Q110" s="320"/>
      <c r="R110" s="321"/>
      <c r="S110" s="320"/>
      <c r="T110" s="321"/>
      <c r="U110" s="320"/>
      <c r="V110" s="321"/>
      <c r="BL110" s="272"/>
      <c r="BM110" s="272"/>
      <c r="BN110" s="272"/>
      <c r="BO110" s="272"/>
      <c r="BP110" s="272"/>
      <c r="BQ110" s="272"/>
      <c r="BR110" s="272"/>
      <c r="BS110" s="272"/>
      <c r="BT110" s="272"/>
    </row>
    <row r="111" spans="1:72" s="158" customFormat="1" hidden="1" outlineLevel="1" x14ac:dyDescent="0.2">
      <c r="C111" s="219" t="s">
        <v>239</v>
      </c>
      <c r="D111" s="219" t="s">
        <v>240</v>
      </c>
      <c r="E111" s="225" t="s">
        <v>241</v>
      </c>
      <c r="F111" s="219" t="s">
        <v>283</v>
      </c>
      <c r="G111" s="219" t="s">
        <v>242</v>
      </c>
      <c r="H111" s="219" t="s">
        <v>243</v>
      </c>
      <c r="I111" s="219" t="s">
        <v>244</v>
      </c>
      <c r="J111" s="219" t="s">
        <v>281</v>
      </c>
      <c r="K111" s="219" t="s">
        <v>282</v>
      </c>
      <c r="L111" s="219" t="s">
        <v>245</v>
      </c>
      <c r="M111" s="219" t="s">
        <v>280</v>
      </c>
      <c r="Q111" s="320"/>
      <c r="R111" s="321"/>
      <c r="S111" s="320"/>
      <c r="T111" s="321"/>
      <c r="U111" s="320"/>
      <c r="V111" s="321"/>
      <c r="BL111" s="272"/>
      <c r="BM111" s="272"/>
      <c r="BN111" s="272"/>
      <c r="BO111" s="272"/>
      <c r="BP111" s="272"/>
      <c r="BQ111" s="272"/>
      <c r="BR111" s="272"/>
      <c r="BS111" s="272"/>
      <c r="BT111" s="272"/>
    </row>
    <row r="112" spans="1:72" s="158" customFormat="1" hidden="1" outlineLevel="1" x14ac:dyDescent="0.2">
      <c r="C112" s="219">
        <f>E9</f>
        <v>0</v>
      </c>
      <c r="D112" s="219" t="e">
        <f>#REF!</f>
        <v>#REF!</v>
      </c>
      <c r="E112" s="226">
        <f>E18</f>
        <v>0</v>
      </c>
      <c r="F112" s="223">
        <f>+S33</f>
        <v>0</v>
      </c>
      <c r="G112" s="227">
        <f>S21</f>
        <v>50</v>
      </c>
      <c r="H112" s="223">
        <f>S23</f>
        <v>47.84</v>
      </c>
      <c r="I112" s="223">
        <f>S27</f>
        <v>845</v>
      </c>
      <c r="J112" s="223">
        <f>S29</f>
        <v>42250</v>
      </c>
      <c r="K112" s="223">
        <f>+U37</f>
        <v>0</v>
      </c>
      <c r="L112" s="223">
        <f>S31</f>
        <v>0</v>
      </c>
      <c r="M112" s="223" t="e">
        <f>#REF!</f>
        <v>#REF!</v>
      </c>
      <c r="Q112" s="320"/>
      <c r="R112" s="321"/>
      <c r="S112" s="320"/>
      <c r="T112" s="321"/>
      <c r="U112" s="320"/>
      <c r="V112" s="321"/>
      <c r="BL112" s="272"/>
      <c r="BM112" s="272"/>
      <c r="BN112" s="272"/>
      <c r="BO112" s="272"/>
      <c r="BP112" s="272"/>
      <c r="BQ112" s="272"/>
      <c r="BR112" s="272"/>
      <c r="BS112" s="272"/>
      <c r="BT112" s="272"/>
    </row>
    <row r="113" spans="3:72" s="158" customFormat="1" hidden="1" outlineLevel="1" x14ac:dyDescent="0.2">
      <c r="C113" s="228"/>
      <c r="D113" s="224"/>
      <c r="E113" s="229"/>
      <c r="F113" s="224"/>
      <c r="G113" s="228"/>
      <c r="H113" s="224"/>
      <c r="I113" s="228"/>
      <c r="J113" s="224"/>
      <c r="K113" s="228"/>
      <c r="L113" s="224"/>
      <c r="M113" s="228"/>
      <c r="Q113" s="320"/>
      <c r="R113" s="321"/>
      <c r="S113" s="320"/>
      <c r="T113" s="321"/>
      <c r="U113" s="320"/>
      <c r="V113" s="321"/>
      <c r="BL113" s="272"/>
      <c r="BM113" s="272"/>
      <c r="BN113" s="272"/>
      <c r="BO113" s="272"/>
      <c r="BP113" s="272"/>
      <c r="BQ113" s="272"/>
      <c r="BR113" s="272"/>
      <c r="BS113" s="272"/>
      <c r="BT113" s="272"/>
    </row>
    <row r="114" spans="3:72" s="158" customFormat="1" hidden="1" outlineLevel="1" x14ac:dyDescent="0.2">
      <c r="C114" s="157"/>
      <c r="E114" s="159"/>
      <c r="G114" s="157"/>
      <c r="I114" s="157"/>
      <c r="K114" s="157"/>
      <c r="M114" s="157"/>
      <c r="Q114" s="320"/>
      <c r="R114" s="321"/>
      <c r="S114" s="320"/>
      <c r="T114" s="321"/>
      <c r="U114" s="320"/>
      <c r="V114" s="321"/>
      <c r="BL114" s="272"/>
      <c r="BM114" s="272"/>
      <c r="BN114" s="272"/>
      <c r="BO114" s="272"/>
      <c r="BP114" s="272"/>
      <c r="BQ114" s="272"/>
      <c r="BR114" s="272"/>
      <c r="BS114" s="272"/>
      <c r="BT114" s="272"/>
    </row>
    <row r="115" spans="3:72" s="158" customFormat="1" hidden="1" outlineLevel="1" x14ac:dyDescent="0.2">
      <c r="C115" s="157"/>
      <c r="E115" s="159"/>
      <c r="G115" s="157"/>
      <c r="I115" s="157"/>
      <c r="K115" s="157"/>
      <c r="M115" s="157"/>
      <c r="Q115" s="320"/>
      <c r="R115" s="321"/>
      <c r="S115" s="320"/>
      <c r="T115" s="321"/>
      <c r="U115" s="320"/>
      <c r="V115" s="321"/>
      <c r="BL115" s="272"/>
      <c r="BM115" s="272"/>
      <c r="BN115" s="272"/>
      <c r="BO115" s="272"/>
      <c r="BP115" s="272"/>
      <c r="BQ115" s="272"/>
      <c r="BR115" s="272"/>
      <c r="BS115" s="272"/>
      <c r="BT115" s="272"/>
    </row>
    <row r="116" spans="3:72" s="158" customFormat="1" hidden="1" outlineLevel="1" x14ac:dyDescent="0.2">
      <c r="C116" s="157"/>
      <c r="E116" s="159"/>
      <c r="G116" s="157"/>
      <c r="I116" s="157"/>
      <c r="K116" s="157"/>
      <c r="M116" s="157"/>
      <c r="Q116" s="320"/>
      <c r="R116" s="321"/>
      <c r="S116" s="320"/>
      <c r="T116" s="321"/>
      <c r="U116" s="320"/>
      <c r="V116" s="321"/>
      <c r="BL116" s="272"/>
      <c r="BM116" s="272"/>
      <c r="BN116" s="272"/>
      <c r="BO116" s="272"/>
      <c r="BP116" s="272"/>
      <c r="BQ116" s="272"/>
      <c r="BR116" s="272"/>
      <c r="BS116" s="272"/>
      <c r="BT116" s="272"/>
    </row>
    <row r="117" spans="3:72" collapsed="1" x14ac:dyDescent="0.2">
      <c r="C117" s="157"/>
      <c r="D117" s="158"/>
      <c r="E117" s="159"/>
      <c r="F117" s="158"/>
      <c r="G117" s="157"/>
      <c r="H117" s="158"/>
      <c r="I117" s="157"/>
      <c r="J117" s="158"/>
      <c r="K117" s="157"/>
      <c r="L117" s="158"/>
      <c r="M117" s="157"/>
      <c r="Q117" s="320"/>
      <c r="R117" s="321"/>
      <c r="S117" s="320"/>
      <c r="T117" s="321"/>
      <c r="U117" s="320"/>
      <c r="V117" s="321"/>
      <c r="BL117" s="270"/>
      <c r="BM117" s="270"/>
      <c r="BN117" s="270"/>
      <c r="BO117" s="270"/>
      <c r="BP117" s="270"/>
      <c r="BQ117" s="270"/>
      <c r="BR117" s="270"/>
    </row>
    <row r="118" spans="3:72" x14ac:dyDescent="0.2">
      <c r="C118" s="157"/>
      <c r="D118" s="158"/>
      <c r="E118" s="159"/>
      <c r="F118" s="158"/>
      <c r="G118" s="157"/>
      <c r="H118" s="158"/>
      <c r="I118" s="157"/>
      <c r="J118" s="158"/>
      <c r="K118" s="157"/>
      <c r="L118" s="158"/>
      <c r="M118" s="157"/>
      <c r="BL118" s="270"/>
      <c r="BM118" s="270"/>
      <c r="BN118" s="270"/>
      <c r="BO118" s="270"/>
      <c r="BP118" s="270"/>
      <c r="BQ118" s="270"/>
      <c r="BR118" s="270"/>
    </row>
    <row r="119" spans="3:72" x14ac:dyDescent="0.2">
      <c r="BL119" s="270"/>
      <c r="BM119" s="270"/>
      <c r="BN119" s="270"/>
      <c r="BO119" s="270"/>
      <c r="BP119" s="270"/>
      <c r="BQ119" s="270"/>
      <c r="BR119" s="270"/>
    </row>
    <row r="120" spans="3:72" x14ac:dyDescent="0.2">
      <c r="BL120" s="270"/>
      <c r="BM120" s="270"/>
      <c r="BN120" s="270"/>
      <c r="BO120" s="270"/>
      <c r="BP120" s="270"/>
      <c r="BQ120" s="270"/>
      <c r="BR120" s="270"/>
    </row>
    <row r="121" spans="3:72" x14ac:dyDescent="0.2">
      <c r="BL121" s="270"/>
      <c r="BM121" s="270"/>
      <c r="BN121" s="270"/>
      <c r="BO121" s="270"/>
      <c r="BP121" s="270"/>
      <c r="BQ121" s="270"/>
      <c r="BR121" s="270"/>
    </row>
    <row r="122" spans="3:72" x14ac:dyDescent="0.2">
      <c r="BL122" s="270"/>
      <c r="BM122" s="270"/>
      <c r="BN122" s="270"/>
      <c r="BO122" s="270"/>
      <c r="BP122" s="270"/>
      <c r="BQ122" s="270"/>
      <c r="BR122" s="270"/>
    </row>
    <row r="123" spans="3:72" x14ac:dyDescent="0.2">
      <c r="BL123" s="270"/>
      <c r="BM123" s="270"/>
      <c r="BN123" s="270"/>
      <c r="BO123" s="270"/>
      <c r="BP123" s="270"/>
      <c r="BQ123" s="270"/>
      <c r="BR123" s="270"/>
    </row>
    <row r="124" spans="3:72" x14ac:dyDescent="0.2">
      <c r="BL124" s="270"/>
      <c r="BM124" s="270"/>
      <c r="BN124" s="270"/>
      <c r="BO124" s="270"/>
      <c r="BP124" s="270"/>
      <c r="BQ124" s="270"/>
      <c r="BR124" s="270"/>
    </row>
    <row r="125" spans="3:72" x14ac:dyDescent="0.2">
      <c r="BL125" s="270"/>
      <c r="BM125" s="270"/>
      <c r="BN125" s="270"/>
      <c r="BO125" s="270"/>
      <c r="BP125" s="270"/>
      <c r="BQ125" s="270"/>
      <c r="BR125" s="270"/>
    </row>
    <row r="126" spans="3:72" x14ac:dyDescent="0.2">
      <c r="BL126" s="270"/>
      <c r="BM126" s="270"/>
      <c r="BN126" s="270"/>
      <c r="BO126" s="270"/>
      <c r="BP126" s="270"/>
      <c r="BQ126" s="270"/>
      <c r="BR126" s="270"/>
    </row>
    <row r="127" spans="3:72" x14ac:dyDescent="0.2">
      <c r="BL127" s="270"/>
      <c r="BM127" s="270"/>
      <c r="BN127" s="270"/>
      <c r="BO127" s="270"/>
      <c r="BP127" s="270"/>
      <c r="BQ127" s="270"/>
      <c r="BR127" s="270"/>
    </row>
    <row r="128" spans="3:72" x14ac:dyDescent="0.2">
      <c r="BL128" s="270"/>
      <c r="BM128" s="270"/>
      <c r="BN128" s="270"/>
      <c r="BO128" s="270"/>
      <c r="BP128" s="270"/>
      <c r="BQ128" s="270"/>
      <c r="BR128" s="270"/>
    </row>
  </sheetData>
  <sheetProtection algorithmName="SHA-512" hashValue="rGWVuV4hCsgVTqhB+5q/AW5Do32l2Okf5Glt1YvCQ2ql8gwTvKLvdQmDmeZxpY2ME0eqCSxVcexII/c2kBXduw==" saltValue="qXKW1zU3HeR+fq7GwlrCLQ==" spinCount="100000" sheet="1" objects="1" scenarios="1"/>
  <dataConsolidate/>
  <mergeCells count="18">
    <mergeCell ref="K9:M9"/>
    <mergeCell ref="O9:Q9"/>
    <mergeCell ref="E5:H5"/>
    <mergeCell ref="K5:M5"/>
    <mergeCell ref="O5:Q5"/>
    <mergeCell ref="K7:M7"/>
    <mergeCell ref="O7:Q7"/>
    <mergeCell ref="E7:G7"/>
    <mergeCell ref="E9:G9"/>
    <mergeCell ref="I18:K18"/>
    <mergeCell ref="S18:T18"/>
    <mergeCell ref="K11:M11"/>
    <mergeCell ref="O11:Q11"/>
    <mergeCell ref="O12:Q12"/>
    <mergeCell ref="O13:Q13"/>
    <mergeCell ref="O14:Q14"/>
    <mergeCell ref="C16:N16"/>
    <mergeCell ref="P16:T16"/>
  </mergeCells>
  <conditionalFormatting sqref="E51">
    <cfRule type="expression" dxfId="142" priority="83">
      <formula>$E$51&gt;0.1</formula>
    </cfRule>
  </conditionalFormatting>
  <conditionalFormatting sqref="G60 I60 K60 M60 E60">
    <cfRule type="cellIs" dxfId="141" priority="81" operator="greaterThanOrEqual">
      <formula>0</formula>
    </cfRule>
    <cfRule type="cellIs" dxfId="140" priority="82" operator="lessThan">
      <formula>0</formula>
    </cfRule>
  </conditionalFormatting>
  <conditionalFormatting sqref="E61 G61 I61 K61 M61">
    <cfRule type="expression" dxfId="139" priority="84">
      <formula>#REF!&gt;0</formula>
    </cfRule>
  </conditionalFormatting>
  <conditionalFormatting sqref="E39 E41">
    <cfRule type="expression" dxfId="138" priority="85">
      <formula>$E$55&lt;0</formula>
    </cfRule>
  </conditionalFormatting>
  <conditionalFormatting sqref="M39">
    <cfRule type="expression" dxfId="137" priority="86">
      <formula>M$55&lt;0</formula>
    </cfRule>
  </conditionalFormatting>
  <conditionalFormatting sqref="E37 M37 E35">
    <cfRule type="expression" dxfId="136" priority="87">
      <formula>E$55&lt;0</formula>
    </cfRule>
  </conditionalFormatting>
  <conditionalFormatting sqref="I51">
    <cfRule type="expression" dxfId="135" priority="80">
      <formula>$E$51&gt;0.1</formula>
    </cfRule>
  </conditionalFormatting>
  <conditionalFormatting sqref="K51">
    <cfRule type="expression" dxfId="134" priority="79">
      <formula>$E$51&gt;0.1</formula>
    </cfRule>
  </conditionalFormatting>
  <conditionalFormatting sqref="M51">
    <cfRule type="expression" dxfId="133" priority="78">
      <formula>$E$51&gt;0.1</formula>
    </cfRule>
  </conditionalFormatting>
  <conditionalFormatting sqref="G51">
    <cfRule type="expression" dxfId="132" priority="77">
      <formula>$E$51&gt;0.1</formula>
    </cfRule>
  </conditionalFormatting>
  <conditionalFormatting sqref="E33">
    <cfRule type="expression" dxfId="131" priority="76">
      <formula>E$55&lt;0</formula>
    </cfRule>
  </conditionalFormatting>
  <conditionalFormatting sqref="M35">
    <cfRule type="expression" dxfId="130" priority="75">
      <formula>M$55&lt;0</formula>
    </cfRule>
  </conditionalFormatting>
  <conditionalFormatting sqref="E31">
    <cfRule type="expression" dxfId="129" priority="74">
      <formula>E$55&lt;0</formula>
    </cfRule>
  </conditionalFormatting>
  <conditionalFormatting sqref="G39">
    <cfRule type="expression" dxfId="128" priority="73">
      <formula>$E$55&lt;0</formula>
    </cfRule>
  </conditionalFormatting>
  <conditionalFormatting sqref="I39">
    <cfRule type="expression" dxfId="127" priority="72">
      <formula>$E$55&lt;0</formula>
    </cfRule>
  </conditionalFormatting>
  <conditionalFormatting sqref="I35">
    <cfRule type="expression" dxfId="126" priority="71">
      <formula>I$55&lt;0</formula>
    </cfRule>
  </conditionalFormatting>
  <conditionalFormatting sqref="K39">
    <cfRule type="expression" dxfId="125" priority="70">
      <formula>$E$55&lt;0</formula>
    </cfRule>
  </conditionalFormatting>
  <conditionalFormatting sqref="K35">
    <cfRule type="expression" dxfId="124" priority="69">
      <formula>K$55&lt;0</formula>
    </cfRule>
  </conditionalFormatting>
  <conditionalFormatting sqref="G35">
    <cfRule type="expression" dxfId="123" priority="68">
      <formula>G$55&lt;0</formula>
    </cfRule>
  </conditionalFormatting>
  <conditionalFormatting sqref="E53">
    <cfRule type="expression" dxfId="122" priority="66">
      <formula>$E$51&gt;0.1</formula>
    </cfRule>
  </conditionalFormatting>
  <conditionalFormatting sqref="G53">
    <cfRule type="expression" dxfId="121" priority="65">
      <formula>$E$51&gt;0.1</formula>
    </cfRule>
  </conditionalFormatting>
  <conditionalFormatting sqref="I53">
    <cfRule type="expression" dxfId="120" priority="64">
      <formula>$E$51&gt;0.1</formula>
    </cfRule>
  </conditionalFormatting>
  <conditionalFormatting sqref="K53">
    <cfRule type="expression" dxfId="119" priority="63">
      <formula>$E$51&gt;0.1</formula>
    </cfRule>
  </conditionalFormatting>
  <conditionalFormatting sqref="M53">
    <cfRule type="expression" dxfId="118" priority="62">
      <formula>$E$51&gt;0.1</formula>
    </cfRule>
  </conditionalFormatting>
  <conditionalFormatting sqref="E55">
    <cfRule type="expression" dxfId="117" priority="61">
      <formula>$E$51&gt;0.1</formula>
    </cfRule>
  </conditionalFormatting>
  <conditionalFormatting sqref="G55">
    <cfRule type="expression" dxfId="116" priority="60">
      <formula>$E$51&gt;0.1</formula>
    </cfRule>
  </conditionalFormatting>
  <conditionalFormatting sqref="I55">
    <cfRule type="expression" dxfId="115" priority="59">
      <formula>$E$51&gt;0.1</formula>
    </cfRule>
  </conditionalFormatting>
  <conditionalFormatting sqref="K55">
    <cfRule type="expression" dxfId="114" priority="58">
      <formula>$E$51&gt;0.1</formula>
    </cfRule>
  </conditionalFormatting>
  <conditionalFormatting sqref="M55">
    <cfRule type="expression" dxfId="113" priority="57">
      <formula>$E$51&gt;0.1</formula>
    </cfRule>
  </conditionalFormatting>
  <conditionalFormatting sqref="G37">
    <cfRule type="expression" dxfId="112" priority="49">
      <formula>G$55&lt;0</formula>
    </cfRule>
  </conditionalFormatting>
  <conditionalFormatting sqref="I37">
    <cfRule type="expression" dxfId="111" priority="48">
      <formula>I$55&lt;0</formula>
    </cfRule>
  </conditionalFormatting>
  <conditionalFormatting sqref="K37">
    <cfRule type="expression" dxfId="110" priority="47">
      <formula>K$55&lt;0</formula>
    </cfRule>
  </conditionalFormatting>
  <conditionalFormatting sqref="S23">
    <cfRule type="notContainsBlanks" dxfId="109" priority="43">
      <formula>LEN(TRIM(S23))&gt;0</formula>
    </cfRule>
  </conditionalFormatting>
  <conditionalFormatting sqref="S21">
    <cfRule type="notContainsBlanks" dxfId="108" priority="42">
      <formula>LEN(TRIM(S21))&gt;0</formula>
    </cfRule>
  </conditionalFormatting>
  <conditionalFormatting sqref="S39 S41">
    <cfRule type="notContainsBlanks" dxfId="107" priority="40">
      <formula>LEN(TRIM(S39))&gt;0</formula>
    </cfRule>
  </conditionalFormatting>
  <conditionalFormatting sqref="Q42">
    <cfRule type="notContainsBlanks" dxfId="106" priority="36">
      <formula>LEN(TRIM(Q42))&gt;0</formula>
    </cfRule>
  </conditionalFormatting>
  <conditionalFormatting sqref="Q41">
    <cfRule type="notContainsBlanks" dxfId="105" priority="35">
      <formula>LEN(TRIM(Q41))&gt;0</formula>
    </cfRule>
  </conditionalFormatting>
  <conditionalFormatting sqref="G41">
    <cfRule type="expression" dxfId="104" priority="34">
      <formula>$E$55&lt;0</formula>
    </cfRule>
  </conditionalFormatting>
  <conditionalFormatting sqref="I41">
    <cfRule type="expression" dxfId="103" priority="33">
      <formula>$E$55&lt;0</formula>
    </cfRule>
  </conditionalFormatting>
  <conditionalFormatting sqref="K41">
    <cfRule type="expression" dxfId="102" priority="32">
      <formula>$E$55&lt;0</formula>
    </cfRule>
  </conditionalFormatting>
  <conditionalFormatting sqref="M41">
    <cfRule type="expression" dxfId="101" priority="31">
      <formula>$E$55&lt;0</formula>
    </cfRule>
  </conditionalFormatting>
  <conditionalFormatting sqref="S45:T54">
    <cfRule type="notContainsBlanks" dxfId="100" priority="30">
      <formula>LEN(TRIM(S45))&gt;0</formula>
    </cfRule>
  </conditionalFormatting>
  <conditionalFormatting sqref="E29">
    <cfRule type="expression" dxfId="99" priority="29">
      <formula>E$55&lt;0</formula>
    </cfRule>
  </conditionalFormatting>
  <conditionalFormatting sqref="G29">
    <cfRule type="expression" dxfId="98" priority="28">
      <formula>G$55&lt;0</formula>
    </cfRule>
  </conditionalFormatting>
  <conditionalFormatting sqref="I29">
    <cfRule type="expression" dxfId="97" priority="27">
      <formula>I$55&lt;0</formula>
    </cfRule>
  </conditionalFormatting>
  <conditionalFormatting sqref="K29">
    <cfRule type="expression" dxfId="96" priority="26">
      <formula>K$55&lt;0</formula>
    </cfRule>
  </conditionalFormatting>
  <conditionalFormatting sqref="M29">
    <cfRule type="expression" dxfId="95" priority="25">
      <formula>M$55&lt;0</formula>
    </cfRule>
  </conditionalFormatting>
  <conditionalFormatting sqref="S37">
    <cfRule type="notContainsBlanks" dxfId="94" priority="18">
      <formula>LEN(TRIM(S37))&gt;0</formula>
    </cfRule>
  </conditionalFormatting>
  <conditionalFormatting sqref="S25">
    <cfRule type="notContainsBlanks" dxfId="93" priority="24">
      <formula>LEN(TRIM(S25))&gt;0</formula>
    </cfRule>
  </conditionalFormatting>
  <conditionalFormatting sqref="S27">
    <cfRule type="notContainsBlanks" dxfId="92" priority="23">
      <formula>LEN(TRIM(S27))&gt;0</formula>
    </cfRule>
  </conditionalFormatting>
  <conditionalFormatting sqref="S29">
    <cfRule type="notContainsBlanks" dxfId="91" priority="22">
      <formula>LEN(TRIM(S29))&gt;0</formula>
    </cfRule>
  </conditionalFormatting>
  <conditionalFormatting sqref="S31">
    <cfRule type="notContainsBlanks" dxfId="90" priority="21">
      <formula>LEN(TRIM(S31))&gt;0</formula>
    </cfRule>
  </conditionalFormatting>
  <conditionalFormatting sqref="S33">
    <cfRule type="notContainsBlanks" dxfId="89" priority="20">
      <formula>LEN(TRIM(S33))&gt;0</formula>
    </cfRule>
  </conditionalFormatting>
  <conditionalFormatting sqref="S35">
    <cfRule type="notContainsBlanks" dxfId="88" priority="19">
      <formula>LEN(TRIM(S35))&gt;0</formula>
    </cfRule>
  </conditionalFormatting>
  <conditionalFormatting sqref="G31">
    <cfRule type="expression" dxfId="87" priority="13">
      <formula>G$55&lt;0</formula>
    </cfRule>
  </conditionalFormatting>
  <conditionalFormatting sqref="I31">
    <cfRule type="expression" dxfId="86" priority="12">
      <formula>I$55&lt;0</formula>
    </cfRule>
  </conditionalFormatting>
  <conditionalFormatting sqref="K31">
    <cfRule type="expression" dxfId="85" priority="11">
      <formula>K$55&lt;0</formula>
    </cfRule>
  </conditionalFormatting>
  <conditionalFormatting sqref="M31">
    <cfRule type="expression" dxfId="84" priority="10">
      <formula>M$55&lt;0</formula>
    </cfRule>
  </conditionalFormatting>
  <conditionalFormatting sqref="E43">
    <cfRule type="expression" dxfId="83" priority="9">
      <formula>$E$55&lt;0</formula>
    </cfRule>
  </conditionalFormatting>
  <conditionalFormatting sqref="G43">
    <cfRule type="expression" dxfId="82" priority="8">
      <formula>$E$55&lt;0</formula>
    </cfRule>
  </conditionalFormatting>
  <conditionalFormatting sqref="I43">
    <cfRule type="expression" dxfId="81" priority="7">
      <formula>$E$55&lt;0</formula>
    </cfRule>
  </conditionalFormatting>
  <conditionalFormatting sqref="K43">
    <cfRule type="expression" dxfId="80" priority="6">
      <formula>$E$55&lt;0</formula>
    </cfRule>
  </conditionalFormatting>
  <conditionalFormatting sqref="M43">
    <cfRule type="expression" dxfId="79" priority="5">
      <formula>$E$55&lt;0</formula>
    </cfRule>
  </conditionalFormatting>
  <conditionalFormatting sqref="G33">
    <cfRule type="expression" dxfId="78" priority="4">
      <formula>G$55&lt;0</formula>
    </cfRule>
  </conditionalFormatting>
  <conditionalFormatting sqref="I33">
    <cfRule type="expression" dxfId="77" priority="3">
      <formula>I$55&lt;0</formula>
    </cfRule>
  </conditionalFormatting>
  <conditionalFormatting sqref="K33">
    <cfRule type="expression" dxfId="76" priority="2">
      <formula>K$55&lt;0</formula>
    </cfRule>
  </conditionalFormatting>
  <conditionalFormatting sqref="M33">
    <cfRule type="expression" dxfId="75" priority="1">
      <formula>M$55&lt;0</formula>
    </cfRule>
  </conditionalFormatting>
  <dataValidations count="7">
    <dataValidation type="list" allowBlank="1" showErrorMessage="1" prompt="ECF/Pre-HUP Waiver Term of Existing Term" sqref="S13" xr:uid="{16D0E0B5-DA11-4EBE-A18D-022F9485865B}">
      <formula1>Contract</formula1>
    </dataValidation>
    <dataValidation type="list" allowBlank="1" showInputMessage="1" showErrorMessage="1" sqref="I40 G40 E40 M40" xr:uid="{A10583B2-6B86-466E-B7DE-36E8297C8667}">
      <formula1>$A$6:$A$90</formula1>
    </dataValidation>
    <dataValidation allowBlank="1" showInputMessage="1" showErrorMessage="1" prompt="Enter total employee count (to determine our wallet share, where possible)" sqref="S5" xr:uid="{ABD2B08E-1566-4EC7-A4A1-A74C7DF326E0}"/>
    <dataValidation allowBlank="1" showInputMessage="1" showErrorMessage="1" prompt="Total ECF of all lines at other carrier(s)" sqref="S7" xr:uid="{1FBFC02A-49A3-4C95-A3FB-370F95E38882}"/>
    <dataValidation showInputMessage="1" errorTitle="No credits for unsubsidized tier" error="No conversion credit amount can be entered since unsubsidized subsidy tier selected.  Credits can only be offered with a subsidized tier." sqref="K41:K43 G41:G43 I41:I43 E41:E43 M41:M43" xr:uid="{F87C8743-5D37-4D51-9FD1-3F8E215DED09}"/>
    <dataValidation type="whole" operator="greaterThan" allowBlank="1" showInputMessage="1" showErrorMessage="1" error="If entered, input must be a whole number greater than 0" prompt="Enter number of committed lines (whole numbers, greater than 0)" sqref="E27 M27 G27 I27 K27" xr:uid="{4E03AB44-DB0F-4FE1-8BDC-7C227744B51A}">
      <formula1>0</formula1>
    </dataValidation>
    <dataValidation allowBlank="1" showInputMessage="1" showErrorMessage="1" error="Please enter recurring MSF between $1 - $4500" prompt="Input total recurring MSF per line" sqref="E37 K37 I37 G37 M37" xr:uid="{2C213360-0818-4274-8C1C-3107080CF3FF}"/>
  </dataValidations>
  <printOptions horizontalCentered="1" verticalCentered="1"/>
  <pageMargins left="0.23622047244094491" right="0.23622047244094491" top="1.1417322834645669" bottom="0.55118110236220474" header="0.31496062992125984" footer="0.31496062992125984"/>
  <pageSetup scale="51" orientation="portrait" r:id="rId1"/>
  <headerFooter>
    <oddHeader>&amp;C&amp;G</oddHeader>
    <oddFooter>&amp;RPrinted on: &amp;D; &amp;T</oddFooter>
  </headerFooter>
  <ignoredErrors>
    <ignoredError sqref="S37" evalError="1"/>
  </ignoredErrors>
  <drawing r:id="rId2"/>
  <legacyDrawing r:id="rId3"/>
  <legacyDrawingHF r:id="rId4"/>
  <extLst>
    <ext xmlns:x14="http://schemas.microsoft.com/office/spreadsheetml/2009/9/main" uri="{CCE6A557-97BC-4b89-ADB6-D9C93CAAB3DF}">
      <x14:dataValidations xmlns:xm="http://schemas.microsoft.com/office/excel/2006/main" count="11">
        <x14:dataValidation type="list" allowBlank="1" showInputMessage="1" showErrorMessage="1" xr:uid="{39104DBB-0AD3-442F-9912-EDF75DD41671}">
          <x14:formula1>
            <xm:f>'Qualitative Measures Lookup'!$AP$9:$AP$21</xm:f>
          </x14:formula1>
          <xm:sqref>M31 E31 G31 I31 K31</xm:sqref>
        </x14:dataValidation>
        <x14:dataValidation type="list" allowBlank="1" showInputMessage="1" showErrorMessage="1" xr:uid="{5C8AF8FB-E46D-491E-A32C-7DD500352704}">
          <x14:formula1>
            <xm:f>'Qualitative Measures Lookup'!$AP$3:$AP$7</xm:f>
          </x14:formula1>
          <xm:sqref>M29 E29 G29 I29 K29</xm:sqref>
        </x14:dataValidation>
        <x14:dataValidation type="list" allowBlank="1" showInputMessage="1" showErrorMessage="1" xr:uid="{4F4343EC-5B65-4C1C-9663-E457CA4E6A4C}">
          <x14:formula1>
            <xm:f>'Qualitative Measures Lookup'!$U$3:$U$7</xm:f>
          </x14:formula1>
          <xm:sqref>E13</xm:sqref>
        </x14:dataValidation>
        <x14:dataValidation type="list" allowBlank="1" showInputMessage="1" showErrorMessage="1" xr:uid="{07DB9474-E019-4AEA-A41F-6B98ADB5D588}">
          <x14:formula1>
            <xm:f>'prehup waiver lookup'!$E$2:$E$3</xm:f>
          </x14:formula1>
          <xm:sqref>E23 M23 K23 I23 G23</xm:sqref>
        </x14:dataValidation>
        <x14:dataValidation type="list" allowBlank="1" showInputMessage="1" showErrorMessage="1" prompt="Select range of combined annual revenue from all other Rogers lines of business such as Wireline, Services, etc., excluding Wireless" xr:uid="{E3E4F42C-0D01-43FD-9047-7F20448A4AA2}">
          <x14:formula1>
            <xm:f>'Qualitative Measures Lookup'!$E$3:$E$19</xm:f>
          </x14:formula1>
          <xm:sqref>S11</xm:sqref>
        </x14:dataValidation>
        <x14:dataValidation type="list" allowBlank="1" showInputMessage="1" showErrorMessage="1" xr:uid="{6B1814ED-1925-4CEF-AC88-0B3643D5D756}">
          <x14:formula1>
            <xm:f>'prehup waiver lookup'!$B$2:$B$27</xm:f>
          </x14:formula1>
          <xm:sqref>E18 M18</xm:sqref>
        </x14:dataValidation>
        <x14:dataValidation type="list" allowBlank="1" showInputMessage="1" showErrorMessage="1" xr:uid="{20ED425E-6D9C-48E1-8A54-A09B7F114C9B}">
          <x14:formula1>
            <xm:f>'Qualitative Measures Lookup'!$AC$2:$AC$6</xm:f>
          </x14:formula1>
          <xm:sqref>G21 M21 I21 K21 E21</xm:sqref>
        </x14:dataValidation>
        <x14:dataValidation type="list" allowBlank="1" showInputMessage="1" showErrorMessage="1" error="Only enter '0' or '24' or '36' months" prompt="SELECT TERM (IN MONTHS) FROM LIST" xr:uid="{A1F518AA-6DFF-426E-8BA5-90974950288D}">
          <x14:formula1>
            <xm:f>'Qualitative Measures Lookup'!$Y$4:$Y$6</xm:f>
          </x14:formula1>
          <xm:sqref>M25 E25 G25 I25 K25</xm:sqref>
        </x14:dataValidation>
        <x14:dataValidation type="list" allowBlank="1" showInputMessage="1" showErrorMessage="1" xr:uid="{7F3BF9CD-E92C-4DFA-BD17-D7817DB3D6FA}">
          <x14:formula1>
            <xm:f>'Hardware Pricing-May 2 2018'!$A$5:$A$88</xm:f>
          </x14:formula1>
          <xm:sqref>K40</xm:sqref>
        </x14:dataValidation>
        <x14:dataValidation type="list" showInputMessage="1" errorTitle="No credits for unsubsidized tier" error="No conversion credit amount can be entered since unsubsidized subsidy tier selected.  Credits can only be offered with a subsidized tier." xr:uid="{960F255B-1624-42E5-A07E-6A582170F751}">
          <x14:formula1>
            <xm:f>'Qualitative Measures Lookup'!$S$1:$S$33</xm:f>
          </x14:formula1>
          <xm:sqref>M39 E39 I39 G39 K39</xm:sqref>
        </x14:dataValidation>
        <x14:dataValidation type="list" allowBlank="1" showInputMessage="1" showErrorMessage="1" xr:uid="{944811E3-B445-4692-BB57-B29DBA63586A}">
          <x14:formula1>
            <xm:f>'Qualitative Measures Lookup'!$K$3:$K$11</xm:f>
          </x14:formula1>
          <xm:sqref>S9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33FD3-3E32-416C-BA69-966104C5A1AB}">
  <sheetPr codeName="Sheet25">
    <tabColor rgb="FFFDEB03"/>
    <pageSetUpPr fitToPage="1"/>
  </sheetPr>
  <dimension ref="A1:BT128"/>
  <sheetViews>
    <sheetView showGridLines="0" tabSelected="1" zoomScale="80" zoomScaleNormal="80" zoomScaleSheetLayoutView="70" workbookViewId="0">
      <selection activeCell="C16" sqref="C16:N16"/>
    </sheetView>
  </sheetViews>
  <sheetFormatPr defaultColWidth="9" defaultRowHeight="14.25" outlineLevelRow="1" x14ac:dyDescent="0.2"/>
  <cols>
    <col min="1" max="1" width="7" style="3" customWidth="1"/>
    <col min="2" max="2" width="3" style="3" customWidth="1"/>
    <col min="3" max="3" width="28" style="127" customWidth="1"/>
    <col min="4" max="4" width="1.5703125" style="3" customWidth="1"/>
    <col min="5" max="5" width="20" style="135" customWidth="1"/>
    <col min="6" max="6" width="1.5703125" style="3" customWidth="1"/>
    <col min="7" max="7" width="20" style="127" customWidth="1"/>
    <col min="8" max="8" width="1.5703125" style="3" customWidth="1"/>
    <col min="9" max="9" width="20" style="127" customWidth="1"/>
    <col min="10" max="10" width="1.5703125" style="3" customWidth="1"/>
    <col min="11" max="11" width="20" style="127" customWidth="1"/>
    <col min="12" max="12" width="1.5703125" style="3" customWidth="1"/>
    <col min="13" max="13" width="20" style="127" customWidth="1"/>
    <col min="14" max="14" width="1.5703125" style="3" customWidth="1"/>
    <col min="15" max="15" width="2" style="3" customWidth="1"/>
    <col min="16" max="16" width="1.5703125" style="3" customWidth="1"/>
    <col min="17" max="17" width="22.5703125" style="127" customWidth="1"/>
    <col min="18" max="18" width="1.5703125" style="3" customWidth="1"/>
    <col min="19" max="19" width="26" style="127" customWidth="1"/>
    <col min="20" max="20" width="1.5703125" style="3" customWidth="1"/>
    <col min="21" max="21" width="4.42578125" style="127" customWidth="1"/>
    <col min="22" max="22" width="3" style="3" customWidth="1"/>
    <col min="23" max="23" width="11.28515625" style="3" customWidth="1"/>
    <col min="24" max="24" width="9" style="3" bestFit="1" customWidth="1"/>
    <col min="25" max="25" width="11.28515625" style="3" bestFit="1" customWidth="1"/>
    <col min="26" max="26" width="10" style="3" bestFit="1" customWidth="1"/>
    <col min="27" max="27" width="24" style="3" customWidth="1"/>
    <col min="28" max="28" width="10" style="3" bestFit="1" customWidth="1"/>
    <col min="29" max="31" width="9" style="3"/>
    <col min="32" max="32" width="10" style="3" customWidth="1"/>
    <col min="33" max="33" width="9" style="3" bestFit="1" customWidth="1"/>
    <col min="34" max="16384" width="9" style="3"/>
  </cols>
  <sheetData>
    <row r="1" spans="1:31" s="158" customFormat="1" x14ac:dyDescent="0.2">
      <c r="C1" s="157"/>
      <c r="E1" s="159"/>
      <c r="G1" s="157"/>
      <c r="I1" s="157"/>
      <c r="K1" s="157"/>
      <c r="M1" s="157"/>
      <c r="Q1" s="157"/>
      <c r="S1" s="157"/>
      <c r="U1" s="157"/>
    </row>
    <row r="2" spans="1:31" s="158" customFormat="1" ht="21" customHeight="1" x14ac:dyDescent="0.2">
      <c r="B2" s="160" t="s">
        <v>224</v>
      </c>
      <c r="C2" s="161"/>
      <c r="D2" s="162"/>
      <c r="E2" s="163"/>
      <c r="F2" s="162"/>
      <c r="G2" s="161"/>
      <c r="H2" s="162"/>
      <c r="I2" s="161"/>
      <c r="J2" s="162"/>
      <c r="K2" s="161"/>
      <c r="L2" s="162"/>
      <c r="M2" s="161"/>
      <c r="N2" s="162"/>
      <c r="O2" s="162"/>
      <c r="P2" s="162"/>
      <c r="Q2" s="161"/>
      <c r="R2" s="162"/>
      <c r="S2" s="161"/>
      <c r="T2" s="162"/>
      <c r="U2" s="161"/>
    </row>
    <row r="3" spans="1:31" s="285" customFormat="1" ht="30" customHeight="1" x14ac:dyDescent="0.2">
      <c r="A3" s="315"/>
      <c r="B3" s="316" t="s">
        <v>658</v>
      </c>
      <c r="C3" s="317"/>
      <c r="D3" s="318"/>
      <c r="E3" s="319"/>
      <c r="F3" s="318"/>
      <c r="G3" s="317"/>
      <c r="H3" s="318"/>
      <c r="I3" s="317"/>
      <c r="J3" s="318"/>
      <c r="K3" s="317"/>
      <c r="L3" s="318"/>
      <c r="M3" s="317"/>
      <c r="N3" s="318"/>
      <c r="O3" s="318"/>
      <c r="P3" s="318"/>
      <c r="Q3" s="317"/>
      <c r="R3" s="318"/>
      <c r="S3" s="317"/>
      <c r="T3" s="318"/>
      <c r="U3" s="317"/>
      <c r="V3" s="315"/>
    </row>
    <row r="5" spans="1:31" ht="31.5" customHeight="1" thickBot="1" x14ac:dyDescent="0.25">
      <c r="B5" s="4"/>
      <c r="C5" s="387" t="s">
        <v>223</v>
      </c>
      <c r="E5" s="398"/>
      <c r="F5" s="398"/>
      <c r="G5" s="398"/>
      <c r="H5" s="398"/>
      <c r="K5" s="393"/>
      <c r="L5" s="393"/>
      <c r="M5" s="393"/>
      <c r="O5" s="399" t="s">
        <v>249</v>
      </c>
      <c r="P5" s="400"/>
      <c r="Q5" s="400"/>
      <c r="R5" s="180"/>
      <c r="S5" s="184">
        <v>90</v>
      </c>
      <c r="T5" s="180"/>
      <c r="U5" s="180"/>
    </row>
    <row r="6" spans="1:31" ht="18" customHeight="1" x14ac:dyDescent="0.2">
      <c r="B6" s="4"/>
      <c r="C6" s="165"/>
      <c r="E6" s="181"/>
      <c r="F6" s="181"/>
      <c r="G6" s="181"/>
      <c r="I6" s="3"/>
      <c r="K6" s="7"/>
      <c r="L6" s="7"/>
      <c r="M6" s="7"/>
      <c r="Q6" s="3"/>
      <c r="S6" s="180"/>
      <c r="T6" s="180"/>
    </row>
    <row r="7" spans="1:31" ht="31.5" customHeight="1" thickBot="1" x14ac:dyDescent="0.25">
      <c r="B7" s="4"/>
      <c r="C7" s="165" t="s">
        <v>215</v>
      </c>
      <c r="E7" s="401"/>
      <c r="F7" s="401"/>
      <c r="G7" s="401"/>
      <c r="K7" s="393"/>
      <c r="L7" s="393"/>
      <c r="M7" s="393"/>
      <c r="O7" s="394" t="s">
        <v>313</v>
      </c>
      <c r="P7" s="391"/>
      <c r="Q7" s="391"/>
      <c r="R7" s="136"/>
      <c r="S7" s="308"/>
      <c r="T7" s="136"/>
    </row>
    <row r="8" spans="1:31" ht="18" customHeight="1" x14ac:dyDescent="0.2">
      <c r="B8" s="4"/>
      <c r="I8" s="3"/>
      <c r="K8" s="7"/>
      <c r="L8" s="7"/>
      <c r="M8" s="7"/>
      <c r="Q8" s="3"/>
      <c r="R8" s="182"/>
      <c r="S8" s="136"/>
      <c r="T8" s="135"/>
    </row>
    <row r="9" spans="1:31" ht="31.5" customHeight="1" thickBot="1" x14ac:dyDescent="0.25">
      <c r="C9" s="165" t="s">
        <v>201</v>
      </c>
      <c r="E9" s="401"/>
      <c r="F9" s="401"/>
      <c r="G9" s="401"/>
      <c r="K9" s="393"/>
      <c r="L9" s="393"/>
      <c r="M9" s="393"/>
      <c r="O9" s="394" t="s">
        <v>250</v>
      </c>
      <c r="P9" s="391"/>
      <c r="Q9" s="391"/>
      <c r="R9" s="179"/>
      <c r="S9" s="185" t="s">
        <v>307</v>
      </c>
      <c r="T9" s="179"/>
    </row>
    <row r="10" spans="1:31" ht="18" customHeight="1" x14ac:dyDescent="0.2">
      <c r="E10" s="136"/>
      <c r="F10" s="7"/>
      <c r="G10" s="128"/>
      <c r="H10" s="7"/>
      <c r="K10" s="7"/>
      <c r="L10" s="7"/>
      <c r="M10" s="7"/>
      <c r="Q10" s="3"/>
      <c r="S10" s="135"/>
      <c r="T10" s="135"/>
      <c r="AE10" s="293"/>
    </row>
    <row r="11" spans="1:31" ht="31.5" customHeight="1" x14ac:dyDescent="0.2">
      <c r="C11" s="348" t="s">
        <v>646</v>
      </c>
      <c r="D11" s="5"/>
      <c r="E11" s="386"/>
      <c r="G11" s="3"/>
      <c r="K11" s="393"/>
      <c r="L11" s="393"/>
      <c r="M11" s="393"/>
      <c r="O11" s="394" t="s">
        <v>299</v>
      </c>
      <c r="P11" s="391"/>
      <c r="Q11" s="391"/>
      <c r="R11" s="179"/>
      <c r="S11" s="184"/>
      <c r="T11" s="179"/>
      <c r="Z11" s="13"/>
    </row>
    <row r="12" spans="1:31" ht="18.75" customHeight="1" x14ac:dyDescent="0.2">
      <c r="C12" s="347"/>
      <c r="D12" s="5"/>
      <c r="E12" s="127"/>
      <c r="K12" s="7"/>
      <c r="L12" s="7"/>
      <c r="M12" s="7"/>
      <c r="O12" s="395"/>
      <c r="P12" s="395"/>
      <c r="Q12" s="395"/>
      <c r="Z12" s="13"/>
    </row>
    <row r="13" spans="1:31" ht="31.35" customHeight="1" x14ac:dyDescent="0.2">
      <c r="C13" s="348" t="s">
        <v>631</v>
      </c>
      <c r="D13" s="5"/>
      <c r="E13" s="327" t="s">
        <v>644</v>
      </c>
      <c r="I13" s="128"/>
      <c r="J13" s="7"/>
      <c r="K13" s="284"/>
      <c r="L13" s="284"/>
      <c r="M13" s="284"/>
      <c r="N13" s="286"/>
      <c r="O13" s="394" t="s">
        <v>639</v>
      </c>
      <c r="P13" s="391"/>
      <c r="Q13" s="391"/>
      <c r="R13" s="179"/>
      <c r="S13" s="184">
        <v>36</v>
      </c>
      <c r="Z13" s="13"/>
    </row>
    <row r="14" spans="1:31" ht="18.75" customHeight="1" x14ac:dyDescent="0.2">
      <c r="C14" s="347"/>
      <c r="D14" s="5"/>
      <c r="E14" s="127"/>
      <c r="K14" s="285"/>
      <c r="L14" s="285"/>
      <c r="M14" s="285"/>
      <c r="N14" s="285"/>
      <c r="O14" s="396"/>
      <c r="P14" s="396"/>
      <c r="Q14" s="396"/>
    </row>
    <row r="15" spans="1:31" ht="9.75" customHeight="1" x14ac:dyDescent="0.2"/>
    <row r="16" spans="1:31" ht="29.25" customHeight="1" thickBot="1" x14ac:dyDescent="0.3">
      <c r="B16" s="6"/>
      <c r="C16" s="397" t="s">
        <v>7</v>
      </c>
      <c r="D16" s="397"/>
      <c r="E16" s="397"/>
      <c r="F16" s="397"/>
      <c r="G16" s="397"/>
      <c r="H16" s="397"/>
      <c r="I16" s="397"/>
      <c r="J16" s="397"/>
      <c r="K16" s="397"/>
      <c r="L16" s="397"/>
      <c r="M16" s="397"/>
      <c r="N16" s="397"/>
      <c r="O16" s="32"/>
      <c r="P16" s="397" t="s">
        <v>8</v>
      </c>
      <c r="Q16" s="397"/>
      <c r="R16" s="397"/>
      <c r="S16" s="397"/>
      <c r="T16" s="397"/>
      <c r="U16" s="273"/>
      <c r="Z16" s="328"/>
    </row>
    <row r="17" spans="2:30" ht="5.45" customHeight="1" x14ac:dyDescent="0.2">
      <c r="B17" s="7"/>
      <c r="C17" s="128"/>
      <c r="D17" s="7"/>
      <c r="E17" s="136"/>
      <c r="F17" s="7"/>
      <c r="G17" s="128"/>
      <c r="H17" s="7"/>
      <c r="I17" s="128"/>
      <c r="J17" s="7"/>
      <c r="K17" s="128"/>
      <c r="L17" s="7"/>
      <c r="M17" s="128"/>
      <c r="N17" s="7"/>
      <c r="O17" s="7"/>
      <c r="P17" s="7"/>
      <c r="Q17" s="128"/>
      <c r="R17" s="7"/>
      <c r="S17" s="128"/>
      <c r="T17" s="7"/>
    </row>
    <row r="18" spans="2:30" ht="33" customHeight="1" thickBot="1" x14ac:dyDescent="0.3">
      <c r="B18" s="7"/>
      <c r="C18" s="348" t="s">
        <v>213</v>
      </c>
      <c r="D18" s="7"/>
      <c r="E18" s="137">
        <v>0.02</v>
      </c>
      <c r="F18" s="7"/>
      <c r="G18" s="128"/>
      <c r="H18" s="7"/>
      <c r="I18" s="391" t="s">
        <v>345</v>
      </c>
      <c r="J18" s="391"/>
      <c r="K18" s="391"/>
      <c r="L18" s="7"/>
      <c r="M18" s="137">
        <v>7.0000000000000007E-2</v>
      </c>
      <c r="N18" s="7"/>
      <c r="O18" s="7"/>
      <c r="P18" s="7"/>
      <c r="Q18" s="149"/>
      <c r="R18" s="12"/>
      <c r="S18" s="392" t="s">
        <v>195</v>
      </c>
      <c r="T18" s="392"/>
      <c r="X18" s="32"/>
    </row>
    <row r="19" spans="2:30" ht="7.5" customHeight="1" x14ac:dyDescent="0.2">
      <c r="B19" s="7"/>
      <c r="C19" s="128"/>
      <c r="D19" s="7"/>
      <c r="E19" s="128"/>
      <c r="F19" s="7"/>
      <c r="G19" s="128"/>
      <c r="H19" s="7"/>
      <c r="I19" s="128"/>
      <c r="J19" s="7"/>
      <c r="K19" s="128"/>
      <c r="L19" s="7"/>
      <c r="M19" s="128"/>
      <c r="N19" s="7"/>
      <c r="O19" s="7"/>
      <c r="P19" s="7"/>
      <c r="Q19" s="128"/>
      <c r="R19" s="7"/>
      <c r="S19" s="128"/>
      <c r="T19" s="7"/>
    </row>
    <row r="20" spans="2:30" ht="7.5" customHeight="1" x14ac:dyDescent="0.2">
      <c r="B20" s="7"/>
      <c r="C20" s="128"/>
      <c r="D20" s="7"/>
      <c r="E20" s="136"/>
      <c r="F20" s="7"/>
      <c r="G20" s="128"/>
      <c r="H20" s="7"/>
      <c r="I20" s="128"/>
      <c r="J20" s="7"/>
      <c r="K20" s="128"/>
      <c r="L20" s="7"/>
      <c r="M20" s="128"/>
      <c r="N20" s="7"/>
      <c r="O20" s="7"/>
      <c r="P20" s="7"/>
      <c r="Q20" s="128"/>
      <c r="R20" s="7"/>
      <c r="S20" s="128"/>
      <c r="T20" s="7"/>
    </row>
    <row r="21" spans="2:30" s="13" customFormat="1" ht="40.5" customHeight="1" thickBot="1" x14ac:dyDescent="0.3">
      <c r="B21" s="8"/>
      <c r="C21" s="348" t="s">
        <v>687</v>
      </c>
      <c r="D21" s="9"/>
      <c r="E21" s="314" t="s">
        <v>605</v>
      </c>
      <c r="F21" s="11"/>
      <c r="G21" s="314" t="s">
        <v>606</v>
      </c>
      <c r="H21" s="11"/>
      <c r="I21" s="314" t="s">
        <v>607</v>
      </c>
      <c r="J21" s="11"/>
      <c r="K21" s="314" t="s">
        <v>606</v>
      </c>
      <c r="L21" s="11"/>
      <c r="M21" s="314" t="s">
        <v>605</v>
      </c>
      <c r="N21" s="11"/>
      <c r="O21" s="12"/>
      <c r="P21" s="12"/>
      <c r="Q21" s="348" t="s">
        <v>219</v>
      </c>
      <c r="R21" s="14"/>
      <c r="S21" s="257">
        <f>IF(E27+G27+I27+K27+M27&lt;=0,"",+E27+G27+I27+K27+M27)</f>
        <v>49</v>
      </c>
      <c r="U21" s="9"/>
      <c r="X21" s="5"/>
    </row>
    <row r="22" spans="2:30" s="13" customFormat="1" ht="7.5" customHeight="1" x14ac:dyDescent="0.25">
      <c r="B22" s="8"/>
      <c r="C22" s="129"/>
      <c r="D22" s="9"/>
      <c r="E22" s="132"/>
      <c r="F22" s="11"/>
      <c r="G22" s="132"/>
      <c r="H22" s="11"/>
      <c r="I22" s="132"/>
      <c r="J22" s="11"/>
      <c r="K22" s="132"/>
      <c r="L22" s="11"/>
      <c r="M22" s="132"/>
      <c r="N22" s="11"/>
      <c r="O22" s="12"/>
      <c r="P22" s="12"/>
      <c r="Q22" s="149"/>
      <c r="R22" s="12"/>
      <c r="S22" s="11"/>
      <c r="T22" s="8"/>
      <c r="U22" s="11"/>
      <c r="X22" s="5"/>
    </row>
    <row r="23" spans="2:30" s="13" customFormat="1" ht="36.75" customHeight="1" x14ac:dyDescent="0.25">
      <c r="B23" s="8"/>
      <c r="C23" s="348" t="s">
        <v>228</v>
      </c>
      <c r="D23" s="9"/>
      <c r="E23" s="183" t="s">
        <v>226</v>
      </c>
      <c r="F23" s="11"/>
      <c r="G23" s="183" t="s">
        <v>226</v>
      </c>
      <c r="H23" s="11"/>
      <c r="I23" s="183" t="s">
        <v>226</v>
      </c>
      <c r="J23" s="11"/>
      <c r="K23" s="183" t="s">
        <v>226</v>
      </c>
      <c r="L23" s="11"/>
      <c r="M23" s="183" t="s">
        <v>226</v>
      </c>
      <c r="N23" s="11"/>
      <c r="O23" s="12"/>
      <c r="P23" s="12"/>
      <c r="Q23" s="348" t="s">
        <v>9</v>
      </c>
      <c r="R23" s="8"/>
      <c r="S23" s="258">
        <f>IFERROR(SUMPRODUCT(E27:N27,E37:N37)/SUM(E27:N27),"")</f>
        <v>30.612244897959183</v>
      </c>
      <c r="T23" s="254"/>
      <c r="U23" s="254"/>
      <c r="X23" s="5"/>
      <c r="Z23" s="328"/>
      <c r="AA23" s="328"/>
      <c r="AB23" s="328"/>
      <c r="AC23" s="328"/>
      <c r="AD23" s="328"/>
    </row>
    <row r="24" spans="2:30" ht="5.45" customHeight="1" x14ac:dyDescent="0.2">
      <c r="B24" s="7"/>
      <c r="C24" s="128"/>
      <c r="D24" s="7"/>
      <c r="E24" s="136"/>
      <c r="F24" s="7"/>
      <c r="G24" s="136"/>
      <c r="H24" s="7"/>
      <c r="I24" s="136"/>
      <c r="J24" s="7"/>
      <c r="K24" s="136"/>
      <c r="L24" s="7"/>
      <c r="M24" s="128"/>
      <c r="N24" s="7"/>
      <c r="O24" s="7"/>
      <c r="P24" s="7"/>
      <c r="Q24" s="128"/>
      <c r="R24" s="7"/>
      <c r="S24" s="136"/>
      <c r="T24" s="7"/>
      <c r="U24" s="128"/>
    </row>
    <row r="25" spans="2:30" ht="37.15" customHeight="1" x14ac:dyDescent="0.2">
      <c r="B25" s="7"/>
      <c r="C25" s="348" t="s">
        <v>696</v>
      </c>
      <c r="D25" s="14"/>
      <c r="E25" s="138">
        <v>36</v>
      </c>
      <c r="F25" s="15"/>
      <c r="G25" s="138">
        <v>36</v>
      </c>
      <c r="H25" s="15"/>
      <c r="I25" s="138">
        <v>36</v>
      </c>
      <c r="J25" s="15"/>
      <c r="K25" s="138">
        <v>36</v>
      </c>
      <c r="L25" s="15"/>
      <c r="M25" s="138">
        <v>36</v>
      </c>
      <c r="N25" s="7"/>
      <c r="O25" s="7"/>
      <c r="P25" s="7"/>
      <c r="Q25" s="348" t="s">
        <v>214</v>
      </c>
      <c r="R25" s="9"/>
      <c r="S25" s="154" t="e">
        <f>IF(SUM(E27:M27)=0,"",IF(SUMPRODUCT(E57:M57,E27:M27)&lt;=0,"",SUMPRODUCT(E57:M57,E27:M27)))</f>
        <v>#VALUE!</v>
      </c>
      <c r="T25" s="7"/>
      <c r="U25" s="128"/>
    </row>
    <row r="26" spans="2:30" ht="5.45" customHeight="1" x14ac:dyDescent="0.2">
      <c r="B26" s="7"/>
      <c r="C26" s="128"/>
      <c r="D26" s="7"/>
      <c r="E26" s="136"/>
      <c r="F26" s="7"/>
      <c r="G26" s="136"/>
      <c r="H26" s="7"/>
      <c r="I26" s="136"/>
      <c r="J26" s="7"/>
      <c r="K26" s="136"/>
      <c r="L26" s="7"/>
      <c r="M26" s="128"/>
      <c r="N26" s="7"/>
      <c r="O26" s="7"/>
      <c r="P26" s="7"/>
      <c r="Q26" s="128"/>
      <c r="R26" s="7"/>
      <c r="S26" s="136"/>
      <c r="T26" s="7"/>
      <c r="U26" s="128"/>
    </row>
    <row r="27" spans="2:30" s="13" customFormat="1" ht="33" customHeight="1" x14ac:dyDescent="0.25">
      <c r="B27" s="8"/>
      <c r="C27" s="348" t="s">
        <v>218</v>
      </c>
      <c r="D27" s="14"/>
      <c r="E27" s="138">
        <v>10</v>
      </c>
      <c r="F27" s="15"/>
      <c r="G27" s="138">
        <v>6</v>
      </c>
      <c r="H27" s="15"/>
      <c r="I27" s="138">
        <v>9</v>
      </c>
      <c r="J27" s="15"/>
      <c r="K27" s="138">
        <v>12</v>
      </c>
      <c r="L27" s="15"/>
      <c r="M27" s="138">
        <v>12</v>
      </c>
      <c r="N27" s="15"/>
      <c r="O27" s="8"/>
      <c r="P27" s="8"/>
      <c r="Q27" s="348" t="s">
        <v>202</v>
      </c>
      <c r="R27" s="8"/>
      <c r="S27" s="154">
        <f>IFERROR(SUMPRODUCT(E27:M27,E51:M51)/SUM(E27:M27),"")</f>
        <v>429.59183673469386</v>
      </c>
      <c r="T27" s="255"/>
      <c r="U27" s="255"/>
      <c r="Z27" s="204"/>
      <c r="AA27" s="164"/>
      <c r="AB27" s="164"/>
    </row>
    <row r="28" spans="2:30" s="13" customFormat="1" ht="5.45" customHeight="1" x14ac:dyDescent="0.25">
      <c r="B28" s="8"/>
      <c r="C28" s="130"/>
      <c r="D28" s="16"/>
      <c r="E28" s="139"/>
      <c r="F28" s="15"/>
      <c r="G28" s="139"/>
      <c r="H28" s="15"/>
      <c r="I28" s="139"/>
      <c r="J28" s="15"/>
      <c r="K28" s="139"/>
      <c r="L28" s="15"/>
      <c r="M28" s="139"/>
      <c r="N28" s="15"/>
      <c r="O28" s="8"/>
      <c r="P28" s="8"/>
      <c r="Q28" s="150"/>
      <c r="R28" s="8"/>
      <c r="S28" s="139"/>
      <c r="T28" s="8"/>
      <c r="U28" s="150"/>
    </row>
    <row r="29" spans="2:30" s="13" customFormat="1" ht="33" customHeight="1" x14ac:dyDescent="0.25">
      <c r="B29" s="8"/>
      <c r="C29" s="348" t="s">
        <v>199</v>
      </c>
      <c r="D29" s="16"/>
      <c r="E29" s="287" t="s">
        <v>649</v>
      </c>
      <c r="F29" s="15"/>
      <c r="G29" s="287" t="s">
        <v>649</v>
      </c>
      <c r="H29" s="15"/>
      <c r="I29" s="287" t="s">
        <v>650</v>
      </c>
      <c r="J29" s="15"/>
      <c r="K29" s="287" t="s">
        <v>205</v>
      </c>
      <c r="L29" s="15"/>
      <c r="M29" s="287" t="s">
        <v>192</v>
      </c>
      <c r="N29" s="15"/>
      <c r="O29" s="8"/>
      <c r="P29" s="8"/>
      <c r="Q29" s="348" t="s">
        <v>230</v>
      </c>
      <c r="S29" s="154">
        <f>IFERROR((SUMPRODUCT(E27:M27,E51:M51)),"")</f>
        <v>21050</v>
      </c>
      <c r="T29" s="8"/>
      <c r="U29" s="150"/>
    </row>
    <row r="30" spans="2:30" s="13" customFormat="1" ht="5.45" customHeight="1" x14ac:dyDescent="0.25">
      <c r="B30" s="8"/>
      <c r="C30" s="130"/>
      <c r="D30" s="16"/>
      <c r="E30" s="139"/>
      <c r="F30" s="15"/>
      <c r="G30" s="139"/>
      <c r="H30" s="15"/>
      <c r="I30" s="139"/>
      <c r="J30" s="15"/>
      <c r="K30" s="139"/>
      <c r="L30" s="15"/>
      <c r="M30" s="139"/>
      <c r="N30" s="15"/>
      <c r="O30" s="8"/>
      <c r="P30" s="8"/>
      <c r="Q30" s="150"/>
      <c r="R30" s="8"/>
      <c r="S30" s="139"/>
      <c r="T30" s="8"/>
      <c r="U30" s="150"/>
    </row>
    <row r="31" spans="2:30" s="13" customFormat="1" ht="33" customHeight="1" x14ac:dyDescent="0.2">
      <c r="B31" s="8"/>
      <c r="C31" s="348" t="s">
        <v>589</v>
      </c>
      <c r="D31" s="16"/>
      <c r="E31" s="287" t="s">
        <v>693</v>
      </c>
      <c r="F31" s="15"/>
      <c r="G31" s="287" t="s">
        <v>606</v>
      </c>
      <c r="H31" s="15"/>
      <c r="I31" s="287" t="s">
        <v>665</v>
      </c>
      <c r="J31" s="15"/>
      <c r="K31" s="350" t="s">
        <v>663</v>
      </c>
      <c r="L31" s="15"/>
      <c r="M31" s="350" t="s">
        <v>691</v>
      </c>
      <c r="N31" s="15"/>
      <c r="O31" s="8"/>
      <c r="P31" s="8"/>
      <c r="Q31" s="348" t="s">
        <v>225</v>
      </c>
      <c r="S31" s="154">
        <f>IFERROR(IF(OR(E21="Voice &amp; Data", E21="Voice Only"),(IF($S$13="","Set Contract Term",E18*E27*'Qualitative Measures Lookup'!$M$4*$S$13/12)),"0")
+ (IF(OR(G21="Voice &amp; Data", G21="Voice Only"),(IF($S$13="","Set Contract Term",E18*G27*'Qualitative Measures Lookup'!$M$4*$S$13/12)),"0"))
+ (IF(OR(I119="Voice &amp; Data", I21="Voice Only"),(IF($S$13="","Set Contract Term",E18*I27*'Qualitative Measures Lookup'!$M$4*$S$13/12)),"0"))
+ (IF(OR(K21="Voice &amp; Data", K21="Voice Only"),(IF($S$13="","Set Contract Term",E18*K27*'Qualitative Measures Lookup'!$M$4*$S$13/12)),"0"))
+ (IF(OR(M21="Voice &amp; Data", M21="Voice Only"),(IF($S$13="","Set Contract Term",E18*M27*'Qualitative Measures Lookup'!$M$4*$S$13/12)),"0")),"")</f>
        <v>1080</v>
      </c>
      <c r="T31" s="8"/>
      <c r="U31" s="150"/>
    </row>
    <row r="32" spans="2:30" s="13" customFormat="1" ht="5.45" customHeight="1" x14ac:dyDescent="0.25">
      <c r="B32" s="8"/>
      <c r="C32" s="130"/>
      <c r="D32" s="16"/>
      <c r="E32" s="139"/>
      <c r="F32" s="15"/>
      <c r="G32" s="139"/>
      <c r="H32" s="15"/>
      <c r="I32" s="139"/>
      <c r="J32" s="15"/>
      <c r="K32" s="139"/>
      <c r="L32" s="15"/>
      <c r="M32" s="139"/>
      <c r="N32" s="15"/>
      <c r="O32" s="8"/>
      <c r="P32" s="8"/>
      <c r="Q32" s="150"/>
      <c r="R32" s="8"/>
      <c r="S32" s="139"/>
      <c r="T32" s="8"/>
      <c r="U32" s="150"/>
    </row>
    <row r="33" spans="2:28" s="13" customFormat="1" ht="33" customHeight="1" x14ac:dyDescent="0.25">
      <c r="B33" s="8"/>
      <c r="C33" s="348" t="s">
        <v>586</v>
      </c>
      <c r="D33" s="16"/>
      <c r="E33" s="295" t="e">
        <f>IF(E31="","",VLOOKUP(E25&amp;"|"&amp;E29&amp;"|"&amp;E31, 'Qualitative Measures Lookup'!$BA$3:$BB$68, 2,FALSE))</f>
        <v>#N/A</v>
      </c>
      <c r="F33" s="15"/>
      <c r="G33" s="295" t="e">
        <f>IF(G31="","",VLOOKUP(G25&amp;"|"&amp;G29&amp;"|"&amp;G31, 'Qualitative Measures Lookup'!$BA$3:$BB$68, 2,FALSE))</f>
        <v>#N/A</v>
      </c>
      <c r="H33" s="15"/>
      <c r="I33" s="295">
        <f>IF(I31="","",VLOOKUP(I25&amp;"|"&amp;I29&amp;"|"&amp;I31, 'Qualitative Measures Lookup'!$BA$3:$BB$68, 2,FALSE))</f>
        <v>115</v>
      </c>
      <c r="J33" s="15"/>
      <c r="K33" s="295">
        <f>IF(K31="","",VLOOKUP(K25&amp;"|"&amp;K29&amp;"|"&amp;K31, 'Qualitative Measures Lookup'!$BA$3:$BB$68, 2,FALSE))</f>
        <v>70</v>
      </c>
      <c r="L33" s="15"/>
      <c r="M33" s="295" t="e">
        <f>IF(M31="","",VLOOKUP(M25&amp;"|"&amp;M29&amp;"|"&amp;M31, 'Qualitative Measures Lookup'!$BA$3:$BB$68, 2,FALSE))</f>
        <v>#N/A</v>
      </c>
      <c r="N33" s="15"/>
      <c r="O33" s="8"/>
      <c r="P33" s="8"/>
      <c r="Q33" s="348" t="s">
        <v>346</v>
      </c>
      <c r="S33" s="154">
        <f>IF($S$13="","Set Contract Term",M18*SUM(E27:M27)*'Qualitative Measures Lookup'!$M$3*$S$13/12)</f>
        <v>10290</v>
      </c>
      <c r="T33" s="8"/>
      <c r="U33" s="150"/>
    </row>
    <row r="34" spans="2:28" s="13" customFormat="1" ht="5.45" customHeight="1" x14ac:dyDescent="0.25">
      <c r="B34" s="8"/>
      <c r="C34" s="130"/>
      <c r="D34" s="16"/>
      <c r="E34" s="139"/>
      <c r="F34" s="15"/>
      <c r="G34" s="139"/>
      <c r="H34" s="15"/>
      <c r="I34" s="139"/>
      <c r="J34" s="15"/>
      <c r="K34" s="139"/>
      <c r="L34" s="15"/>
      <c r="M34" s="139"/>
      <c r="N34" s="15"/>
      <c r="O34" s="8"/>
      <c r="P34" s="8"/>
      <c r="Q34" s="347"/>
      <c r="R34" s="9"/>
      <c r="S34" s="152"/>
      <c r="T34" s="8"/>
      <c r="U34" s="150"/>
    </row>
    <row r="35" spans="2:28" s="13" customFormat="1" ht="38.25" customHeight="1" x14ac:dyDescent="0.25">
      <c r="B35" s="8"/>
      <c r="C35" s="348" t="s">
        <v>619</v>
      </c>
      <c r="D35" s="16"/>
      <c r="E35" s="312">
        <v>0.2</v>
      </c>
      <c r="F35" s="313"/>
      <c r="G35" s="312">
        <v>0.2</v>
      </c>
      <c r="H35" s="313"/>
      <c r="I35" s="312">
        <v>0.2</v>
      </c>
      <c r="J35" s="313"/>
      <c r="K35" s="312">
        <v>0.2</v>
      </c>
      <c r="L35" s="313"/>
      <c r="M35" s="312">
        <v>0.2</v>
      </c>
      <c r="N35" s="15"/>
      <c r="O35" s="8"/>
      <c r="P35" s="8"/>
      <c r="Q35" s="348" t="s">
        <v>640</v>
      </c>
      <c r="S35" s="274" t="str">
        <f>IFERROR(S25-S29-S31-S33,"")</f>
        <v/>
      </c>
      <c r="T35" s="256"/>
      <c r="U35" s="256"/>
      <c r="X35" s="5"/>
      <c r="Z35" s="332"/>
      <c r="AA35" s="164"/>
      <c r="AB35" s="164"/>
    </row>
    <row r="36" spans="2:28" s="13" customFormat="1" ht="5.45" customHeight="1" x14ac:dyDescent="0.25">
      <c r="B36" s="8"/>
      <c r="C36" s="130"/>
      <c r="D36" s="16"/>
      <c r="E36" s="139"/>
      <c r="F36" s="15"/>
      <c r="G36" s="139"/>
      <c r="H36" s="15"/>
      <c r="I36" s="139"/>
      <c r="J36" s="15"/>
      <c r="K36" s="139"/>
      <c r="L36" s="15"/>
      <c r="M36" s="139"/>
      <c r="N36" s="15"/>
      <c r="O36" s="8"/>
      <c r="P36" s="8"/>
      <c r="Q36" s="150"/>
      <c r="R36" s="8"/>
      <c r="S36" s="139"/>
      <c r="T36" s="8"/>
      <c r="U36" s="151"/>
      <c r="X36" s="5"/>
    </row>
    <row r="37" spans="2:28" s="13" customFormat="1" ht="33" customHeight="1" x14ac:dyDescent="0.25">
      <c r="B37" s="8"/>
      <c r="C37" s="348" t="s">
        <v>651</v>
      </c>
      <c r="D37" s="14"/>
      <c r="E37" s="334" t="str">
        <f>IFERROR(IF(E33&lt;&gt;"",E33-(E33*E35),""),"")</f>
        <v/>
      </c>
      <c r="F37" s="335"/>
      <c r="G37" s="334" t="str">
        <f>IFERROR(IF(G33&lt;&gt;"",G33-(G33*G35),""),"")</f>
        <v/>
      </c>
      <c r="H37" s="335"/>
      <c r="I37" s="334">
        <f>IFERROR(IF(I33&lt;&gt;"",I33-(I33*I35),""),"")</f>
        <v>92</v>
      </c>
      <c r="J37" s="335"/>
      <c r="K37" s="334">
        <f>IFERROR(IF(K33&lt;&gt;"",K33-(K33*K35),""),"")</f>
        <v>56</v>
      </c>
      <c r="L37" s="335"/>
      <c r="M37" s="334" t="str">
        <f>IFERROR(IF(M33&lt;&gt;"",M33-(M33*M35),""),"")</f>
        <v/>
      </c>
      <c r="N37" s="15"/>
      <c r="O37" s="8"/>
      <c r="P37" s="8"/>
      <c r="Q37" s="348" t="s">
        <v>638</v>
      </c>
      <c r="S37" s="155" t="e">
        <f>IF(S25="","N/A",S35/S25)</f>
        <v>#VALUE!</v>
      </c>
      <c r="T37" s="8"/>
      <c r="U37" s="276"/>
      <c r="W37" s="164"/>
      <c r="X37" s="5"/>
      <c r="Y37" s="209"/>
      <c r="Z37" s="204"/>
      <c r="AA37" s="164"/>
      <c r="AB37" s="164"/>
    </row>
    <row r="38" spans="2:28" s="13" customFormat="1" ht="5.45" customHeight="1" x14ac:dyDescent="0.25">
      <c r="B38" s="8"/>
      <c r="C38" s="130"/>
      <c r="D38" s="16"/>
      <c r="E38" s="139"/>
      <c r="F38" s="15"/>
      <c r="G38" s="139"/>
      <c r="H38" s="15"/>
      <c r="I38" s="139"/>
      <c r="J38" s="15"/>
      <c r="K38" s="139"/>
      <c r="L38" s="15"/>
      <c r="M38" s="139"/>
      <c r="N38" s="15"/>
      <c r="O38" s="8"/>
      <c r="P38" s="8"/>
      <c r="Q38" s="150"/>
      <c r="R38" s="8"/>
      <c r="S38" s="139"/>
      <c r="T38" s="8"/>
      <c r="U38" s="277"/>
      <c r="X38" s="5"/>
    </row>
    <row r="39" spans="2:28" s="13" customFormat="1" ht="36" customHeight="1" x14ac:dyDescent="0.25">
      <c r="B39" s="8"/>
      <c r="C39" s="348" t="s">
        <v>608</v>
      </c>
      <c r="D39" s="16"/>
      <c r="E39" s="140">
        <v>25</v>
      </c>
      <c r="F39" s="15"/>
      <c r="G39" s="140">
        <v>25</v>
      </c>
      <c r="H39" s="15"/>
      <c r="I39" s="140">
        <v>25</v>
      </c>
      <c r="J39" s="15"/>
      <c r="K39" s="140">
        <v>25</v>
      </c>
      <c r="L39" s="15"/>
      <c r="M39" s="140">
        <v>25</v>
      </c>
      <c r="N39" s="15"/>
      <c r="O39" s="8"/>
      <c r="P39" s="8"/>
      <c r="Q39" s="348" t="s">
        <v>231</v>
      </c>
      <c r="S39" s="156" t="str">
        <f>IFERROR(ROUND(SUMPRODUCT(E27:M27,E51:M51)/SUMPRODUCT(E27:M27,E37:M37),1)&amp;" mo.","")</f>
        <v>14 mo.</v>
      </c>
      <c r="U39" s="278"/>
      <c r="X39" s="5"/>
      <c r="Z39" s="333"/>
    </row>
    <row r="40" spans="2:28" s="13" customFormat="1" ht="5.45" customHeight="1" x14ac:dyDescent="0.25">
      <c r="B40" s="8"/>
      <c r="C40" s="130"/>
      <c r="D40" s="16"/>
      <c r="E40" s="139"/>
      <c r="F40" s="15"/>
      <c r="G40" s="139"/>
      <c r="H40" s="15"/>
      <c r="I40" s="139"/>
      <c r="J40" s="15"/>
      <c r="K40" s="139"/>
      <c r="L40" s="15"/>
      <c r="M40" s="139"/>
      <c r="N40" s="15"/>
      <c r="O40" s="8"/>
      <c r="P40" s="8"/>
      <c r="T40" s="8"/>
      <c r="U40" s="277"/>
      <c r="X40" s="5"/>
    </row>
    <row r="41" spans="2:28" s="13" customFormat="1" ht="33" customHeight="1" x14ac:dyDescent="0.25">
      <c r="B41" s="8"/>
      <c r="C41" s="348" t="s">
        <v>641</v>
      </c>
      <c r="E41" s="140">
        <v>50</v>
      </c>
      <c r="F41" s="15"/>
      <c r="G41" s="140">
        <v>50</v>
      </c>
      <c r="H41" s="15"/>
      <c r="I41" s="140">
        <v>50</v>
      </c>
      <c r="J41" s="15"/>
      <c r="K41" s="140">
        <v>50</v>
      </c>
      <c r="L41" s="15"/>
      <c r="M41" s="140">
        <v>50</v>
      </c>
      <c r="N41" s="15"/>
      <c r="O41" s="8"/>
      <c r="P41" s="8"/>
      <c r="Q41" s="326"/>
      <c r="R41" s="8"/>
      <c r="S41" s="326"/>
      <c r="U41" s="278"/>
      <c r="X41" s="5"/>
    </row>
    <row r="42" spans="2:28" s="13" customFormat="1" ht="5.65" customHeight="1" x14ac:dyDescent="0.25">
      <c r="B42" s="8"/>
      <c r="C42" s="130"/>
      <c r="D42" s="16"/>
      <c r="E42" s="139"/>
      <c r="F42" s="15"/>
      <c r="G42" s="139"/>
      <c r="H42" s="15"/>
      <c r="I42" s="139"/>
      <c r="J42" s="15"/>
      <c r="K42" s="139"/>
      <c r="L42" s="15"/>
      <c r="M42" s="139"/>
      <c r="N42" s="15"/>
      <c r="O42" s="8"/>
      <c r="P42" s="8"/>
      <c r="Q42" s="326"/>
      <c r="R42" s="8"/>
      <c r="S42" s="139"/>
      <c r="T42" s="8"/>
      <c r="U42" s="277"/>
      <c r="X42" s="5"/>
    </row>
    <row r="43" spans="2:28" s="13" customFormat="1" ht="31.35" customHeight="1" outlineLevel="1" x14ac:dyDescent="0.25">
      <c r="B43" s="8"/>
      <c r="C43" s="348" t="s">
        <v>642</v>
      </c>
      <c r="E43" s="140">
        <v>10</v>
      </c>
      <c r="F43" s="15"/>
      <c r="G43" s="140">
        <v>10</v>
      </c>
      <c r="H43" s="15"/>
      <c r="I43" s="140">
        <v>10</v>
      </c>
      <c r="J43" s="15"/>
      <c r="K43" s="140">
        <v>10</v>
      </c>
      <c r="L43" s="15"/>
      <c r="M43" s="140">
        <v>10</v>
      </c>
      <c r="N43" s="15"/>
      <c r="O43" s="8"/>
      <c r="P43" s="8"/>
      <c r="T43" s="8"/>
      <c r="U43" s="278"/>
      <c r="X43" s="5"/>
    </row>
    <row r="44" spans="2:28" s="13" customFormat="1" ht="20.25" outlineLevel="1" x14ac:dyDescent="0.25">
      <c r="B44" s="8"/>
      <c r="C44" s="130"/>
      <c r="D44" s="16"/>
      <c r="E44" s="142"/>
      <c r="F44" s="15"/>
      <c r="G44" s="142"/>
      <c r="H44" s="15"/>
      <c r="I44" s="142"/>
      <c r="J44" s="15"/>
      <c r="K44" s="142"/>
      <c r="L44" s="15"/>
      <c r="M44" s="142"/>
      <c r="N44" s="15"/>
      <c r="O44" s="8"/>
      <c r="P44" s="8"/>
      <c r="X44" s="5"/>
    </row>
    <row r="45" spans="2:28" s="13" customFormat="1" ht="21" customHeight="1" outlineLevel="1" x14ac:dyDescent="0.25">
      <c r="B45" s="8"/>
      <c r="C45" s="130" t="s">
        <v>189</v>
      </c>
      <c r="D45" s="16"/>
      <c r="E45" s="141">
        <f>IF(E29="BYOD",0,(IF(E29="Basic",100,(IF(E29="Data Only",200,(IF(E29="Silver",400,(IF(E29="Gold",600)))+E41+E43))))))</f>
        <v>460</v>
      </c>
      <c r="F45" s="15"/>
      <c r="G45" s="141">
        <f>IF(G29="BYOD",0,(IF(G29="Basic",100,(IF(G29="Data Only",200,(IF(G29="Silver",400,(IF(G29="Gold",600)))+G41+G43))))))</f>
        <v>460</v>
      </c>
      <c r="H45" s="15"/>
      <c r="I45" s="141">
        <f>IF(I29="BYOD",0,(IF(I29="Basic",100,(IF(I29="Data Only",200,(IF(I29="Silver",400,(IF(I29="Gold",600)))+I41+I43))))))</f>
        <v>660</v>
      </c>
      <c r="J45" s="15"/>
      <c r="K45" s="141">
        <f>IF(K29="BYOD",0,(IF(K29="Basic",100,(IF(K29="Data Only",200,(IF(K29="Silver",400,(IF(K29="Gold",600)))+K41+K43))))))</f>
        <v>0</v>
      </c>
      <c r="L45" s="15"/>
      <c r="M45" s="141">
        <f>IF(M29="BYOD",0,(IF(M29="Basic",100,(IF(M29="Data Only",200,(IF(M29="Silver",400,(IF(M29="Gold",600)))+M41+M43))))))</f>
        <v>100</v>
      </c>
      <c r="N45" s="15"/>
      <c r="O45" s="8"/>
      <c r="P45" s="8"/>
      <c r="S45" s="326"/>
      <c r="T45" s="326"/>
      <c r="U45" s="201"/>
      <c r="X45" s="5"/>
    </row>
    <row r="46" spans="2:28" s="13" customFormat="1" ht="20.25" customHeight="1" outlineLevel="1" x14ac:dyDescent="0.25">
      <c r="B46" s="8"/>
      <c r="N46" s="15"/>
      <c r="O46" s="8"/>
      <c r="P46" s="8"/>
      <c r="R46" s="279"/>
      <c r="S46" s="326"/>
      <c r="T46" s="326"/>
      <c r="U46" s="201"/>
      <c r="X46" s="5"/>
    </row>
    <row r="47" spans="2:28" s="13" customFormat="1" ht="25.5" customHeight="1" outlineLevel="1" x14ac:dyDescent="0.25">
      <c r="B47" s="8"/>
      <c r="C47" s="130" t="s">
        <v>634</v>
      </c>
      <c r="E47" s="141">
        <f>IF(E27&gt;0,(IF($E$13="Direct",30,(IF($E$13="Dealer Only",30,IF(AND($E$21="Voice &amp; Data",$E$13="Dealer Protected"),150,IF(AND($E$21="Voice &amp; Data",$E$13="Dealer Owned Co-Sell"),150,IF(AND($E$21="Voice &amp; Data",$E$13="VAR/Distributor"),150,IF(AND($E$21="Voice Only",$E$13="Dealer Protected"),75,IF(AND($E$21="Voice Only",$E$13="Dealer Owned Co-Sell"),75,IF(AND($E$21="Voice Only",$E$13="VAR/Distributor"),75,IF(AND($E$21="Data Only",$E$13="Dealer Protected"),75,IF(AND($E$21="Data Only",$E$13="Dealer Owned Co-Sell"),75,IF(AND($E$21="Data Only",$E$13="VAR/Distributor"),75,0))))))))))))),0)</f>
        <v>150</v>
      </c>
      <c r="F47" s="15"/>
      <c r="G47" s="141">
        <f>IF(G27&gt;0,(IF($E$13="Direct",30,(IF($E$13="Dealer Only",30,IF(AND($G$21="Voice &amp; Data",$E$13="Dealer Protected"),150,IF(AND($G$21="Voice &amp; Data",$E$13="Dealer Owned Co-Sell"),150,IF(AND($G$21="Voice &amp; Data",$E$13="VAR/Distributor"),150,IF(AND($G$21="Voice Only",$E$13="Dealer Protected"),75,IF(AND($G$21="Voice Only",$E$13="Dealer Owned Co-Sell"),75,IF(AND($G$21="Voice Only",$E$13="VAR/Distributor"),75,IF(AND($G$21="Data Only",$E$13="Dealer Protected"),75,IF(AND($G$21="Data Only",$E$13="Dealer Owned Co-Sell"),75,IF(AND($G$21="Data Only",$E$13="VAR/Distributor"),75,0))))))))))))),0)</f>
        <v>75</v>
      </c>
      <c r="H47" s="15"/>
      <c r="I47" s="141">
        <f>IF(I27&gt;0,(IF($E$13="Direct",30,(IF($E$13="Dealer Only",30,IF(AND($I$21="Voice &amp; Data",$E$13="Dealer Protected"),150,IF(AND($I$21="Voice &amp; Data",$E$13="Dealer Owned Co-Sell"),150,IF(AND($I$21="Voice &amp; Data",$E$13="VAR/Distributor"),150,IF(AND($I$21="Voice Only",$E$13="Dealer Protected"),75,IF(AND($I$21="Voice Only",$E$13="Dealer Owned Co-Sell"),75,IF(AND($I$21="Voice Only",$E$13="VAR/Distributor"),75,IF(AND($I$21="Data Only",$E$13="Dealer Protected"),75,IF(AND($I$21="Data Only",$E$13="Dealer Owned Co-Sell"),75,IF(AND($I$21="Data Only",$E$13="VAR/Distributor"),75,0))))))))))))),0)</f>
        <v>75</v>
      </c>
      <c r="J47" s="15"/>
      <c r="K47" s="141">
        <f>IF(K27&gt;0,(IF($E$13="Direct",30,(IF($E$13="Dealer Only",30,IF(AND($K$21="Voice &amp; Data",$E$13="Dealer Protected"),150,IF(AND($K$21="Voice &amp; Data",$E$13="Dealer Owned Co-Sell"),150,IF(AND($K$21="Voice &amp; Data",$E$13="VAR/Distributor"),150,IF(AND($K$21="Voice Only",$E$13="Dealer Protected"),75,IF(AND($K$21="Voice Only",$E$13="Dealer Owned Co-Sell"),75,IF(AND($K$21="Voice Only",$E$13="VAR/Distributor"),75,IF(AND($K$21="Data Only",$E$13="Dealer Protected"),75,IF(AND($K$21="Data Only",$E$13="Dealer Owned Co-Sell"),75,IF(AND($K$21="Data Only",$E$13="VAR/Distributor"),75,0))))))))))))),0)</f>
        <v>75</v>
      </c>
      <c r="L47" s="15"/>
      <c r="M47" s="141">
        <f>IF(M27&gt;0,(IF($E$13="Direct",30,(IF($E$13="Dealer Only",30,IF(AND($M$21="Voice &amp; Data",$E$13="Dealer Protected"),150,IF(AND($M$21="Voice &amp; Data",$E$13="Dealer Owned Co-Sell"),150,IF(AND($M$21="Voice &amp; Data",$E$13="VAR/Distributor"),150,IF(AND($M$21="Voice Only",$E$13="Dealer Protected"),75,IF(AND($M$21="Voice Only",$E$13="Dealer Owned Co-Sell"),75,IF(AND($M$21="Voice Only",$E$13="VAR/Distributor"),75,IF(AND($M$21="Data Only",$E$13="Dealer Protected"),75,IF(AND($M$21="Data Only",$E$13="Dealer Owned Co-Sell"),75,IF(AND($M$21="Data Only",$E$13="VAR/Distributor"),75,0))))))))))))),0)</f>
        <v>150</v>
      </c>
      <c r="N47" s="15"/>
      <c r="O47" s="8"/>
      <c r="P47" s="8"/>
      <c r="R47" s="279"/>
      <c r="S47" s="326"/>
      <c r="T47" s="326"/>
      <c r="X47" s="5"/>
    </row>
    <row r="48" spans="2:28" s="13" customFormat="1" ht="20.25" customHeight="1" outlineLevel="1" x14ac:dyDescent="0.25">
      <c r="B48" s="8"/>
      <c r="C48" s="130"/>
      <c r="E48" s="205"/>
      <c r="F48" s="15"/>
      <c r="G48" s="205"/>
      <c r="H48" s="15"/>
      <c r="I48" s="205"/>
      <c r="J48" s="15"/>
      <c r="K48" s="205"/>
      <c r="L48" s="15"/>
      <c r="M48" s="205"/>
      <c r="N48" s="15"/>
      <c r="O48" s="8"/>
      <c r="P48" s="8"/>
      <c r="R48" s="279"/>
      <c r="S48" s="326"/>
      <c r="T48" s="326"/>
      <c r="X48" s="5"/>
    </row>
    <row r="49" spans="2:35" s="13" customFormat="1" ht="20.25" customHeight="1" outlineLevel="1" x14ac:dyDescent="0.25">
      <c r="B49" s="8"/>
      <c r="C49" s="130" t="s">
        <v>635</v>
      </c>
      <c r="E49" s="141">
        <f>SUM(E39)</f>
        <v>25</v>
      </c>
      <c r="F49" s="15"/>
      <c r="G49" s="141">
        <f>SUM(G39)</f>
        <v>25</v>
      </c>
      <c r="H49" s="15"/>
      <c r="I49" s="141">
        <f>SUM(I39)</f>
        <v>25</v>
      </c>
      <c r="J49" s="15"/>
      <c r="K49" s="141">
        <f>SUM(K39)</f>
        <v>25</v>
      </c>
      <c r="L49" s="15"/>
      <c r="M49" s="141">
        <f>SUM(M39)</f>
        <v>25</v>
      </c>
      <c r="N49" s="15"/>
      <c r="O49" s="8"/>
      <c r="P49" s="8"/>
      <c r="R49" s="279"/>
      <c r="S49" s="326"/>
      <c r="T49" s="326"/>
      <c r="W49" s="207"/>
      <c r="X49" s="5"/>
      <c r="Y49" s="204"/>
      <c r="Z49" s="164"/>
    </row>
    <row r="50" spans="2:35" s="13" customFormat="1" ht="9" customHeight="1" x14ac:dyDescent="0.2">
      <c r="B50" s="8"/>
      <c r="N50" s="15"/>
      <c r="O50" s="8"/>
      <c r="P50" s="8"/>
      <c r="R50" s="279"/>
      <c r="S50" s="326"/>
      <c r="T50" s="326"/>
      <c r="U50" s="127"/>
      <c r="X50" s="5"/>
    </row>
    <row r="51" spans="2:35" s="13" customFormat="1" ht="33" customHeight="1" x14ac:dyDescent="0.2">
      <c r="B51" s="8"/>
      <c r="C51" s="348" t="s">
        <v>191</v>
      </c>
      <c r="D51" s="16"/>
      <c r="E51" s="143">
        <f>E45+E47+E49</f>
        <v>635</v>
      </c>
      <c r="F51" s="15"/>
      <c r="G51" s="143">
        <f>G45+G47+G49</f>
        <v>560</v>
      </c>
      <c r="H51" s="15"/>
      <c r="I51" s="143">
        <f>I45+I47+I49</f>
        <v>760</v>
      </c>
      <c r="J51" s="15"/>
      <c r="K51" s="143">
        <f>K45+K47+K49</f>
        <v>100</v>
      </c>
      <c r="L51" s="15"/>
      <c r="M51" s="143">
        <f>M45+M47+M49</f>
        <v>275</v>
      </c>
      <c r="N51" s="17"/>
      <c r="O51" s="8"/>
      <c r="P51" s="8"/>
      <c r="R51" s="279"/>
      <c r="S51" s="326"/>
      <c r="T51" s="326"/>
      <c r="U51" s="127"/>
      <c r="W51" s="164"/>
      <c r="X51" s="208"/>
    </row>
    <row r="52" spans="2:35" s="13" customFormat="1" ht="9.6" customHeight="1" x14ac:dyDescent="0.2">
      <c r="B52" s="8"/>
      <c r="N52" s="15"/>
      <c r="O52" s="8"/>
      <c r="P52" s="8"/>
      <c r="R52" s="8"/>
      <c r="S52" s="326"/>
      <c r="T52" s="326"/>
      <c r="U52" s="127"/>
      <c r="X52" s="5"/>
    </row>
    <row r="53" spans="2:35" s="13" customFormat="1" ht="20.25" x14ac:dyDescent="0.25">
      <c r="B53" s="8"/>
      <c r="C53" s="348" t="s">
        <v>636</v>
      </c>
      <c r="D53" s="16"/>
      <c r="E53" s="143" t="e">
        <f>E57</f>
        <v>#VALUE!</v>
      </c>
      <c r="F53" s="15"/>
      <c r="G53" s="143" t="e">
        <f>G57</f>
        <v>#VALUE!</v>
      </c>
      <c r="H53" s="15"/>
      <c r="I53" s="143">
        <f>I57</f>
        <v>3312</v>
      </c>
      <c r="J53" s="15"/>
      <c r="K53" s="143">
        <f>K57</f>
        <v>2016</v>
      </c>
      <c r="L53" s="15"/>
      <c r="M53" s="143" t="e">
        <f>M57</f>
        <v>#VALUE!</v>
      </c>
      <c r="N53" s="15"/>
      <c r="O53" s="8"/>
      <c r="P53" s="8"/>
      <c r="S53" s="326"/>
      <c r="T53" s="326"/>
      <c r="U53" s="201"/>
      <c r="W53" s="164"/>
      <c r="X53" s="5"/>
      <c r="Y53" s="204"/>
      <c r="Z53" s="207"/>
    </row>
    <row r="54" spans="2:35" s="13" customFormat="1" ht="11.65" customHeight="1" x14ac:dyDescent="0.25">
      <c r="B54" s="8"/>
      <c r="C54" s="280"/>
      <c r="D54" s="281"/>
      <c r="E54" s="282"/>
      <c r="F54" s="283"/>
      <c r="G54" s="282"/>
      <c r="H54" s="283"/>
      <c r="I54" s="282"/>
      <c r="J54" s="283"/>
      <c r="K54" s="282"/>
      <c r="L54" s="283"/>
      <c r="M54" s="282"/>
      <c r="N54" s="15"/>
      <c r="O54" s="8"/>
      <c r="P54" s="8"/>
      <c r="R54" s="8"/>
      <c r="S54" s="326"/>
      <c r="T54" s="326"/>
      <c r="U54" s="201"/>
      <c r="X54" s="5"/>
      <c r="AE54" s="8"/>
      <c r="AF54" s="8"/>
      <c r="AG54" s="8"/>
      <c r="AH54" s="8"/>
      <c r="AI54" s="8"/>
    </row>
    <row r="55" spans="2:35" s="13" customFormat="1" ht="20.25" outlineLevel="1" x14ac:dyDescent="0.25">
      <c r="B55" s="8"/>
      <c r="C55" s="348" t="s">
        <v>637</v>
      </c>
      <c r="D55" s="16"/>
      <c r="E55" s="309" t="str">
        <f>IFERROR((E53-E51)/E53,"")</f>
        <v/>
      </c>
      <c r="F55" s="15"/>
      <c r="G55" s="309" t="str">
        <f>IFERROR((G53-G51)/G53,"")</f>
        <v/>
      </c>
      <c r="H55" s="15"/>
      <c r="I55" s="309">
        <f>IFERROR((I53-I51)/I53,"")</f>
        <v>0.77053140096618356</v>
      </c>
      <c r="J55" s="15"/>
      <c r="K55" s="309">
        <f>IFERROR((K53-K51)/K53,"")</f>
        <v>0.95039682539682535</v>
      </c>
      <c r="L55" s="15"/>
      <c r="M55" s="309" t="str">
        <f>IFERROR((M53-M51)/M53,"")</f>
        <v/>
      </c>
      <c r="N55" s="15"/>
      <c r="O55" s="8"/>
      <c r="P55" s="8"/>
      <c r="W55" s="207"/>
      <c r="X55" s="5"/>
      <c r="Y55" s="204"/>
      <c r="Z55" s="207"/>
    </row>
    <row r="56" spans="2:35" s="13" customFormat="1" ht="21" thickBot="1" x14ac:dyDescent="0.25">
      <c r="B56" s="8"/>
      <c r="C56" s="130"/>
      <c r="D56" s="16"/>
      <c r="E56" s="139"/>
      <c r="F56" s="15"/>
      <c r="G56" s="139"/>
      <c r="H56" s="15"/>
      <c r="I56" s="139"/>
      <c r="J56" s="15"/>
      <c r="K56" s="139"/>
      <c r="L56" s="15"/>
      <c r="M56" s="139"/>
      <c r="N56" s="15"/>
      <c r="O56" s="8"/>
      <c r="P56" s="8"/>
      <c r="Q56" s="127"/>
      <c r="R56" s="3"/>
      <c r="S56" s="127"/>
      <c r="T56" s="3"/>
      <c r="U56" s="127"/>
      <c r="X56" s="5"/>
    </row>
    <row r="57" spans="2:35" s="13" customFormat="1" ht="21" thickBot="1" x14ac:dyDescent="0.25">
      <c r="B57" s="8"/>
      <c r="C57" s="131" t="s">
        <v>6</v>
      </c>
      <c r="D57" s="14"/>
      <c r="E57" s="144" t="e">
        <f>IF(E27="",0,E37*E25)</f>
        <v>#VALUE!</v>
      </c>
      <c r="F57" s="15"/>
      <c r="G57" s="144" t="e">
        <f>IF(G27="",0,G37*G25)</f>
        <v>#VALUE!</v>
      </c>
      <c r="H57" s="15"/>
      <c r="I57" s="144">
        <f>IF(I27="",0,I37*I25)</f>
        <v>3312</v>
      </c>
      <c r="J57" s="15"/>
      <c r="K57" s="144">
        <f>IF(K27="",0,K37*K25)</f>
        <v>2016</v>
      </c>
      <c r="L57" s="15"/>
      <c r="M57" s="144" t="e">
        <f>IF(M27="",0,M37*M25)</f>
        <v>#VALUE!</v>
      </c>
      <c r="N57" s="30"/>
      <c r="O57" s="8"/>
      <c r="P57" s="8"/>
      <c r="Q57" s="127"/>
      <c r="R57" s="3"/>
      <c r="S57" s="127"/>
      <c r="T57" s="3"/>
      <c r="U57" s="127"/>
      <c r="X57" s="5"/>
    </row>
    <row r="58" spans="2:35" s="13" customFormat="1" ht="20.25" x14ac:dyDescent="0.2">
      <c r="B58" s="8"/>
      <c r="C58" s="130"/>
      <c r="D58" s="16"/>
      <c r="E58" s="139"/>
      <c r="F58" s="15"/>
      <c r="G58" s="139"/>
      <c r="H58" s="15"/>
      <c r="I58" s="139"/>
      <c r="J58" s="15"/>
      <c r="K58" s="139"/>
      <c r="L58" s="15"/>
      <c r="M58" s="139"/>
      <c r="N58" s="19"/>
      <c r="O58" s="8"/>
      <c r="P58" s="8"/>
      <c r="Q58" s="127"/>
      <c r="R58" s="3"/>
      <c r="S58" s="127"/>
      <c r="T58" s="3"/>
      <c r="U58" s="127"/>
      <c r="X58" s="5"/>
    </row>
    <row r="59" spans="2:35" s="13" customFormat="1" ht="20.45" customHeight="1" x14ac:dyDescent="0.2">
      <c r="B59" s="8"/>
      <c r="N59" s="19"/>
      <c r="O59" s="8"/>
      <c r="P59" s="8"/>
      <c r="Q59" s="127"/>
      <c r="R59" s="3"/>
      <c r="S59" s="127"/>
      <c r="T59" s="3"/>
      <c r="U59" s="127"/>
      <c r="X59" s="5"/>
    </row>
    <row r="60" spans="2:35" ht="34.5" customHeight="1" x14ac:dyDescent="0.25">
      <c r="C60" s="132"/>
      <c r="D60" s="16"/>
      <c r="E60" s="145"/>
      <c r="F60" s="15"/>
      <c r="G60" s="145"/>
      <c r="H60" s="15"/>
      <c r="I60" s="145"/>
      <c r="J60" s="15"/>
      <c r="K60" s="145"/>
      <c r="L60" s="15"/>
      <c r="M60" s="145"/>
      <c r="X60" s="32"/>
    </row>
    <row r="61" spans="2:35" ht="15.75" customHeight="1" x14ac:dyDescent="0.2">
      <c r="C61" s="153"/>
      <c r="D61" s="14"/>
      <c r="E61" s="146"/>
      <c r="F61" s="30"/>
      <c r="G61" s="146"/>
      <c r="H61" s="30"/>
      <c r="I61" s="146"/>
      <c r="J61" s="30"/>
      <c r="K61" s="146"/>
      <c r="L61" s="30"/>
      <c r="M61" s="146"/>
    </row>
    <row r="62" spans="2:35" ht="14.25" customHeight="1" x14ac:dyDescent="0.2">
      <c r="C62" s="130"/>
      <c r="D62" s="16"/>
      <c r="E62" s="205"/>
      <c r="F62" s="15"/>
      <c r="G62" s="205"/>
      <c r="H62" s="15"/>
      <c r="I62" s="205"/>
      <c r="J62" s="15"/>
      <c r="K62" s="205"/>
      <c r="L62" s="15"/>
      <c r="M62" s="205"/>
    </row>
    <row r="63" spans="2:35" ht="14.25" customHeight="1" x14ac:dyDescent="0.2">
      <c r="C63" s="13"/>
      <c r="D63" s="13"/>
      <c r="E63" s="13"/>
      <c r="F63" s="13"/>
      <c r="G63" s="13"/>
      <c r="H63" s="13"/>
      <c r="I63" s="13"/>
      <c r="J63" s="13"/>
      <c r="K63" s="13"/>
      <c r="L63" s="13"/>
      <c r="M63" s="13"/>
    </row>
    <row r="64" spans="2:35" ht="14.25" customHeight="1" x14ac:dyDescent="0.2">
      <c r="C64" s="133"/>
      <c r="D64" s="18"/>
      <c r="E64" s="147"/>
      <c r="F64" s="19"/>
      <c r="G64" s="147"/>
      <c r="H64" s="19"/>
      <c r="I64" s="147"/>
      <c r="J64" s="19"/>
      <c r="K64" s="147"/>
      <c r="L64" s="19"/>
      <c r="M64" s="147"/>
    </row>
    <row r="65" spans="3:70" ht="14.25" customHeight="1" x14ac:dyDescent="0.2">
      <c r="C65" s="133"/>
      <c r="D65" s="18"/>
      <c r="E65" s="147"/>
      <c r="F65" s="19"/>
      <c r="G65" s="147"/>
      <c r="H65" s="19"/>
      <c r="I65" s="147"/>
      <c r="J65" s="19"/>
      <c r="K65" s="147"/>
      <c r="L65" s="19"/>
      <c r="M65" s="147"/>
      <c r="N65" s="329"/>
      <c r="O65" s="329"/>
      <c r="P65" s="329"/>
      <c r="Q65" s="169"/>
      <c r="R65" s="329"/>
      <c r="S65" s="169"/>
      <c r="T65" s="329"/>
      <c r="U65" s="169"/>
      <c r="V65" s="329"/>
      <c r="W65" s="329"/>
      <c r="X65" s="329"/>
      <c r="Y65" s="329"/>
    </row>
    <row r="66" spans="3:70" ht="14.25" customHeight="1" x14ac:dyDescent="0.25">
      <c r="N66" s="329"/>
      <c r="O66" s="329"/>
      <c r="P66" s="329"/>
      <c r="Q66" s="169"/>
      <c r="R66" s="329"/>
      <c r="S66" s="169"/>
      <c r="T66" s="329"/>
      <c r="U66" s="169"/>
      <c r="V66" s="329"/>
      <c r="W66" s="329"/>
      <c r="X66" s="329"/>
      <c r="Y66" s="329"/>
      <c r="AC66"/>
      <c r="AD66"/>
    </row>
    <row r="67" spans="3:70" ht="14.25" customHeight="1" x14ac:dyDescent="0.25">
      <c r="M67" s="169"/>
      <c r="N67" s="329"/>
      <c r="O67" s="329"/>
      <c r="P67" s="329"/>
      <c r="Q67" s="169"/>
      <c r="R67" s="329"/>
      <c r="S67" s="169"/>
      <c r="T67" s="329"/>
      <c r="U67" s="169"/>
      <c r="V67" s="329"/>
      <c r="W67" s="329"/>
      <c r="X67" s="329"/>
      <c r="Y67" s="329"/>
      <c r="AC67"/>
      <c r="AD67"/>
    </row>
    <row r="68" spans="3:70" ht="14.25" customHeight="1" x14ac:dyDescent="0.25">
      <c r="M68" s="169"/>
      <c r="N68" s="329"/>
      <c r="O68" s="329"/>
      <c r="P68" s="329"/>
      <c r="Q68" s="169"/>
      <c r="R68" s="329"/>
      <c r="S68" s="169"/>
      <c r="T68" s="329"/>
      <c r="U68" s="169"/>
      <c r="V68" s="329"/>
      <c r="W68" s="329"/>
      <c r="X68" s="329"/>
      <c r="Y68" s="329"/>
      <c r="AC68"/>
      <c r="AD68"/>
    </row>
    <row r="69" spans="3:70" ht="14.25" customHeight="1" x14ac:dyDescent="0.25">
      <c r="M69" s="169"/>
      <c r="N69" s="329"/>
      <c r="O69" s="329"/>
      <c r="P69" s="329"/>
      <c r="Q69" s="169"/>
      <c r="R69" s="329"/>
      <c r="S69" s="169"/>
      <c r="T69" s="329"/>
      <c r="U69" s="169"/>
      <c r="V69" s="329"/>
      <c r="W69" s="329"/>
      <c r="X69" s="329"/>
      <c r="Y69" s="329"/>
      <c r="AC69"/>
      <c r="AD69"/>
    </row>
    <row r="70" spans="3:70" ht="14.25" customHeight="1" x14ac:dyDescent="0.25">
      <c r="M70" s="169"/>
      <c r="N70" s="329"/>
      <c r="O70" s="329"/>
      <c r="P70" s="329"/>
      <c r="Q70" s="169"/>
      <c r="R70" s="329"/>
      <c r="S70" s="169"/>
      <c r="T70" s="329"/>
      <c r="U70" s="169"/>
      <c r="V70" s="329"/>
      <c r="W70" s="329"/>
      <c r="X70" s="329"/>
      <c r="Y70" s="329"/>
      <c r="AC70"/>
      <c r="AD70"/>
    </row>
    <row r="71" spans="3:70" ht="14.25" customHeight="1" x14ac:dyDescent="0.2">
      <c r="M71" s="169"/>
      <c r="N71" s="329"/>
      <c r="O71" s="329"/>
      <c r="P71" s="329"/>
      <c r="Q71" s="169"/>
      <c r="R71" s="329"/>
      <c r="S71" s="169"/>
      <c r="T71" s="329"/>
      <c r="U71" s="169"/>
      <c r="V71" s="329"/>
      <c r="W71" s="329"/>
      <c r="X71" s="329"/>
      <c r="Y71" s="329"/>
    </row>
    <row r="72" spans="3:70" x14ac:dyDescent="0.2">
      <c r="M72" s="169"/>
      <c r="N72" s="329"/>
      <c r="O72" s="329"/>
      <c r="P72" s="329"/>
      <c r="Q72" s="320"/>
      <c r="R72" s="321"/>
      <c r="S72" s="320"/>
      <c r="T72" s="321"/>
      <c r="U72" s="169"/>
      <c r="V72" s="329"/>
      <c r="W72" s="329"/>
      <c r="X72" s="329"/>
      <c r="Y72" s="329"/>
    </row>
    <row r="73" spans="3:70" x14ac:dyDescent="0.2">
      <c r="M73" s="169"/>
      <c r="N73" s="329"/>
      <c r="O73" s="329"/>
      <c r="P73" s="329"/>
      <c r="Q73" s="320"/>
      <c r="R73" s="321"/>
      <c r="S73" s="322"/>
      <c r="T73" s="321"/>
      <c r="U73" s="169"/>
      <c r="V73" s="329"/>
      <c r="W73" s="329"/>
      <c r="X73" s="329"/>
      <c r="Y73" s="329"/>
    </row>
    <row r="74" spans="3:70" x14ac:dyDescent="0.2">
      <c r="M74" s="169"/>
      <c r="N74" s="329"/>
      <c r="O74" s="329"/>
      <c r="P74" s="329"/>
      <c r="Q74" s="320"/>
      <c r="R74" s="321"/>
      <c r="S74" s="322"/>
      <c r="T74" s="321"/>
      <c r="U74" s="169"/>
      <c r="V74" s="329"/>
      <c r="W74" s="329"/>
      <c r="X74" s="329"/>
      <c r="Y74" s="329"/>
      <c r="BL74" s="270"/>
      <c r="BM74" s="270"/>
      <c r="BN74" s="270"/>
      <c r="BO74" s="270"/>
      <c r="BP74" s="270"/>
      <c r="BQ74" s="270"/>
      <c r="BR74" s="270"/>
    </row>
    <row r="75" spans="3:70" x14ac:dyDescent="0.2">
      <c r="E75" s="206"/>
      <c r="G75" s="206"/>
      <c r="I75" s="206"/>
      <c r="K75" s="206"/>
      <c r="M75" s="330"/>
      <c r="N75" s="329"/>
      <c r="O75" s="329"/>
      <c r="P75" s="329"/>
      <c r="Q75" s="320"/>
      <c r="R75" s="321"/>
      <c r="S75" s="322"/>
      <c r="T75" s="321"/>
      <c r="U75" s="169"/>
      <c r="V75" s="329"/>
      <c r="W75" s="329"/>
      <c r="X75" s="329"/>
      <c r="Y75" s="329"/>
      <c r="BL75" s="270"/>
      <c r="BM75" s="270"/>
      <c r="BN75" s="270"/>
      <c r="BO75" s="270"/>
      <c r="BP75" s="270"/>
      <c r="BQ75" s="270"/>
      <c r="BR75" s="270"/>
    </row>
    <row r="76" spans="3:70" x14ac:dyDescent="0.2">
      <c r="M76" s="169"/>
      <c r="N76" s="329"/>
      <c r="O76" s="329"/>
      <c r="P76" s="329"/>
      <c r="Q76" s="320"/>
      <c r="R76" s="321"/>
      <c r="S76" s="322"/>
      <c r="T76" s="321"/>
      <c r="U76" s="169"/>
      <c r="V76" s="329"/>
      <c r="W76" s="329"/>
      <c r="X76" s="329"/>
      <c r="Y76" s="329"/>
      <c r="BL76" s="270"/>
      <c r="BM76" s="270"/>
      <c r="BN76" s="270"/>
      <c r="BO76" s="270"/>
      <c r="BP76" s="270"/>
      <c r="BQ76" s="270"/>
      <c r="BR76" s="270"/>
    </row>
    <row r="77" spans="3:70" x14ac:dyDescent="0.2">
      <c r="M77" s="169"/>
      <c r="N77" s="329"/>
      <c r="O77" s="329"/>
      <c r="P77" s="329"/>
      <c r="Q77" s="320"/>
      <c r="R77" s="321"/>
      <c r="S77" s="320"/>
      <c r="T77" s="321"/>
      <c r="U77" s="169"/>
      <c r="V77" s="329"/>
      <c r="W77" s="329"/>
      <c r="X77" s="329"/>
      <c r="Y77" s="329"/>
      <c r="BL77" s="270"/>
      <c r="BM77" s="270"/>
      <c r="BN77" s="270"/>
      <c r="BO77" s="270"/>
      <c r="BP77" s="270"/>
      <c r="BQ77" s="270"/>
      <c r="BR77" s="270"/>
    </row>
    <row r="78" spans="3:70" x14ac:dyDescent="0.2">
      <c r="M78" s="169"/>
      <c r="N78" s="329"/>
      <c r="O78" s="329"/>
      <c r="P78" s="329"/>
      <c r="Q78" s="169"/>
      <c r="R78" s="329"/>
      <c r="S78" s="169"/>
      <c r="T78" s="329"/>
      <c r="U78" s="169"/>
      <c r="V78" s="329"/>
      <c r="W78" s="329"/>
      <c r="X78" s="329"/>
      <c r="Y78" s="329"/>
      <c r="BL78" s="270"/>
      <c r="BM78" s="270"/>
      <c r="BN78" s="270"/>
      <c r="BO78" s="270"/>
      <c r="BP78" s="270"/>
      <c r="BQ78" s="270"/>
      <c r="BR78" s="270"/>
    </row>
    <row r="79" spans="3:70" x14ac:dyDescent="0.2">
      <c r="M79" s="169"/>
      <c r="N79" s="329"/>
      <c r="O79" s="329"/>
      <c r="P79" s="329"/>
      <c r="Q79" s="169"/>
      <c r="R79" s="329"/>
      <c r="S79" s="169"/>
      <c r="T79" s="329"/>
      <c r="U79" s="169"/>
      <c r="V79" s="329"/>
      <c r="W79" s="329"/>
      <c r="X79" s="329"/>
      <c r="Y79" s="329"/>
      <c r="BL79" s="270"/>
      <c r="BM79" s="270"/>
      <c r="BN79" s="270"/>
      <c r="BO79" s="270"/>
      <c r="BP79" s="270"/>
      <c r="BQ79" s="270"/>
      <c r="BR79" s="270"/>
    </row>
    <row r="80" spans="3:70" x14ac:dyDescent="0.2">
      <c r="M80" s="169"/>
      <c r="N80" s="329"/>
      <c r="O80" s="329"/>
      <c r="P80" s="329"/>
      <c r="Q80" s="169"/>
      <c r="R80" s="329"/>
      <c r="S80" s="169"/>
      <c r="T80" s="329"/>
      <c r="U80" s="169"/>
      <c r="V80" s="329"/>
      <c r="W80" s="329"/>
      <c r="X80" s="329"/>
      <c r="Y80" s="329"/>
      <c r="BL80" s="270"/>
      <c r="BM80" s="270"/>
      <c r="BN80" s="270"/>
      <c r="BO80" s="270"/>
      <c r="BP80" s="270"/>
      <c r="BQ80" s="270"/>
      <c r="BR80" s="270"/>
    </row>
    <row r="81" spans="3:70" hidden="1" outlineLevel="1" x14ac:dyDescent="0.2">
      <c r="M81" s="169"/>
      <c r="N81" s="329"/>
      <c r="O81" s="329"/>
      <c r="P81" s="329"/>
      <c r="Q81" s="169"/>
      <c r="R81" s="329"/>
      <c r="S81" s="169"/>
      <c r="T81" s="329"/>
      <c r="U81" s="169"/>
      <c r="V81" s="329"/>
      <c r="W81" s="329"/>
      <c r="X81" s="329"/>
      <c r="Y81" s="329"/>
      <c r="BL81" s="270"/>
      <c r="BM81" s="270"/>
      <c r="BN81" s="270"/>
      <c r="BO81" s="270"/>
      <c r="BP81" s="270"/>
      <c r="BQ81" s="270"/>
      <c r="BR81" s="270"/>
    </row>
    <row r="82" spans="3:70" hidden="1" outlineLevel="1" x14ac:dyDescent="0.2">
      <c r="M82" s="169"/>
      <c r="N82" s="329"/>
      <c r="O82" s="329"/>
      <c r="P82" s="329"/>
      <c r="Q82" s="169"/>
      <c r="R82" s="329"/>
      <c r="S82" s="169"/>
      <c r="T82" s="329"/>
      <c r="U82" s="169"/>
      <c r="V82" s="329"/>
      <c r="W82" s="329"/>
      <c r="X82" s="329"/>
      <c r="Y82" s="329"/>
      <c r="BL82" s="270"/>
      <c r="BM82" s="270"/>
      <c r="BN82" s="270"/>
      <c r="BO82" s="270"/>
      <c r="BP82" s="270"/>
      <c r="BQ82" s="270"/>
      <c r="BR82" s="270"/>
    </row>
    <row r="83" spans="3:70" hidden="1" outlineLevel="1" x14ac:dyDescent="0.2">
      <c r="M83" s="169"/>
      <c r="N83" s="329"/>
      <c r="O83" s="329"/>
      <c r="P83" s="329"/>
      <c r="Q83" s="169"/>
      <c r="R83" s="329"/>
      <c r="S83" s="169"/>
      <c r="T83" s="329"/>
      <c r="U83" s="169"/>
      <c r="V83" s="329"/>
      <c r="W83" s="329"/>
      <c r="X83" s="329"/>
      <c r="Y83" s="329"/>
      <c r="BL83" s="270"/>
      <c r="BM83" s="270"/>
      <c r="BN83" s="270"/>
      <c r="BO83" s="270"/>
      <c r="BP83" s="270"/>
      <c r="BQ83" s="270"/>
      <c r="BR83" s="270"/>
    </row>
    <row r="84" spans="3:70" hidden="1" outlineLevel="1" x14ac:dyDescent="0.2">
      <c r="M84" s="169"/>
      <c r="N84" s="329"/>
      <c r="O84" s="329"/>
      <c r="P84" s="329"/>
      <c r="Q84" s="169"/>
      <c r="R84" s="329"/>
      <c r="S84" s="169"/>
      <c r="T84" s="329"/>
      <c r="U84" s="169"/>
      <c r="V84" s="329"/>
      <c r="W84" s="329"/>
      <c r="X84" s="329"/>
      <c r="Y84" s="329"/>
      <c r="BL84" s="270"/>
      <c r="BM84" s="270"/>
      <c r="BN84" s="270"/>
      <c r="BO84" s="270"/>
      <c r="BP84" s="270"/>
      <c r="BQ84" s="270"/>
      <c r="BR84" s="270"/>
    </row>
    <row r="85" spans="3:70" hidden="1" outlineLevel="1" x14ac:dyDescent="0.2">
      <c r="M85" s="169"/>
      <c r="N85" s="329"/>
      <c r="O85" s="329"/>
      <c r="P85" s="329"/>
      <c r="Q85" s="169"/>
      <c r="R85" s="329"/>
      <c r="S85" s="169"/>
      <c r="T85" s="329"/>
      <c r="U85" s="169"/>
      <c r="V85" s="329"/>
      <c r="W85" s="329"/>
      <c r="X85" s="329"/>
      <c r="Y85" s="329"/>
      <c r="BL85" s="270"/>
      <c r="BM85" s="270"/>
      <c r="BN85" s="270"/>
      <c r="BO85" s="270"/>
      <c r="BP85" s="270"/>
      <c r="BQ85" s="270"/>
      <c r="BR85" s="270"/>
    </row>
    <row r="86" spans="3:70" hidden="1" outlineLevel="1" x14ac:dyDescent="0.2">
      <c r="M86" s="169"/>
      <c r="N86" s="329"/>
      <c r="O86" s="329"/>
      <c r="P86" s="329"/>
      <c r="Q86" s="169"/>
      <c r="R86" s="329"/>
      <c r="S86" s="169"/>
      <c r="T86" s="329"/>
      <c r="U86" s="169"/>
      <c r="V86" s="329"/>
      <c r="W86" s="329"/>
      <c r="X86" s="329"/>
      <c r="Y86" s="329"/>
      <c r="BL86" s="270"/>
      <c r="BM86" s="270"/>
      <c r="BN86" s="270"/>
      <c r="BO86" s="270"/>
      <c r="BP86" s="270"/>
      <c r="BQ86" s="270"/>
      <c r="BR86" s="270"/>
    </row>
    <row r="87" spans="3:70" hidden="1" outlineLevel="1" x14ac:dyDescent="0.2">
      <c r="C87" s="134"/>
      <c r="E87" s="148"/>
      <c r="G87" s="148"/>
      <c r="I87" s="148"/>
      <c r="K87" s="148"/>
      <c r="M87" s="331"/>
      <c r="N87" s="329"/>
      <c r="O87" s="329"/>
      <c r="P87" s="329"/>
      <c r="Q87" s="169"/>
      <c r="R87" s="329"/>
      <c r="S87" s="169"/>
      <c r="T87" s="329"/>
      <c r="U87" s="169"/>
      <c r="V87" s="329"/>
      <c r="W87" s="329"/>
      <c r="X87" s="329"/>
      <c r="Y87" s="329"/>
      <c r="BL87" s="270"/>
      <c r="BM87" s="270"/>
      <c r="BN87" s="270"/>
      <c r="BO87" s="270"/>
      <c r="BP87" s="270"/>
      <c r="BQ87" s="270"/>
      <c r="BR87" s="270"/>
    </row>
    <row r="88" spans="3:70" s="158" customFormat="1" hidden="1" outlineLevel="1" x14ac:dyDescent="0.2">
      <c r="C88" s="127"/>
      <c r="D88" s="3"/>
      <c r="E88" s="135"/>
      <c r="F88" s="3"/>
      <c r="G88" s="127"/>
      <c r="H88" s="3"/>
      <c r="I88" s="127"/>
      <c r="J88" s="3"/>
      <c r="K88" s="127"/>
      <c r="L88" s="3"/>
      <c r="M88" s="169"/>
      <c r="Q88" s="320"/>
      <c r="R88" s="321"/>
      <c r="S88" s="320"/>
      <c r="T88" s="321"/>
      <c r="U88" s="320"/>
      <c r="V88" s="321"/>
      <c r="BL88" s="271"/>
      <c r="BM88" s="271"/>
      <c r="BN88" s="271"/>
      <c r="BO88" s="271"/>
      <c r="BP88" s="271"/>
      <c r="BQ88" s="271"/>
      <c r="BR88" s="271"/>
    </row>
    <row r="89" spans="3:70" s="158" customFormat="1" hidden="1" outlineLevel="1" x14ac:dyDescent="0.2">
      <c r="C89" s="127"/>
      <c r="D89" s="3"/>
      <c r="E89" s="135"/>
      <c r="F89" s="3"/>
      <c r="G89" s="127"/>
      <c r="H89" s="3"/>
      <c r="I89" s="127"/>
      <c r="J89" s="3"/>
      <c r="K89" s="127"/>
      <c r="L89" s="3"/>
      <c r="M89" s="169"/>
      <c r="Q89" s="320"/>
      <c r="R89" s="321"/>
      <c r="S89" s="320"/>
      <c r="T89" s="321"/>
      <c r="U89" s="320"/>
      <c r="V89" s="321"/>
      <c r="BL89" s="271"/>
      <c r="BM89" s="271"/>
      <c r="BN89" s="271"/>
      <c r="BO89" s="271"/>
      <c r="BP89" s="271"/>
      <c r="BQ89" s="271"/>
      <c r="BR89" s="271"/>
    </row>
    <row r="90" spans="3:70" s="158" customFormat="1" hidden="1" outlineLevel="1" x14ac:dyDescent="0.2">
      <c r="C90" s="157"/>
      <c r="E90" s="159"/>
      <c r="G90" s="157"/>
      <c r="I90" s="157"/>
      <c r="K90" s="157"/>
      <c r="M90" s="157"/>
      <c r="Q90" s="320"/>
      <c r="R90" s="321"/>
      <c r="S90" s="320"/>
      <c r="T90" s="321"/>
      <c r="U90" s="320"/>
      <c r="V90" s="321"/>
      <c r="BL90" s="271"/>
      <c r="BM90" s="271"/>
      <c r="BN90" s="271"/>
      <c r="BO90" s="271"/>
      <c r="BP90" s="271"/>
      <c r="BQ90" s="271"/>
      <c r="BR90" s="271"/>
    </row>
    <row r="91" spans="3:70" s="158" customFormat="1" hidden="1" outlineLevel="1" x14ac:dyDescent="0.2">
      <c r="C91" s="157"/>
      <c r="E91" s="159"/>
      <c r="G91" s="157"/>
      <c r="I91" s="157"/>
      <c r="K91" s="157"/>
      <c r="M91" s="157"/>
      <c r="Q91" s="320"/>
      <c r="R91" s="321"/>
      <c r="S91" s="320"/>
      <c r="T91" s="321"/>
      <c r="U91" s="320"/>
      <c r="V91" s="321"/>
      <c r="BL91" s="271"/>
      <c r="BM91" s="271"/>
      <c r="BN91" s="271"/>
      <c r="BO91" s="271"/>
      <c r="BP91" s="271"/>
      <c r="BQ91" s="271"/>
      <c r="BR91" s="271"/>
    </row>
    <row r="92" spans="3:70" s="158" customFormat="1" hidden="1" outlineLevel="1" x14ac:dyDescent="0.2">
      <c r="C92" s="157"/>
      <c r="E92" s="159"/>
      <c r="G92" s="157"/>
      <c r="I92" s="157"/>
      <c r="K92" s="157"/>
      <c r="M92" s="157"/>
      <c r="Q92" s="320"/>
      <c r="R92" s="321"/>
      <c r="S92" s="320"/>
      <c r="T92" s="321"/>
      <c r="U92" s="320"/>
      <c r="V92" s="321"/>
      <c r="BL92" s="271"/>
      <c r="BM92" s="271"/>
      <c r="BN92" s="271"/>
      <c r="BO92" s="271"/>
      <c r="BP92" s="271"/>
      <c r="BQ92" s="271"/>
      <c r="BR92" s="271"/>
    </row>
    <row r="93" spans="3:70" s="158" customFormat="1" hidden="1" outlineLevel="1" x14ac:dyDescent="0.2">
      <c r="C93" s="157"/>
      <c r="E93" s="159"/>
      <c r="G93" s="157"/>
      <c r="I93" s="157"/>
      <c r="K93" s="157"/>
      <c r="M93" s="157"/>
      <c r="Q93" s="320"/>
      <c r="R93" s="321"/>
      <c r="S93" s="320"/>
      <c r="T93" s="321"/>
      <c r="U93" s="320"/>
      <c r="V93" s="321"/>
      <c r="BL93" s="271"/>
      <c r="BM93" s="271"/>
      <c r="BN93" s="271"/>
      <c r="BO93" s="271"/>
      <c r="BP93" s="271"/>
      <c r="BQ93" s="271"/>
      <c r="BR93" s="271"/>
    </row>
    <row r="94" spans="3:70" s="158" customFormat="1" hidden="1" outlineLevel="1" x14ac:dyDescent="0.2">
      <c r="C94" s="157"/>
      <c r="E94" s="159"/>
      <c r="G94" s="157"/>
      <c r="I94" s="157"/>
      <c r="K94" s="157"/>
      <c r="M94" s="157"/>
      <c r="Q94" s="320"/>
      <c r="R94" s="321"/>
      <c r="S94" s="320"/>
      <c r="T94" s="321"/>
      <c r="U94" s="320"/>
      <c r="V94" s="321"/>
      <c r="BL94" s="271"/>
      <c r="BM94" s="271"/>
      <c r="BN94" s="271"/>
      <c r="BO94" s="271"/>
      <c r="BP94" s="271"/>
      <c r="BQ94" s="271"/>
      <c r="BR94" s="271"/>
    </row>
    <row r="95" spans="3:70" s="158" customFormat="1" hidden="1" outlineLevel="1" x14ac:dyDescent="0.2">
      <c r="C95" s="157"/>
      <c r="E95" s="159"/>
      <c r="G95" s="157"/>
      <c r="I95" s="157"/>
      <c r="K95" s="157"/>
      <c r="M95" s="157"/>
      <c r="Q95" s="320"/>
      <c r="R95" s="321"/>
      <c r="S95" s="320"/>
      <c r="T95" s="321"/>
      <c r="U95" s="320"/>
      <c r="V95" s="321"/>
      <c r="BL95" s="271"/>
      <c r="BM95" s="271"/>
      <c r="BN95" s="271"/>
      <c r="BO95" s="271"/>
      <c r="BP95" s="271"/>
      <c r="BQ95" s="271"/>
      <c r="BR95" s="271"/>
    </row>
    <row r="96" spans="3:70" s="158" customFormat="1" hidden="1" outlineLevel="1" x14ac:dyDescent="0.2">
      <c r="C96" s="157"/>
      <c r="E96" s="159"/>
      <c r="G96" s="157"/>
      <c r="I96" s="157"/>
      <c r="K96" s="157"/>
      <c r="M96" s="157"/>
      <c r="Q96" s="320"/>
      <c r="R96" s="321"/>
      <c r="S96" s="320"/>
      <c r="T96" s="321"/>
      <c r="U96" s="320"/>
      <c r="V96" s="321"/>
      <c r="BL96" s="271"/>
      <c r="BM96" s="271"/>
      <c r="BN96" s="271"/>
      <c r="BO96" s="271"/>
      <c r="BP96" s="271"/>
      <c r="BQ96" s="271"/>
      <c r="BR96" s="271"/>
    </row>
    <row r="97" spans="1:72" s="158" customFormat="1" hidden="1" outlineLevel="1" x14ac:dyDescent="0.2">
      <c r="C97" s="157"/>
      <c r="E97" s="159"/>
      <c r="G97" s="157"/>
      <c r="I97" s="157"/>
      <c r="K97" s="157"/>
      <c r="M97" s="157"/>
      <c r="Q97" s="320"/>
      <c r="R97" s="321"/>
      <c r="S97" s="320"/>
      <c r="T97" s="321"/>
      <c r="U97" s="320"/>
      <c r="V97" s="321"/>
      <c r="BL97" s="271"/>
      <c r="BM97" s="271"/>
      <c r="BN97" s="271"/>
      <c r="BO97" s="271"/>
      <c r="BP97" s="271"/>
      <c r="BQ97" s="271"/>
      <c r="BR97" s="271"/>
    </row>
    <row r="98" spans="1:72" s="158" customFormat="1" hidden="1" outlineLevel="1" x14ac:dyDescent="0.2">
      <c r="C98" s="157"/>
      <c r="E98" s="159"/>
      <c r="G98" s="157"/>
      <c r="I98" s="157"/>
      <c r="K98" s="157"/>
      <c r="M98" s="157"/>
      <c r="Q98" s="320"/>
      <c r="R98" s="321"/>
      <c r="S98" s="320"/>
      <c r="T98" s="321"/>
      <c r="U98" s="320"/>
      <c r="V98" s="321"/>
      <c r="BL98" s="271"/>
      <c r="BM98" s="271"/>
      <c r="BN98" s="271"/>
      <c r="BO98" s="271"/>
      <c r="BP98" s="271"/>
      <c r="BQ98" s="271"/>
      <c r="BR98" s="271"/>
    </row>
    <row r="99" spans="1:72" s="158" customFormat="1" hidden="1" outlineLevel="1" x14ac:dyDescent="0.2">
      <c r="C99" s="157"/>
      <c r="E99" s="159"/>
      <c r="G99" s="157"/>
      <c r="I99" s="157"/>
      <c r="K99" s="157"/>
      <c r="M99" s="157"/>
      <c r="Q99" s="320"/>
      <c r="R99" s="321"/>
      <c r="S99" s="320"/>
      <c r="T99" s="321"/>
      <c r="U99" s="320"/>
      <c r="V99" s="321"/>
      <c r="BL99" s="271"/>
      <c r="BM99" s="271"/>
      <c r="BN99" s="271"/>
      <c r="BO99" s="271"/>
      <c r="BP99" s="271"/>
      <c r="BQ99" s="271"/>
      <c r="BR99" s="271"/>
    </row>
    <row r="100" spans="1:72" s="158" customFormat="1" hidden="1" outlineLevel="1" x14ac:dyDescent="0.2">
      <c r="C100" s="157"/>
      <c r="E100" s="159"/>
      <c r="G100" s="157"/>
      <c r="I100" s="157"/>
      <c r="K100" s="157"/>
      <c r="M100" s="157"/>
      <c r="Q100" s="320"/>
      <c r="R100" s="321"/>
      <c r="S100" s="320"/>
      <c r="T100" s="321"/>
      <c r="U100" s="320"/>
      <c r="V100" s="321"/>
      <c r="BL100" s="271"/>
      <c r="BM100" s="271"/>
      <c r="BN100" s="271"/>
      <c r="BO100" s="271"/>
      <c r="BP100" s="271"/>
      <c r="BQ100" s="271"/>
      <c r="BR100" s="271"/>
    </row>
    <row r="101" spans="1:72" s="158" customFormat="1" hidden="1" outlineLevel="1" x14ac:dyDescent="0.2">
      <c r="C101" s="157"/>
      <c r="E101" s="159"/>
      <c r="G101" s="157"/>
      <c r="I101" s="157"/>
      <c r="K101" s="157"/>
      <c r="M101" s="157"/>
      <c r="Q101" s="323" t="s">
        <v>248</v>
      </c>
      <c r="R101" s="323" t="s">
        <v>261</v>
      </c>
      <c r="S101" s="323" t="s">
        <v>262</v>
      </c>
      <c r="T101" s="323" t="s">
        <v>267</v>
      </c>
      <c r="U101" s="323" t="s">
        <v>263</v>
      </c>
      <c r="V101" s="321"/>
      <c r="BL101" s="271"/>
      <c r="BM101" s="271"/>
      <c r="BN101" s="271"/>
      <c r="BO101" s="271"/>
      <c r="BP101" s="271"/>
      <c r="BQ101" s="271"/>
      <c r="BR101" s="271"/>
    </row>
    <row r="102" spans="1:72" s="158" customFormat="1" hidden="1" outlineLevel="1" x14ac:dyDescent="0.2">
      <c r="C102" s="157"/>
      <c r="E102" s="159"/>
      <c r="G102" s="157"/>
      <c r="I102" s="157"/>
      <c r="K102" s="157"/>
      <c r="M102" s="157"/>
      <c r="Q102" s="324">
        <f>U43</f>
        <v>0</v>
      </c>
      <c r="R102" s="323" t="str">
        <f>E23</f>
        <v>Acquisition</v>
      </c>
      <c r="S102" s="323">
        <f>E27</f>
        <v>10</v>
      </c>
      <c r="T102" s="325" t="str">
        <f>E37</f>
        <v/>
      </c>
      <c r="U102" s="323" t="e">
        <f>#REF!</f>
        <v>#REF!</v>
      </c>
      <c r="V102" s="321"/>
      <c r="BL102" s="272"/>
      <c r="BM102" s="272"/>
      <c r="BN102" s="272"/>
      <c r="BO102" s="272"/>
      <c r="BP102" s="272"/>
      <c r="BQ102" s="272"/>
      <c r="BR102" s="272"/>
      <c r="BS102" s="272"/>
      <c r="BT102" s="272"/>
    </row>
    <row r="103" spans="1:72" s="158" customFormat="1" hidden="1" outlineLevel="1" x14ac:dyDescent="0.2">
      <c r="C103" s="157"/>
      <c r="E103" s="159"/>
      <c r="G103" s="157"/>
      <c r="I103" s="157"/>
      <c r="K103" s="157"/>
      <c r="M103" s="157"/>
      <c r="Q103" s="320"/>
      <c r="R103" s="321"/>
      <c r="S103" s="320"/>
      <c r="T103" s="321"/>
      <c r="U103" s="320"/>
      <c r="V103" s="321"/>
      <c r="BL103" s="272"/>
      <c r="BM103" s="272"/>
      <c r="BN103" s="272"/>
      <c r="BO103" s="272"/>
      <c r="BP103" s="272"/>
      <c r="BQ103" s="272"/>
      <c r="BR103" s="272"/>
      <c r="BS103" s="272"/>
      <c r="BT103" s="272"/>
    </row>
    <row r="104" spans="1:72" s="158" customFormat="1" hidden="1" outlineLevel="1" x14ac:dyDescent="0.2">
      <c r="C104" s="157"/>
      <c r="E104" s="159"/>
      <c r="G104" s="157"/>
      <c r="I104" s="157"/>
      <c r="K104" s="157"/>
      <c r="M104" s="157"/>
      <c r="Q104" s="320"/>
      <c r="R104" s="321"/>
      <c r="S104" s="320"/>
      <c r="T104" s="321"/>
      <c r="U104" s="320"/>
      <c r="V104" s="321"/>
      <c r="BL104" s="272"/>
      <c r="BM104" s="272"/>
      <c r="BN104" s="272"/>
      <c r="BO104" s="272"/>
      <c r="BP104" s="272"/>
      <c r="BQ104" s="272"/>
      <c r="BR104" s="272"/>
      <c r="BS104" s="272"/>
      <c r="BT104" s="272"/>
    </row>
    <row r="105" spans="1:72" s="219" customFormat="1" hidden="1" outlineLevel="1" x14ac:dyDescent="0.2">
      <c r="A105" s="219" t="s">
        <v>237</v>
      </c>
      <c r="B105" s="219" t="s">
        <v>238</v>
      </c>
      <c r="C105" s="157"/>
      <c r="D105" s="158"/>
      <c r="E105" s="159"/>
      <c r="F105" s="158"/>
      <c r="G105" s="157"/>
      <c r="H105" s="158"/>
      <c r="I105" s="157"/>
      <c r="J105" s="158"/>
      <c r="K105" s="157"/>
      <c r="L105" s="158"/>
      <c r="M105" s="157"/>
      <c r="N105" s="219" t="s">
        <v>196</v>
      </c>
      <c r="O105" s="219" t="s">
        <v>246</v>
      </c>
      <c r="P105" s="219" t="s">
        <v>247</v>
      </c>
      <c r="Q105" s="320"/>
      <c r="R105" s="321"/>
      <c r="S105" s="320"/>
      <c r="T105" s="321"/>
      <c r="U105" s="320"/>
      <c r="V105" s="323" t="s">
        <v>268</v>
      </c>
      <c r="W105" s="219" t="s">
        <v>264</v>
      </c>
      <c r="X105" s="219" t="s">
        <v>266</v>
      </c>
      <c r="Y105" s="219" t="s">
        <v>265</v>
      </c>
      <c r="BF105" s="219" t="s">
        <v>270</v>
      </c>
      <c r="BG105" s="219" t="s">
        <v>271</v>
      </c>
      <c r="BH105" s="219" t="s">
        <v>272</v>
      </c>
      <c r="BI105" s="219" t="s">
        <v>273</v>
      </c>
      <c r="BJ105" s="219" t="s">
        <v>274</v>
      </c>
      <c r="BK105" s="219" t="s">
        <v>284</v>
      </c>
      <c r="BL105" s="219" t="s">
        <v>303</v>
      </c>
      <c r="BM105" s="219" t="s">
        <v>302</v>
      </c>
      <c r="BN105" s="219" t="s">
        <v>253</v>
      </c>
      <c r="BO105" s="219" t="s">
        <v>254</v>
      </c>
      <c r="BP105" s="219" t="s">
        <v>285</v>
      </c>
      <c r="BQ105" s="219" t="s">
        <v>286</v>
      </c>
      <c r="BR105" s="219" t="s">
        <v>287</v>
      </c>
      <c r="BS105" s="219" t="s">
        <v>300</v>
      </c>
    </row>
    <row r="106" spans="1:72" s="219" customFormat="1" hidden="1" outlineLevel="1" x14ac:dyDescent="0.2">
      <c r="A106" s="219">
        <f>E7</f>
        <v>0</v>
      </c>
      <c r="B106" s="219">
        <f>E5</f>
        <v>0</v>
      </c>
      <c r="C106" s="157"/>
      <c r="D106" s="158"/>
      <c r="E106" s="159"/>
      <c r="F106" s="158"/>
      <c r="G106" s="157"/>
      <c r="H106" s="158"/>
      <c r="I106" s="157"/>
      <c r="J106" s="158"/>
      <c r="K106" s="157"/>
      <c r="L106" s="158"/>
      <c r="M106" s="157"/>
      <c r="N106" s="220" t="e">
        <f>#REF!</f>
        <v>#REF!</v>
      </c>
      <c r="O106" s="221">
        <f>U39</f>
        <v>0</v>
      </c>
      <c r="P106" s="222" t="str">
        <f>S39</f>
        <v>14 mo.</v>
      </c>
      <c r="Q106" s="320"/>
      <c r="R106" s="321"/>
      <c r="S106" s="320"/>
      <c r="T106" s="321"/>
      <c r="U106" s="320"/>
      <c r="V106" s="323" t="e">
        <f>#REF!</f>
        <v>#REF!</v>
      </c>
      <c r="W106" s="223">
        <f>E39</f>
        <v>25</v>
      </c>
      <c r="X106" s="223">
        <f>E41</f>
        <v>50</v>
      </c>
      <c r="Y106" s="223">
        <f>E51</f>
        <v>635</v>
      </c>
      <c r="Z106" s="223"/>
      <c r="AC106" s="223"/>
      <c r="AF106" s="223"/>
      <c r="AG106" s="223"/>
      <c r="AH106" s="223"/>
      <c r="AI106" s="223"/>
      <c r="AL106" s="223"/>
      <c r="AO106" s="223"/>
      <c r="AP106" s="223"/>
      <c r="AQ106" s="223"/>
      <c r="AR106" s="223"/>
      <c r="AU106" s="223"/>
      <c r="AX106" s="223"/>
      <c r="AY106" s="223"/>
      <c r="AZ106" s="223"/>
      <c r="BA106" s="223"/>
      <c r="BD106" s="223"/>
      <c r="BF106" s="219" t="e">
        <f>#REF!</f>
        <v>#REF!</v>
      </c>
      <c r="BG106" s="223">
        <f>M39</f>
        <v>25</v>
      </c>
      <c r="BH106" s="223">
        <f>M41</f>
        <v>50</v>
      </c>
      <c r="BI106" s="223">
        <f>M51</f>
        <v>275</v>
      </c>
      <c r="BJ106" s="223" t="e">
        <f>M53</f>
        <v>#VALUE!</v>
      </c>
      <c r="BK106" s="219">
        <f>+S5</f>
        <v>90</v>
      </c>
      <c r="BL106" s="219" t="e">
        <f>+#REF!</f>
        <v>#REF!</v>
      </c>
      <c r="BM106" s="219">
        <f>+S7</f>
        <v>0</v>
      </c>
      <c r="BN106" s="219" t="str">
        <f>+O9</f>
        <v>Region and Vertical</v>
      </c>
      <c r="BO106" s="219" t="str">
        <f>+S9</f>
        <v>6 - Wholesale and Distribution</v>
      </c>
      <c r="BP106" s="219" t="str">
        <f>+O11</f>
        <v>Other Rogers lines of business</v>
      </c>
      <c r="BQ106" s="219">
        <f>+S11</f>
        <v>0</v>
      </c>
      <c r="BR106" s="219" t="str">
        <f>+O13</f>
        <v>Contract Term</v>
      </c>
      <c r="BS106" s="219">
        <f>+E11</f>
        <v>0</v>
      </c>
    </row>
    <row r="107" spans="1:72" s="224" customFormat="1" hidden="1" outlineLevel="1" x14ac:dyDescent="0.2">
      <c r="C107" s="157"/>
      <c r="D107" s="158"/>
      <c r="E107" s="159"/>
      <c r="F107" s="158"/>
      <c r="G107" s="157"/>
      <c r="H107" s="158"/>
      <c r="I107" s="157"/>
      <c r="J107" s="158"/>
      <c r="K107" s="157"/>
      <c r="L107" s="158"/>
      <c r="M107" s="157"/>
      <c r="Q107" s="320"/>
      <c r="R107" s="321"/>
      <c r="S107" s="320"/>
      <c r="T107" s="321"/>
      <c r="U107" s="320"/>
      <c r="V107" s="321"/>
      <c r="BL107" s="272"/>
      <c r="BM107" s="272"/>
      <c r="BN107" s="272"/>
      <c r="BO107" s="272"/>
      <c r="BP107" s="272"/>
      <c r="BQ107" s="272"/>
      <c r="BR107" s="272"/>
      <c r="BS107" s="272"/>
      <c r="BT107" s="272"/>
    </row>
    <row r="108" spans="1:72" s="158" customFormat="1" hidden="1" outlineLevel="1" x14ac:dyDescent="0.2">
      <c r="C108" s="157"/>
      <c r="E108" s="159"/>
      <c r="G108" s="157"/>
      <c r="I108" s="157"/>
      <c r="K108" s="157"/>
      <c r="M108" s="157"/>
      <c r="Q108" s="320"/>
      <c r="R108" s="321"/>
      <c r="S108" s="320"/>
      <c r="T108" s="321"/>
      <c r="U108" s="320"/>
      <c r="V108" s="321"/>
      <c r="BL108" s="272"/>
      <c r="BM108" s="272"/>
      <c r="BN108" s="272"/>
      <c r="BO108" s="272"/>
      <c r="BP108" s="272"/>
      <c r="BQ108" s="272"/>
      <c r="BR108" s="272"/>
      <c r="BS108" s="272"/>
      <c r="BT108" s="272"/>
    </row>
    <row r="109" spans="1:72" s="158" customFormat="1" hidden="1" outlineLevel="1" x14ac:dyDescent="0.2">
      <c r="C109" s="157"/>
      <c r="E109" s="159"/>
      <c r="G109" s="157"/>
      <c r="I109" s="157"/>
      <c r="K109" s="157"/>
      <c r="M109" s="157"/>
      <c r="Q109" s="320"/>
      <c r="R109" s="321"/>
      <c r="S109" s="320"/>
      <c r="T109" s="321"/>
      <c r="U109" s="320"/>
      <c r="V109" s="321"/>
      <c r="BL109" s="272"/>
      <c r="BM109" s="272"/>
      <c r="BN109" s="272"/>
      <c r="BO109" s="272"/>
      <c r="BP109" s="272"/>
      <c r="BQ109" s="272"/>
      <c r="BR109" s="272"/>
      <c r="BS109" s="272"/>
      <c r="BT109" s="272"/>
    </row>
    <row r="110" spans="1:72" s="158" customFormat="1" hidden="1" outlineLevel="1" x14ac:dyDescent="0.2">
      <c r="C110" s="157"/>
      <c r="E110" s="159"/>
      <c r="G110" s="157"/>
      <c r="I110" s="157"/>
      <c r="K110" s="157"/>
      <c r="M110" s="157"/>
      <c r="Q110" s="320"/>
      <c r="R110" s="321"/>
      <c r="S110" s="320"/>
      <c r="T110" s="321"/>
      <c r="U110" s="320"/>
      <c r="V110" s="321"/>
      <c r="BL110" s="272"/>
      <c r="BM110" s="272"/>
      <c r="BN110" s="272"/>
      <c r="BO110" s="272"/>
      <c r="BP110" s="272"/>
      <c r="BQ110" s="272"/>
      <c r="BR110" s="272"/>
      <c r="BS110" s="272"/>
      <c r="BT110" s="272"/>
    </row>
    <row r="111" spans="1:72" s="158" customFormat="1" hidden="1" outlineLevel="1" x14ac:dyDescent="0.2">
      <c r="C111" s="219" t="s">
        <v>239</v>
      </c>
      <c r="D111" s="219" t="s">
        <v>240</v>
      </c>
      <c r="E111" s="225" t="s">
        <v>241</v>
      </c>
      <c r="F111" s="219" t="s">
        <v>283</v>
      </c>
      <c r="G111" s="219" t="s">
        <v>242</v>
      </c>
      <c r="H111" s="219" t="s">
        <v>243</v>
      </c>
      <c r="I111" s="219" t="s">
        <v>244</v>
      </c>
      <c r="J111" s="219" t="s">
        <v>281</v>
      </c>
      <c r="K111" s="219" t="s">
        <v>282</v>
      </c>
      <c r="L111" s="219" t="s">
        <v>245</v>
      </c>
      <c r="M111" s="219" t="s">
        <v>280</v>
      </c>
      <c r="Q111" s="320"/>
      <c r="R111" s="321"/>
      <c r="S111" s="320"/>
      <c r="T111" s="321"/>
      <c r="U111" s="320"/>
      <c r="V111" s="321"/>
      <c r="BL111" s="272"/>
      <c r="BM111" s="272"/>
      <c r="BN111" s="272"/>
      <c r="BO111" s="272"/>
      <c r="BP111" s="272"/>
      <c r="BQ111" s="272"/>
      <c r="BR111" s="272"/>
      <c r="BS111" s="272"/>
      <c r="BT111" s="272"/>
    </row>
    <row r="112" spans="1:72" s="158" customFormat="1" hidden="1" outlineLevel="1" x14ac:dyDescent="0.2">
      <c r="C112" s="219">
        <f>E9</f>
        <v>0</v>
      </c>
      <c r="D112" s="219" t="e">
        <f>#REF!</f>
        <v>#REF!</v>
      </c>
      <c r="E112" s="226">
        <f>E18</f>
        <v>0.02</v>
      </c>
      <c r="F112" s="223">
        <f>+S33</f>
        <v>10290</v>
      </c>
      <c r="G112" s="227">
        <f>S21</f>
        <v>49</v>
      </c>
      <c r="H112" s="223">
        <f>S23</f>
        <v>30.612244897959183</v>
      </c>
      <c r="I112" s="223">
        <f>S27</f>
        <v>429.59183673469386</v>
      </c>
      <c r="J112" s="223">
        <f>S29</f>
        <v>21050</v>
      </c>
      <c r="K112" s="223">
        <f>+U37</f>
        <v>0</v>
      </c>
      <c r="L112" s="223">
        <f>S31</f>
        <v>1080</v>
      </c>
      <c r="M112" s="223" t="e">
        <f>#REF!</f>
        <v>#REF!</v>
      </c>
      <c r="Q112" s="320"/>
      <c r="R112" s="321"/>
      <c r="S112" s="320"/>
      <c r="T112" s="321"/>
      <c r="U112" s="320"/>
      <c r="V112" s="321"/>
      <c r="BL112" s="272"/>
      <c r="BM112" s="272"/>
      <c r="BN112" s="272"/>
      <c r="BO112" s="272"/>
      <c r="BP112" s="272"/>
      <c r="BQ112" s="272"/>
      <c r="BR112" s="272"/>
      <c r="BS112" s="272"/>
      <c r="BT112" s="272"/>
    </row>
    <row r="113" spans="3:72" s="158" customFormat="1" hidden="1" outlineLevel="1" x14ac:dyDescent="0.2">
      <c r="C113" s="228"/>
      <c r="D113" s="224"/>
      <c r="E113" s="229"/>
      <c r="F113" s="224"/>
      <c r="G113" s="228"/>
      <c r="H113" s="224"/>
      <c r="I113" s="228"/>
      <c r="J113" s="224"/>
      <c r="K113" s="228"/>
      <c r="L113" s="224"/>
      <c r="M113" s="228"/>
      <c r="Q113" s="320"/>
      <c r="R113" s="321"/>
      <c r="S113" s="320"/>
      <c r="T113" s="321"/>
      <c r="U113" s="320"/>
      <c r="V113" s="321"/>
      <c r="BL113" s="272"/>
      <c r="BM113" s="272"/>
      <c r="BN113" s="272"/>
      <c r="BO113" s="272"/>
      <c r="BP113" s="272"/>
      <c r="BQ113" s="272"/>
      <c r="BR113" s="272"/>
      <c r="BS113" s="272"/>
      <c r="BT113" s="272"/>
    </row>
    <row r="114" spans="3:72" s="158" customFormat="1" hidden="1" outlineLevel="1" x14ac:dyDescent="0.2">
      <c r="C114" s="157"/>
      <c r="E114" s="159"/>
      <c r="G114" s="157"/>
      <c r="I114" s="157"/>
      <c r="K114" s="157"/>
      <c r="M114" s="157"/>
      <c r="Q114" s="320"/>
      <c r="R114" s="321"/>
      <c r="S114" s="320"/>
      <c r="T114" s="321"/>
      <c r="U114" s="320"/>
      <c r="V114" s="321"/>
      <c r="BL114" s="272"/>
      <c r="BM114" s="272"/>
      <c r="BN114" s="272"/>
      <c r="BO114" s="272"/>
      <c r="BP114" s="272"/>
      <c r="BQ114" s="272"/>
      <c r="BR114" s="272"/>
      <c r="BS114" s="272"/>
      <c r="BT114" s="272"/>
    </row>
    <row r="115" spans="3:72" s="158" customFormat="1" hidden="1" outlineLevel="1" x14ac:dyDescent="0.2">
      <c r="C115" s="157"/>
      <c r="E115" s="159"/>
      <c r="G115" s="157"/>
      <c r="I115" s="157"/>
      <c r="K115" s="157"/>
      <c r="M115" s="157"/>
      <c r="Q115" s="320"/>
      <c r="R115" s="321"/>
      <c r="S115" s="320"/>
      <c r="T115" s="321"/>
      <c r="U115" s="320"/>
      <c r="V115" s="321"/>
      <c r="BL115" s="272"/>
      <c r="BM115" s="272"/>
      <c r="BN115" s="272"/>
      <c r="BO115" s="272"/>
      <c r="BP115" s="272"/>
      <c r="BQ115" s="272"/>
      <c r="BR115" s="272"/>
      <c r="BS115" s="272"/>
      <c r="BT115" s="272"/>
    </row>
    <row r="116" spans="3:72" s="158" customFormat="1" hidden="1" outlineLevel="1" x14ac:dyDescent="0.2">
      <c r="C116" s="157"/>
      <c r="E116" s="159"/>
      <c r="G116" s="157"/>
      <c r="I116" s="157"/>
      <c r="K116" s="157"/>
      <c r="M116" s="157"/>
      <c r="Q116" s="320"/>
      <c r="R116" s="321"/>
      <c r="S116" s="320"/>
      <c r="T116" s="321"/>
      <c r="U116" s="320"/>
      <c r="V116" s="321"/>
      <c r="BL116" s="272"/>
      <c r="BM116" s="272"/>
      <c r="BN116" s="272"/>
      <c r="BO116" s="272"/>
      <c r="BP116" s="272"/>
      <c r="BQ116" s="272"/>
      <c r="BR116" s="272"/>
      <c r="BS116" s="272"/>
      <c r="BT116" s="272"/>
    </row>
    <row r="117" spans="3:72" collapsed="1" x14ac:dyDescent="0.2">
      <c r="C117" s="157"/>
      <c r="D117" s="158"/>
      <c r="E117" s="159"/>
      <c r="F117" s="158"/>
      <c r="G117" s="157"/>
      <c r="H117" s="158"/>
      <c r="I117" s="157"/>
      <c r="J117" s="158"/>
      <c r="K117" s="157"/>
      <c r="L117" s="158"/>
      <c r="M117" s="157"/>
      <c r="Q117" s="320"/>
      <c r="R117" s="321"/>
      <c r="S117" s="320"/>
      <c r="T117" s="321"/>
      <c r="U117" s="320"/>
      <c r="V117" s="321"/>
      <c r="BL117" s="270"/>
      <c r="BM117" s="270"/>
      <c r="BN117" s="270"/>
      <c r="BO117" s="270"/>
      <c r="BP117" s="270"/>
      <c r="BQ117" s="270"/>
      <c r="BR117" s="270"/>
    </row>
    <row r="118" spans="3:72" x14ac:dyDescent="0.2">
      <c r="C118" s="157"/>
      <c r="D118" s="158"/>
      <c r="E118" s="159"/>
      <c r="F118" s="158"/>
      <c r="G118" s="157"/>
      <c r="H118" s="158"/>
      <c r="I118" s="157"/>
      <c r="J118" s="158"/>
      <c r="K118" s="157"/>
      <c r="L118" s="158"/>
      <c r="M118" s="157"/>
      <c r="BL118" s="270"/>
      <c r="BM118" s="270"/>
      <c r="BN118" s="270"/>
      <c r="BO118" s="270"/>
      <c r="BP118" s="270"/>
      <c r="BQ118" s="270"/>
      <c r="BR118" s="270"/>
    </row>
    <row r="119" spans="3:72" x14ac:dyDescent="0.2">
      <c r="BL119" s="270"/>
      <c r="BM119" s="270"/>
      <c r="BN119" s="270"/>
      <c r="BO119" s="270"/>
      <c r="BP119" s="270"/>
      <c r="BQ119" s="270"/>
      <c r="BR119" s="270"/>
    </row>
    <row r="120" spans="3:72" x14ac:dyDescent="0.2">
      <c r="BL120" s="270"/>
      <c r="BM120" s="270"/>
      <c r="BN120" s="270"/>
      <c r="BO120" s="270"/>
      <c r="BP120" s="270"/>
      <c r="BQ120" s="270"/>
      <c r="BR120" s="270"/>
    </row>
    <row r="121" spans="3:72" x14ac:dyDescent="0.2">
      <c r="BL121" s="270"/>
      <c r="BM121" s="270"/>
      <c r="BN121" s="270"/>
      <c r="BO121" s="270"/>
      <c r="BP121" s="270"/>
      <c r="BQ121" s="270"/>
      <c r="BR121" s="270"/>
    </row>
    <row r="122" spans="3:72" x14ac:dyDescent="0.2">
      <c r="BL122" s="270"/>
      <c r="BM122" s="270"/>
      <c r="BN122" s="270"/>
      <c r="BO122" s="270"/>
      <c r="BP122" s="270"/>
      <c r="BQ122" s="270"/>
      <c r="BR122" s="270"/>
    </row>
    <row r="123" spans="3:72" x14ac:dyDescent="0.2">
      <c r="BL123" s="270"/>
      <c r="BM123" s="270"/>
      <c r="BN123" s="270"/>
      <c r="BO123" s="270"/>
      <c r="BP123" s="270"/>
      <c r="BQ123" s="270"/>
      <c r="BR123" s="270"/>
    </row>
    <row r="124" spans="3:72" x14ac:dyDescent="0.2">
      <c r="BL124" s="270"/>
      <c r="BM124" s="270"/>
      <c r="BN124" s="270"/>
      <c r="BO124" s="270"/>
      <c r="BP124" s="270"/>
      <c r="BQ124" s="270"/>
      <c r="BR124" s="270"/>
    </row>
    <row r="125" spans="3:72" x14ac:dyDescent="0.2">
      <c r="BL125" s="270"/>
      <c r="BM125" s="270"/>
      <c r="BN125" s="270"/>
      <c r="BO125" s="270"/>
      <c r="BP125" s="270"/>
      <c r="BQ125" s="270"/>
      <c r="BR125" s="270"/>
    </row>
    <row r="126" spans="3:72" x14ac:dyDescent="0.2">
      <c r="BL126" s="270"/>
      <c r="BM126" s="270"/>
      <c r="BN126" s="270"/>
      <c r="BO126" s="270"/>
      <c r="BP126" s="270"/>
      <c r="BQ126" s="270"/>
      <c r="BR126" s="270"/>
    </row>
    <row r="127" spans="3:72" x14ac:dyDescent="0.2">
      <c r="BL127" s="270"/>
      <c r="BM127" s="270"/>
      <c r="BN127" s="270"/>
      <c r="BO127" s="270"/>
      <c r="BP127" s="270"/>
      <c r="BQ127" s="270"/>
      <c r="BR127" s="270"/>
    </row>
    <row r="128" spans="3:72" x14ac:dyDescent="0.2">
      <c r="BL128" s="270"/>
      <c r="BM128" s="270"/>
      <c r="BN128" s="270"/>
      <c r="BO128" s="270"/>
      <c r="BP128" s="270"/>
      <c r="BQ128" s="270"/>
      <c r="BR128" s="270"/>
    </row>
  </sheetData>
  <sheetProtection algorithmName="SHA-512" hashValue="kAhCsFUyz7ixJ3w4rEmSnjRY9BX0y1/fzCoK5jzFDYrIUmOymXwTxRaek/RsmtOCAxHwdR1878Z+bYwa6JiZ/g==" saltValue="ltTjm9ywPp1YTUFiVoRESw==" spinCount="100000" sheet="1" objects="1" scenarios="1"/>
  <dataConsolidate/>
  <mergeCells count="18">
    <mergeCell ref="I18:K18"/>
    <mergeCell ref="S18:T18"/>
    <mergeCell ref="K11:M11"/>
    <mergeCell ref="O11:Q11"/>
    <mergeCell ref="O12:Q12"/>
    <mergeCell ref="O13:Q13"/>
    <mergeCell ref="O14:Q14"/>
    <mergeCell ref="C16:N16"/>
    <mergeCell ref="P16:T16"/>
    <mergeCell ref="K9:M9"/>
    <mergeCell ref="O9:Q9"/>
    <mergeCell ref="E5:H5"/>
    <mergeCell ref="K5:M5"/>
    <mergeCell ref="O5:Q5"/>
    <mergeCell ref="K7:M7"/>
    <mergeCell ref="O7:Q7"/>
    <mergeCell ref="E7:G7"/>
    <mergeCell ref="E9:G9"/>
  </mergeCells>
  <conditionalFormatting sqref="E51">
    <cfRule type="expression" dxfId="74" priority="67">
      <formula>$E$51&gt;0.1</formula>
    </cfRule>
  </conditionalFormatting>
  <conditionalFormatting sqref="G60 I60 K60 M60 E60">
    <cfRule type="cellIs" dxfId="73" priority="65" operator="greaterThanOrEqual">
      <formula>0</formula>
    </cfRule>
    <cfRule type="cellIs" dxfId="72" priority="66" operator="lessThan">
      <formula>0</formula>
    </cfRule>
  </conditionalFormatting>
  <conditionalFormatting sqref="E61 G61 I61 K61 M61">
    <cfRule type="expression" dxfId="71" priority="68">
      <formula>#REF!&gt;0</formula>
    </cfRule>
  </conditionalFormatting>
  <conditionalFormatting sqref="E39 E41 E43">
    <cfRule type="expression" dxfId="70" priority="69">
      <formula>$E$55&lt;0</formula>
    </cfRule>
  </conditionalFormatting>
  <conditionalFormatting sqref="M39">
    <cfRule type="expression" dxfId="69" priority="70">
      <formula>M$55&lt;0</formula>
    </cfRule>
  </conditionalFormatting>
  <conditionalFormatting sqref="E37 M37 E35">
    <cfRule type="expression" dxfId="68" priority="71">
      <formula>E$55&lt;0</formula>
    </cfRule>
  </conditionalFormatting>
  <conditionalFormatting sqref="I51">
    <cfRule type="expression" dxfId="67" priority="64">
      <formula>$E$51&gt;0.1</formula>
    </cfRule>
  </conditionalFormatting>
  <conditionalFormatting sqref="K51">
    <cfRule type="expression" dxfId="66" priority="63">
      <formula>$E$51&gt;0.1</formula>
    </cfRule>
  </conditionalFormatting>
  <conditionalFormatting sqref="M51">
    <cfRule type="expression" dxfId="65" priority="62">
      <formula>$E$51&gt;0.1</formula>
    </cfRule>
  </conditionalFormatting>
  <conditionalFormatting sqref="G51">
    <cfRule type="expression" dxfId="64" priority="61">
      <formula>$E$51&gt;0.1</formula>
    </cfRule>
  </conditionalFormatting>
  <conditionalFormatting sqref="E33">
    <cfRule type="expression" dxfId="63" priority="60">
      <formula>E$55&lt;0</formula>
    </cfRule>
  </conditionalFormatting>
  <conditionalFormatting sqref="M35">
    <cfRule type="expression" dxfId="62" priority="59">
      <formula>M$55&lt;0</formula>
    </cfRule>
  </conditionalFormatting>
  <conditionalFormatting sqref="E31">
    <cfRule type="expression" dxfId="61" priority="58">
      <formula>E$55&lt;0</formula>
    </cfRule>
  </conditionalFormatting>
  <conditionalFormatting sqref="G39">
    <cfRule type="expression" dxfId="60" priority="57">
      <formula>$E$55&lt;0</formula>
    </cfRule>
  </conditionalFormatting>
  <conditionalFormatting sqref="I39">
    <cfRule type="expression" dxfId="59" priority="56">
      <formula>$E$55&lt;0</formula>
    </cfRule>
  </conditionalFormatting>
  <conditionalFormatting sqref="I35">
    <cfRule type="expression" dxfId="58" priority="55">
      <formula>I$55&lt;0</formula>
    </cfRule>
  </conditionalFormatting>
  <conditionalFormatting sqref="K39">
    <cfRule type="expression" dxfId="57" priority="54">
      <formula>$E$55&lt;0</formula>
    </cfRule>
  </conditionalFormatting>
  <conditionalFormatting sqref="K35">
    <cfRule type="expression" dxfId="56" priority="53">
      <formula>K$55&lt;0</formula>
    </cfRule>
  </conditionalFormatting>
  <conditionalFormatting sqref="G35">
    <cfRule type="expression" dxfId="55" priority="52">
      <formula>G$55&lt;0</formula>
    </cfRule>
  </conditionalFormatting>
  <conditionalFormatting sqref="E53">
    <cfRule type="expression" dxfId="54" priority="51">
      <formula>$E$51&gt;0.1</formula>
    </cfRule>
  </conditionalFormatting>
  <conditionalFormatting sqref="G53">
    <cfRule type="expression" dxfId="53" priority="50">
      <formula>$E$51&gt;0.1</formula>
    </cfRule>
  </conditionalFormatting>
  <conditionalFormatting sqref="I53">
    <cfRule type="expression" dxfId="52" priority="49">
      <formula>$E$51&gt;0.1</formula>
    </cfRule>
  </conditionalFormatting>
  <conditionalFormatting sqref="K53">
    <cfRule type="expression" dxfId="51" priority="48">
      <formula>$E$51&gt;0.1</formula>
    </cfRule>
  </conditionalFormatting>
  <conditionalFormatting sqref="M53">
    <cfRule type="expression" dxfId="50" priority="47">
      <formula>$E$51&gt;0.1</formula>
    </cfRule>
  </conditionalFormatting>
  <conditionalFormatting sqref="E55">
    <cfRule type="expression" dxfId="49" priority="46">
      <formula>$E$51&gt;0.1</formula>
    </cfRule>
  </conditionalFormatting>
  <conditionalFormatting sqref="G55">
    <cfRule type="expression" dxfId="48" priority="45">
      <formula>$E$51&gt;0.1</formula>
    </cfRule>
  </conditionalFormatting>
  <conditionalFormatting sqref="I55">
    <cfRule type="expression" dxfId="47" priority="44">
      <formula>$E$51&gt;0.1</formula>
    </cfRule>
  </conditionalFormatting>
  <conditionalFormatting sqref="K55">
    <cfRule type="expression" dxfId="46" priority="43">
      <formula>$E$51&gt;0.1</formula>
    </cfRule>
  </conditionalFormatting>
  <conditionalFormatting sqref="M55">
    <cfRule type="expression" dxfId="45" priority="42">
      <formula>$E$51&gt;0.1</formula>
    </cfRule>
  </conditionalFormatting>
  <conditionalFormatting sqref="G37">
    <cfRule type="expression" dxfId="44" priority="41">
      <formula>G$55&lt;0</formula>
    </cfRule>
  </conditionalFormatting>
  <conditionalFormatting sqref="I37">
    <cfRule type="expression" dxfId="43" priority="40">
      <formula>I$55&lt;0</formula>
    </cfRule>
  </conditionalFormatting>
  <conditionalFormatting sqref="K37">
    <cfRule type="expression" dxfId="42" priority="39">
      <formula>K$55&lt;0</formula>
    </cfRule>
  </conditionalFormatting>
  <conditionalFormatting sqref="S23">
    <cfRule type="notContainsBlanks" dxfId="41" priority="38">
      <formula>LEN(TRIM(S23))&gt;0</formula>
    </cfRule>
  </conditionalFormatting>
  <conditionalFormatting sqref="S21">
    <cfRule type="notContainsBlanks" dxfId="40" priority="37">
      <formula>LEN(TRIM(S21))&gt;0</formula>
    </cfRule>
  </conditionalFormatting>
  <conditionalFormatting sqref="S39 S41">
    <cfRule type="notContainsBlanks" dxfId="39" priority="36">
      <formula>LEN(TRIM(S39))&gt;0</formula>
    </cfRule>
  </conditionalFormatting>
  <conditionalFormatting sqref="Q42">
    <cfRule type="notContainsBlanks" dxfId="38" priority="35">
      <formula>LEN(TRIM(Q42))&gt;0</formula>
    </cfRule>
  </conditionalFormatting>
  <conditionalFormatting sqref="Q41">
    <cfRule type="notContainsBlanks" dxfId="37" priority="34">
      <formula>LEN(TRIM(Q41))&gt;0</formula>
    </cfRule>
  </conditionalFormatting>
  <conditionalFormatting sqref="G41">
    <cfRule type="expression" dxfId="36" priority="33">
      <formula>$E$55&lt;0</formula>
    </cfRule>
  </conditionalFormatting>
  <conditionalFormatting sqref="I41">
    <cfRule type="expression" dxfId="35" priority="32">
      <formula>$E$55&lt;0</formula>
    </cfRule>
  </conditionalFormatting>
  <conditionalFormatting sqref="K41">
    <cfRule type="expression" dxfId="34" priority="31">
      <formula>$E$55&lt;0</formula>
    </cfRule>
  </conditionalFormatting>
  <conditionalFormatting sqref="M41">
    <cfRule type="expression" dxfId="33" priority="30">
      <formula>$E$55&lt;0</formula>
    </cfRule>
  </conditionalFormatting>
  <conditionalFormatting sqref="S45:T54">
    <cfRule type="notContainsBlanks" dxfId="32" priority="29">
      <formula>LEN(TRIM(S45))&gt;0</formula>
    </cfRule>
  </conditionalFormatting>
  <conditionalFormatting sqref="E29">
    <cfRule type="expression" dxfId="31" priority="28">
      <formula>E$55&lt;0</formula>
    </cfRule>
  </conditionalFormatting>
  <conditionalFormatting sqref="G29">
    <cfRule type="expression" dxfId="30" priority="27">
      <formula>G$55&lt;0</formula>
    </cfRule>
  </conditionalFormatting>
  <conditionalFormatting sqref="I29">
    <cfRule type="expression" dxfId="29" priority="26">
      <formula>I$55&lt;0</formula>
    </cfRule>
  </conditionalFormatting>
  <conditionalFormatting sqref="K29">
    <cfRule type="expression" dxfId="28" priority="25">
      <formula>K$55&lt;0</formula>
    </cfRule>
  </conditionalFormatting>
  <conditionalFormatting sqref="M29">
    <cfRule type="expression" dxfId="27" priority="24">
      <formula>M$55&lt;0</formula>
    </cfRule>
  </conditionalFormatting>
  <conditionalFormatting sqref="S37">
    <cfRule type="notContainsBlanks" dxfId="26" priority="17">
      <formula>LEN(TRIM(S37))&gt;0</formula>
    </cfRule>
  </conditionalFormatting>
  <conditionalFormatting sqref="S25">
    <cfRule type="notContainsBlanks" dxfId="25" priority="23">
      <formula>LEN(TRIM(S25))&gt;0</formula>
    </cfRule>
  </conditionalFormatting>
  <conditionalFormatting sqref="S27">
    <cfRule type="notContainsBlanks" dxfId="24" priority="22">
      <formula>LEN(TRIM(S27))&gt;0</formula>
    </cfRule>
  </conditionalFormatting>
  <conditionalFormatting sqref="S29">
    <cfRule type="notContainsBlanks" dxfId="23" priority="21">
      <formula>LEN(TRIM(S29))&gt;0</formula>
    </cfRule>
  </conditionalFormatting>
  <conditionalFormatting sqref="S31">
    <cfRule type="notContainsBlanks" dxfId="22" priority="20">
      <formula>LEN(TRIM(S31))&gt;0</formula>
    </cfRule>
  </conditionalFormatting>
  <conditionalFormatting sqref="S33">
    <cfRule type="notContainsBlanks" dxfId="21" priority="19">
      <formula>LEN(TRIM(S33))&gt;0</formula>
    </cfRule>
  </conditionalFormatting>
  <conditionalFormatting sqref="S35">
    <cfRule type="notContainsBlanks" dxfId="20" priority="18">
      <formula>LEN(TRIM(S35))&gt;0</formula>
    </cfRule>
  </conditionalFormatting>
  <conditionalFormatting sqref="G31">
    <cfRule type="expression" dxfId="19" priority="12">
      <formula>G$55&lt;0</formula>
    </cfRule>
  </conditionalFormatting>
  <conditionalFormatting sqref="I31">
    <cfRule type="expression" dxfId="18" priority="11">
      <formula>I$55&lt;0</formula>
    </cfRule>
  </conditionalFormatting>
  <conditionalFormatting sqref="K31">
    <cfRule type="expression" dxfId="17" priority="10">
      <formula>K$55&lt;0</formula>
    </cfRule>
  </conditionalFormatting>
  <conditionalFormatting sqref="M31">
    <cfRule type="expression" dxfId="16" priority="9">
      <formula>M$55&lt;0</formula>
    </cfRule>
  </conditionalFormatting>
  <conditionalFormatting sqref="G33">
    <cfRule type="expression" dxfId="15" priority="8">
      <formula>G$55&lt;0</formula>
    </cfRule>
  </conditionalFormatting>
  <conditionalFormatting sqref="I33">
    <cfRule type="expression" dxfId="14" priority="7">
      <formula>I$55&lt;0</formula>
    </cfRule>
  </conditionalFormatting>
  <conditionalFormatting sqref="K33">
    <cfRule type="expression" dxfId="13" priority="6">
      <formula>K$55&lt;0</formula>
    </cfRule>
  </conditionalFormatting>
  <conditionalFormatting sqref="M33">
    <cfRule type="expression" dxfId="12" priority="5">
      <formula>M$55&lt;0</formula>
    </cfRule>
  </conditionalFormatting>
  <conditionalFormatting sqref="G43">
    <cfRule type="expression" dxfId="11" priority="4">
      <formula>$E$55&lt;0</formula>
    </cfRule>
  </conditionalFormatting>
  <conditionalFormatting sqref="I43">
    <cfRule type="expression" dxfId="10" priority="3">
      <formula>$E$55&lt;0</formula>
    </cfRule>
  </conditionalFormatting>
  <conditionalFormatting sqref="K43">
    <cfRule type="expression" dxfId="9" priority="2">
      <formula>$E$55&lt;0</formula>
    </cfRule>
  </conditionalFormatting>
  <conditionalFormatting sqref="M43">
    <cfRule type="expression" dxfId="8" priority="1">
      <formula>$E$55&lt;0</formula>
    </cfRule>
  </conditionalFormatting>
  <dataValidations count="7">
    <dataValidation allowBlank="1" showInputMessage="1" showErrorMessage="1" error="Please enter recurring MSF between $1 - $4500" prompt="Input total recurring MSF per line" sqref="E37 K37 I37 G37 M37" xr:uid="{19E8CA72-53B5-4CA9-ABD2-8E7424076427}"/>
    <dataValidation type="whole" operator="greaterThan" allowBlank="1" showInputMessage="1" showErrorMessage="1" error="If entered, input must be a whole number greater than 0" prompt="Enter number of committed lines (whole numbers, greater than 0)" sqref="E27 M27 G27 I27 K27" xr:uid="{CF193828-FC52-496D-8B7E-69773A47936E}">
      <formula1>0</formula1>
    </dataValidation>
    <dataValidation showInputMessage="1" errorTitle="No credits for unsubsidized tier" error="No conversion credit amount can be entered since unsubsidized subsidy tier selected.  Credits can only be offered with a subsidized tier." sqref="K41:K43 G41:G43 I41:I43 E41:E43 M41:M43" xr:uid="{F9BADEEC-DB99-466C-9DBF-98AC9D9DE7CE}"/>
    <dataValidation allowBlank="1" showInputMessage="1" showErrorMessage="1" prompt="Total ECF of all lines at other carrier(s)" sqref="S7" xr:uid="{04100C69-8CC5-4378-A301-08DFD41D2597}"/>
    <dataValidation allowBlank="1" showInputMessage="1" showErrorMessage="1" prompt="Enter total employee count (to determine our wallet share, where possible)" sqref="S5" xr:uid="{85BFF059-6FC4-4055-8346-4B8C84CBD4AC}"/>
    <dataValidation type="list" allowBlank="1" showInputMessage="1" showErrorMessage="1" sqref="I40 G40 E40 M40" xr:uid="{E0333A76-DBBE-4C5E-B613-CF325B1D7539}">
      <formula1>$A$6:$A$90</formula1>
    </dataValidation>
    <dataValidation type="list" allowBlank="1" showErrorMessage="1" prompt="ECF/Pre-HUP Waiver Term of Existing Term" sqref="S13" xr:uid="{963643F1-02E9-4BD7-AC2D-75A1F3336EEB}">
      <formula1>Contract</formula1>
    </dataValidation>
  </dataValidations>
  <printOptions horizontalCentered="1" verticalCentered="1"/>
  <pageMargins left="0.23622047244094491" right="0.23622047244094491" top="1.1417322834645669" bottom="0.55118110236220474" header="0.31496062992125984" footer="0.31496062992125984"/>
  <pageSetup scale="51" orientation="portrait" r:id="rId1"/>
  <headerFooter>
    <oddHeader>&amp;C&amp;G</oddHeader>
    <oddFooter>&amp;RPrinted on: &amp;D; &amp;T</oddFooter>
  </headerFooter>
  <drawing r:id="rId2"/>
  <legacyDrawing r:id="rId3"/>
  <legacyDrawingHF r:id="rId4"/>
  <extLst>
    <ext xmlns:x14="http://schemas.microsoft.com/office/spreadsheetml/2009/9/main" uri="{CCE6A557-97BC-4b89-ADB6-D9C93CAAB3DF}">
      <x14:dataValidations xmlns:xm="http://schemas.microsoft.com/office/excel/2006/main" count="11">
        <x14:dataValidation type="list" allowBlank="1" showInputMessage="1" showErrorMessage="1" xr:uid="{30A98F49-4920-463B-8C50-1801F4042DCE}">
          <x14:formula1>
            <xm:f>'Qualitative Measures Lookup'!$K$3:$K$11</xm:f>
          </x14:formula1>
          <xm:sqref>S9</xm:sqref>
        </x14:dataValidation>
        <x14:dataValidation type="list" showInputMessage="1" errorTitle="No credits for unsubsidized tier" error="No conversion credit amount can be entered since unsubsidized subsidy tier selected.  Credits can only be offered with a subsidized tier." xr:uid="{5EC29AD0-4593-4213-89FA-5DD54533FCF8}">
          <x14:formula1>
            <xm:f>'Qualitative Measures Lookup'!$S$1:$S$33</xm:f>
          </x14:formula1>
          <xm:sqref>M39 E39 I39 G39 K39</xm:sqref>
        </x14:dataValidation>
        <x14:dataValidation type="list" allowBlank="1" showInputMessage="1" showErrorMessage="1" xr:uid="{68FD9C3F-0A96-4861-914E-C82FFD986A9A}">
          <x14:formula1>
            <xm:f>'Hardware Pricing-May 2 2018'!$A$5:$A$88</xm:f>
          </x14:formula1>
          <xm:sqref>K40</xm:sqref>
        </x14:dataValidation>
        <x14:dataValidation type="list" allowBlank="1" showInputMessage="1" showErrorMessage="1" error="Only enter '0' or '24' or '36' months" prompt="SELECT TERM (IN MONTHS) FROM LIST" xr:uid="{F50E1020-7157-424C-ADF3-9FCCA3DC5F4D}">
          <x14:formula1>
            <xm:f>'Qualitative Measures Lookup'!$Y$4:$Y$6</xm:f>
          </x14:formula1>
          <xm:sqref>M25 E25 G25 I25 K25</xm:sqref>
        </x14:dataValidation>
        <x14:dataValidation type="list" allowBlank="1" showInputMessage="1" showErrorMessage="1" xr:uid="{E12A3C40-9330-4420-95C8-7182AA5143FD}">
          <x14:formula1>
            <xm:f>'Qualitative Measures Lookup'!$AC$2:$AC$6</xm:f>
          </x14:formula1>
          <xm:sqref>M21 G21 I21 K21 E21</xm:sqref>
        </x14:dataValidation>
        <x14:dataValidation type="list" allowBlank="1" showInputMessage="1" showErrorMessage="1" xr:uid="{188F1938-D148-456B-AE76-4643960A4558}">
          <x14:formula1>
            <xm:f>'prehup waiver lookup'!$B$2:$B$27</xm:f>
          </x14:formula1>
          <xm:sqref>E18 M18</xm:sqref>
        </x14:dataValidation>
        <x14:dataValidation type="list" allowBlank="1" showInputMessage="1" showErrorMessage="1" prompt="Select range of combined annual revenue from all other Rogers lines of business such as Wireline, Services, etc., excluding Wireless" xr:uid="{0BEC4000-C20B-4B16-90D9-4F398E862DD1}">
          <x14:formula1>
            <xm:f>'Qualitative Measures Lookup'!$E$3:$E$19</xm:f>
          </x14:formula1>
          <xm:sqref>S11</xm:sqref>
        </x14:dataValidation>
        <x14:dataValidation type="list" allowBlank="1" showInputMessage="1" showErrorMessage="1" xr:uid="{0D12960F-123D-4691-8779-6C8C3E717172}">
          <x14:formula1>
            <xm:f>'prehup waiver lookup'!$E$2:$E$3</xm:f>
          </x14:formula1>
          <xm:sqref>E23 M23 K23 I23 G23</xm:sqref>
        </x14:dataValidation>
        <x14:dataValidation type="list" allowBlank="1" showInputMessage="1" showErrorMessage="1" xr:uid="{94640716-BA01-4827-B9C2-1CC400E686A2}">
          <x14:formula1>
            <xm:f>'Qualitative Measures Lookup'!$U$3:$U$7</xm:f>
          </x14:formula1>
          <xm:sqref>E13</xm:sqref>
        </x14:dataValidation>
        <x14:dataValidation type="list" allowBlank="1" showInputMessage="1" showErrorMessage="1" xr:uid="{03E70A6F-D42C-444C-A3AD-8A477B09E061}">
          <x14:formula1>
            <xm:f>'Qualitative Measures Lookup'!$AP$3:$AP$7</xm:f>
          </x14:formula1>
          <xm:sqref>M29 E29 G29 I29 K29</xm:sqref>
        </x14:dataValidation>
        <x14:dataValidation type="list" allowBlank="1" showInputMessage="1" showErrorMessage="1" xr:uid="{2516A8E7-CE71-497B-8789-5EF6BEC2A3D6}">
          <x14:formula1>
            <xm:f>'Qualitative Measures Lookup'!$AP$9:$AP$21</xm:f>
          </x14:formula1>
          <xm:sqref>M31 E31 G31 I31 K31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00B050"/>
  </sheetPr>
  <dimension ref="C1:BB72"/>
  <sheetViews>
    <sheetView zoomScale="85" zoomScaleNormal="85" workbookViewId="0">
      <selection activeCell="M3" sqref="M3"/>
    </sheetView>
  </sheetViews>
  <sheetFormatPr defaultColWidth="9" defaultRowHeight="15" x14ac:dyDescent="0.25"/>
  <cols>
    <col min="1" max="4" width="9" style="336"/>
    <col min="5" max="5" width="12" style="336" customWidth="1"/>
    <col min="6" max="10" width="9" style="336"/>
    <col min="11" max="11" width="35" style="336" bestFit="1" customWidth="1"/>
    <col min="12" max="12" width="14" style="336" bestFit="1" customWidth="1"/>
    <col min="13" max="20" width="9" style="336"/>
    <col min="21" max="21" width="14.28515625" style="336" bestFit="1" customWidth="1"/>
    <col min="22" max="23" width="9" style="336"/>
    <col min="24" max="24" width="5.85546875" style="336" bestFit="1" customWidth="1"/>
    <col min="25" max="25" width="3" style="336" bestFit="1" customWidth="1"/>
    <col min="26" max="28" width="1.85546875" style="336" customWidth="1"/>
    <col min="29" max="29" width="12.42578125" style="336" bestFit="1" customWidth="1"/>
    <col min="30" max="30" width="1.5703125" style="336" customWidth="1"/>
    <col min="31" max="31" width="1" style="336" customWidth="1"/>
    <col min="32" max="32" width="25.5703125" style="336" bestFit="1" customWidth="1"/>
    <col min="33" max="33" width="8" style="341" bestFit="1" customWidth="1"/>
    <col min="34" max="34" width="10.5703125" style="336" customWidth="1"/>
    <col min="35" max="35" width="10.5703125" style="341" customWidth="1"/>
    <col min="36" max="36" width="9" style="336"/>
    <col min="37" max="37" width="25.5703125" style="336" bestFit="1" customWidth="1"/>
    <col min="38" max="38" width="8" style="341" bestFit="1" customWidth="1"/>
    <col min="39" max="39" width="11.140625" style="336" customWidth="1"/>
    <col min="40" max="40" width="11.140625" style="341" customWidth="1"/>
    <col min="41" max="41" width="9" style="336"/>
    <col min="42" max="42" width="19" style="336" bestFit="1" customWidth="1"/>
    <col min="43" max="43" width="7.5703125" style="336" bestFit="1" customWidth="1"/>
    <col min="44" max="45" width="9" style="336"/>
    <col min="46" max="46" width="21" style="336" bestFit="1" customWidth="1"/>
    <col min="47" max="47" width="22.28515625" style="336" customWidth="1"/>
    <col min="48" max="48" width="10" style="336" customWidth="1"/>
    <col min="49" max="52" width="9" style="336"/>
    <col min="53" max="53" width="28" style="336" customWidth="1"/>
    <col min="54" max="16384" width="9" style="336"/>
  </cols>
  <sheetData>
    <row r="1" spans="3:54" x14ac:dyDescent="0.25">
      <c r="S1" s="337">
        <v>0</v>
      </c>
      <c r="AF1" s="336">
        <v>36</v>
      </c>
      <c r="AK1" s="336">
        <v>24</v>
      </c>
      <c r="AR1" s="370" t="s">
        <v>685</v>
      </c>
      <c r="AS1" s="371"/>
      <c r="AT1" s="371"/>
      <c r="AU1" s="372"/>
      <c r="AV1" s="373"/>
      <c r="AX1" s="374" t="s">
        <v>688</v>
      </c>
      <c r="AY1" s="372"/>
      <c r="AZ1" s="372"/>
      <c r="BA1" s="372"/>
      <c r="BB1" s="373"/>
    </row>
    <row r="2" spans="3:54" x14ac:dyDescent="0.25">
      <c r="C2" s="336" t="s">
        <v>251</v>
      </c>
      <c r="E2" s="336" t="s">
        <v>252</v>
      </c>
      <c r="I2" s="338" t="s">
        <v>253</v>
      </c>
      <c r="K2" s="338" t="s">
        <v>254</v>
      </c>
      <c r="O2" s="23">
        <v>1</v>
      </c>
      <c r="S2" s="337">
        <v>25</v>
      </c>
      <c r="U2" s="336" t="s">
        <v>331</v>
      </c>
      <c r="X2" s="336" t="s">
        <v>3</v>
      </c>
      <c r="AC2" s="336" t="s">
        <v>605</v>
      </c>
      <c r="AF2" s="336" t="s">
        <v>659</v>
      </c>
      <c r="AG2" s="341" t="s">
        <v>205</v>
      </c>
      <c r="AH2" s="336" t="s">
        <v>649</v>
      </c>
      <c r="AI2" s="341" t="s">
        <v>650</v>
      </c>
      <c r="AK2" s="336" t="s">
        <v>659</v>
      </c>
      <c r="AL2" s="341" t="s">
        <v>205</v>
      </c>
      <c r="AM2" s="336" t="s">
        <v>649</v>
      </c>
      <c r="AN2" s="341" t="s">
        <v>650</v>
      </c>
      <c r="AP2" s="375"/>
      <c r="AR2" s="351" t="s">
        <v>5</v>
      </c>
      <c r="AS2" s="363" t="s">
        <v>335</v>
      </c>
      <c r="AT2" s="363" t="s">
        <v>589</v>
      </c>
      <c r="AU2" s="363" t="s">
        <v>686</v>
      </c>
      <c r="AV2" s="352" t="s">
        <v>684</v>
      </c>
      <c r="AX2" s="365" t="s">
        <v>5</v>
      </c>
      <c r="AY2" s="364" t="s">
        <v>335</v>
      </c>
      <c r="AZ2" s="364" t="s">
        <v>589</v>
      </c>
      <c r="BA2" s="364" t="s">
        <v>686</v>
      </c>
      <c r="BB2" s="366" t="s">
        <v>689</v>
      </c>
    </row>
    <row r="3" spans="3:54" x14ac:dyDescent="0.25">
      <c r="C3" s="336">
        <v>0</v>
      </c>
      <c r="E3" s="339">
        <v>0</v>
      </c>
      <c r="I3" s="336" t="s">
        <v>255</v>
      </c>
      <c r="K3" s="187" t="s">
        <v>309</v>
      </c>
      <c r="L3" s="336" t="s">
        <v>632</v>
      </c>
      <c r="M3" s="339">
        <v>1000</v>
      </c>
      <c r="O3" s="23">
        <v>2</v>
      </c>
      <c r="Q3" s="336">
        <v>12</v>
      </c>
      <c r="S3" s="337">
        <f>+S2+25</f>
        <v>50</v>
      </c>
      <c r="U3" s="336" t="s">
        <v>630</v>
      </c>
      <c r="AC3" s="336" t="s">
        <v>606</v>
      </c>
      <c r="AF3" s="336" t="s">
        <v>661</v>
      </c>
      <c r="AG3" s="341">
        <v>25</v>
      </c>
      <c r="AH3" s="341">
        <v>30</v>
      </c>
      <c r="AK3" s="336" t="s">
        <v>671</v>
      </c>
      <c r="AL3" s="341">
        <v>25</v>
      </c>
      <c r="AM3" s="341">
        <v>30</v>
      </c>
      <c r="AP3" s="336" t="s">
        <v>192</v>
      </c>
      <c r="AR3" s="353">
        <v>24</v>
      </c>
      <c r="AS3" s="354" t="s">
        <v>205</v>
      </c>
      <c r="AT3" s="336" t="s">
        <v>606</v>
      </c>
      <c r="AU3" s="354" t="str">
        <f>AR3&amp;"|"&amp;AS3&amp;"|"&amp;AT3</f>
        <v>24|BYOD|Voice Only</v>
      </c>
      <c r="AV3" s="355">
        <v>25</v>
      </c>
      <c r="AX3" s="353">
        <v>24</v>
      </c>
      <c r="AY3" s="354" t="s">
        <v>205</v>
      </c>
      <c r="AZ3" s="358" t="s">
        <v>606</v>
      </c>
      <c r="BA3" s="358" t="str">
        <f>AX3&amp;"|"&amp;AY3&amp;"|"&amp;AZ3</f>
        <v>24|BYOD|Voice Only</v>
      </c>
      <c r="BB3" s="367">
        <v>30</v>
      </c>
    </row>
    <row r="4" spans="3:54" ht="30" x14ac:dyDescent="0.25">
      <c r="C4" s="336">
        <v>1</v>
      </c>
      <c r="E4" s="336" t="s">
        <v>620</v>
      </c>
      <c r="I4" s="336" t="s">
        <v>256</v>
      </c>
      <c r="K4" s="187" t="s">
        <v>304</v>
      </c>
      <c r="L4" s="336" t="s">
        <v>633</v>
      </c>
      <c r="M4" s="339">
        <v>450</v>
      </c>
      <c r="O4" s="23">
        <v>3</v>
      </c>
      <c r="Q4" s="336">
        <v>24</v>
      </c>
      <c r="S4" s="337">
        <f t="shared" ref="S4:S33" si="0">+S3+25</f>
        <v>75</v>
      </c>
      <c r="U4" s="336" t="s">
        <v>643</v>
      </c>
      <c r="X4" s="24">
        <v>0</v>
      </c>
      <c r="Y4" s="24">
        <v>0</v>
      </c>
      <c r="AC4" s="336" t="s">
        <v>607</v>
      </c>
      <c r="AF4" s="349" t="s">
        <v>666</v>
      </c>
      <c r="AG4" s="341">
        <v>40</v>
      </c>
      <c r="AH4" s="341">
        <v>55</v>
      </c>
      <c r="AI4" s="341">
        <v>60</v>
      </c>
      <c r="AK4" s="346" t="s">
        <v>672</v>
      </c>
      <c r="AL4" s="341">
        <v>40</v>
      </c>
      <c r="AM4" s="340">
        <v>60</v>
      </c>
      <c r="AN4" s="341">
        <v>70</v>
      </c>
      <c r="AP4" s="336" t="s">
        <v>650</v>
      </c>
      <c r="AQ4" s="340"/>
      <c r="AR4" s="353">
        <v>24</v>
      </c>
      <c r="AS4" s="354" t="s">
        <v>205</v>
      </c>
      <c r="AT4" s="349" t="s">
        <v>666</v>
      </c>
      <c r="AU4" s="354" t="str">
        <f t="shared" ref="AU4:AU71" si="1">AR4&amp;"|"&amp;AS4&amp;"|"&amp;AT4</f>
        <v>24|BYOD|3 GB</v>
      </c>
      <c r="AV4" s="356">
        <v>40</v>
      </c>
      <c r="AX4" s="353">
        <v>24</v>
      </c>
      <c r="AY4" s="354" t="s">
        <v>205</v>
      </c>
      <c r="AZ4" s="368" t="s">
        <v>666</v>
      </c>
      <c r="BA4" s="358" t="str">
        <f t="shared" ref="BA4:BA67" si="2">AX4&amp;"|"&amp;AY4&amp;"|"&amp;AZ4</f>
        <v>24|BYOD|3 GB</v>
      </c>
      <c r="BB4" s="367">
        <v>50</v>
      </c>
    </row>
    <row r="5" spans="3:54" ht="30" x14ac:dyDescent="0.25">
      <c r="C5" s="336">
        <v>2</v>
      </c>
      <c r="E5" s="336" t="s">
        <v>275</v>
      </c>
      <c r="I5" s="336" t="s">
        <v>257</v>
      </c>
      <c r="K5" s="187" t="s">
        <v>310</v>
      </c>
      <c r="O5" s="23">
        <v>4</v>
      </c>
      <c r="Q5" s="336">
        <v>36</v>
      </c>
      <c r="S5" s="337">
        <f t="shared" si="0"/>
        <v>100</v>
      </c>
      <c r="U5" s="336" t="s">
        <v>331</v>
      </c>
      <c r="X5" s="24">
        <v>24</v>
      </c>
      <c r="Y5" s="24">
        <v>24</v>
      </c>
      <c r="AF5" s="349" t="s">
        <v>662</v>
      </c>
      <c r="AG5" s="341">
        <v>50</v>
      </c>
      <c r="AH5" s="341">
        <v>65</v>
      </c>
      <c r="AI5" s="341">
        <v>70</v>
      </c>
      <c r="AK5" s="346" t="s">
        <v>673</v>
      </c>
      <c r="AL5" s="341">
        <v>50</v>
      </c>
      <c r="AM5" s="340">
        <v>70</v>
      </c>
      <c r="AN5" s="341">
        <v>80</v>
      </c>
      <c r="AP5" s="336" t="s">
        <v>649</v>
      </c>
      <c r="AQ5" s="340"/>
      <c r="AR5" s="353">
        <v>24</v>
      </c>
      <c r="AS5" s="354" t="s">
        <v>205</v>
      </c>
      <c r="AT5" s="349" t="s">
        <v>662</v>
      </c>
      <c r="AU5" s="354" t="str">
        <f t="shared" si="1"/>
        <v xml:space="preserve">24|BYOD|5 GB  
</v>
      </c>
      <c r="AV5" s="356">
        <v>50</v>
      </c>
      <c r="AX5" s="353">
        <v>24</v>
      </c>
      <c r="AY5" s="354" t="s">
        <v>205</v>
      </c>
      <c r="AZ5" s="368" t="s">
        <v>662</v>
      </c>
      <c r="BA5" s="358" t="str">
        <f t="shared" si="2"/>
        <v xml:space="preserve">24|BYOD|5 GB  
</v>
      </c>
      <c r="BB5" s="367">
        <v>60</v>
      </c>
    </row>
    <row r="6" spans="3:54" ht="30" x14ac:dyDescent="0.25">
      <c r="C6" s="336">
        <v>3</v>
      </c>
      <c r="E6" s="336" t="s">
        <v>276</v>
      </c>
      <c r="I6" s="336" t="s">
        <v>258</v>
      </c>
      <c r="K6" s="187" t="s">
        <v>305</v>
      </c>
      <c r="O6" s="23">
        <v>5</v>
      </c>
      <c r="S6" s="337">
        <f t="shared" si="0"/>
        <v>125</v>
      </c>
      <c r="U6" s="336" t="s">
        <v>644</v>
      </c>
      <c r="X6" s="24">
        <v>36</v>
      </c>
      <c r="Y6" s="24">
        <v>36</v>
      </c>
      <c r="AE6" s="294"/>
      <c r="AF6" s="349" t="s">
        <v>663</v>
      </c>
      <c r="AG6" s="341">
        <v>60</v>
      </c>
      <c r="AH6" s="341">
        <v>75</v>
      </c>
      <c r="AI6" s="341">
        <v>80</v>
      </c>
      <c r="AK6" s="346" t="s">
        <v>674</v>
      </c>
      <c r="AL6" s="341">
        <v>60</v>
      </c>
      <c r="AM6" s="340">
        <v>80</v>
      </c>
      <c r="AN6" s="341">
        <v>90</v>
      </c>
      <c r="AP6" s="336" t="s">
        <v>205</v>
      </c>
      <c r="AQ6" s="340"/>
      <c r="AR6" s="353">
        <v>24</v>
      </c>
      <c r="AS6" s="354" t="s">
        <v>205</v>
      </c>
      <c r="AT6" s="349" t="s">
        <v>663</v>
      </c>
      <c r="AU6" s="354" t="str">
        <f t="shared" si="1"/>
        <v xml:space="preserve">24|BYOD|7 GB  
</v>
      </c>
      <c r="AV6" s="356">
        <v>60</v>
      </c>
      <c r="AX6" s="353">
        <v>24</v>
      </c>
      <c r="AY6" s="354" t="s">
        <v>205</v>
      </c>
      <c r="AZ6" s="368" t="s">
        <v>663</v>
      </c>
      <c r="BA6" s="358" t="str">
        <f t="shared" si="2"/>
        <v xml:space="preserve">24|BYOD|7 GB  
</v>
      </c>
      <c r="BB6" s="367">
        <v>70</v>
      </c>
    </row>
    <row r="7" spans="3:54" ht="30" x14ac:dyDescent="0.25">
      <c r="C7" s="336">
        <v>4</v>
      </c>
      <c r="E7" s="336" t="s">
        <v>277</v>
      </c>
      <c r="I7" s="336" t="s">
        <v>259</v>
      </c>
      <c r="K7" s="187" t="s">
        <v>308</v>
      </c>
      <c r="O7" s="23">
        <v>6</v>
      </c>
      <c r="S7" s="337">
        <f t="shared" si="0"/>
        <v>150</v>
      </c>
      <c r="U7" s="336" t="s">
        <v>645</v>
      </c>
      <c r="X7" s="24"/>
      <c r="Y7" s="24"/>
      <c r="AE7" s="294"/>
      <c r="AF7" s="349" t="s">
        <v>664</v>
      </c>
      <c r="AG7" s="341">
        <v>70</v>
      </c>
      <c r="AH7" s="341">
        <v>85</v>
      </c>
      <c r="AI7" s="341">
        <v>90</v>
      </c>
      <c r="AK7" s="346" t="s">
        <v>675</v>
      </c>
      <c r="AL7" s="341">
        <v>70</v>
      </c>
      <c r="AM7" s="340">
        <v>90</v>
      </c>
      <c r="AN7" s="341">
        <v>100</v>
      </c>
      <c r="AP7" s="336" t="s">
        <v>607</v>
      </c>
      <c r="AQ7" s="340"/>
      <c r="AR7" s="353">
        <v>24</v>
      </c>
      <c r="AS7" s="354" t="s">
        <v>205</v>
      </c>
      <c r="AT7" s="349" t="s">
        <v>664</v>
      </c>
      <c r="AU7" s="354" t="str">
        <f t="shared" si="1"/>
        <v xml:space="preserve">24|BYOD|10 GB  
</v>
      </c>
      <c r="AV7" s="356">
        <v>70</v>
      </c>
      <c r="AX7" s="353">
        <v>24</v>
      </c>
      <c r="AY7" s="354" t="s">
        <v>205</v>
      </c>
      <c r="AZ7" s="368" t="s">
        <v>664</v>
      </c>
      <c r="BA7" s="358" t="str">
        <f t="shared" si="2"/>
        <v xml:space="preserve">24|BYOD|10 GB  
</v>
      </c>
      <c r="BB7" s="367">
        <v>80</v>
      </c>
    </row>
    <row r="8" spans="3:54" ht="30" x14ac:dyDescent="0.25">
      <c r="C8" s="336">
        <v>5</v>
      </c>
      <c r="E8" s="336" t="s">
        <v>278</v>
      </c>
      <c r="I8" s="336" t="s">
        <v>260</v>
      </c>
      <c r="K8" s="187" t="s">
        <v>307</v>
      </c>
      <c r="O8" s="23">
        <v>7</v>
      </c>
      <c r="S8" s="337">
        <f t="shared" si="0"/>
        <v>175</v>
      </c>
      <c r="AE8" s="294"/>
      <c r="AF8" s="349" t="s">
        <v>665</v>
      </c>
      <c r="AG8" s="341">
        <v>85</v>
      </c>
      <c r="AH8" s="341">
        <v>100</v>
      </c>
      <c r="AI8" s="341">
        <v>105</v>
      </c>
      <c r="AK8" s="346" t="s">
        <v>676</v>
      </c>
      <c r="AL8" s="341">
        <v>85</v>
      </c>
      <c r="AM8" s="341">
        <v>105</v>
      </c>
      <c r="AN8" s="341">
        <v>115</v>
      </c>
      <c r="AQ8" s="340"/>
      <c r="AR8" s="353">
        <v>24</v>
      </c>
      <c r="AS8" s="354" t="s">
        <v>205</v>
      </c>
      <c r="AT8" s="349" t="s">
        <v>665</v>
      </c>
      <c r="AU8" s="354" t="str">
        <f t="shared" si="1"/>
        <v xml:space="preserve">24|BYOD|50 GB  
</v>
      </c>
      <c r="AV8" s="356">
        <v>85</v>
      </c>
      <c r="AX8" s="353">
        <v>24</v>
      </c>
      <c r="AY8" s="354" t="s">
        <v>205</v>
      </c>
      <c r="AZ8" s="368" t="s">
        <v>665</v>
      </c>
      <c r="BA8" s="358" t="str">
        <f t="shared" si="2"/>
        <v xml:space="preserve">24|BYOD|50 GB  
</v>
      </c>
      <c r="BB8" s="367">
        <v>95</v>
      </c>
    </row>
    <row r="9" spans="3:54" x14ac:dyDescent="0.25">
      <c r="C9" s="336">
        <v>6</v>
      </c>
      <c r="E9" s="336" t="s">
        <v>279</v>
      </c>
      <c r="K9" s="187" t="s">
        <v>306</v>
      </c>
      <c r="O9" s="23">
        <v>8</v>
      </c>
      <c r="S9" s="337">
        <f t="shared" si="0"/>
        <v>200</v>
      </c>
      <c r="AE9" s="294"/>
      <c r="AF9" s="336" t="s">
        <v>667</v>
      </c>
      <c r="AG9" s="341">
        <v>80</v>
      </c>
      <c r="AH9" s="341">
        <v>95</v>
      </c>
      <c r="AI9" s="341">
        <v>100</v>
      </c>
      <c r="AK9" s="336" t="s">
        <v>677</v>
      </c>
      <c r="AL9" s="341">
        <v>80</v>
      </c>
      <c r="AM9" s="343">
        <v>100</v>
      </c>
      <c r="AN9" s="341">
        <v>110</v>
      </c>
      <c r="AP9" s="336" t="s">
        <v>606</v>
      </c>
      <c r="AQ9" s="340"/>
      <c r="AR9" s="357">
        <v>24</v>
      </c>
      <c r="AS9" s="358" t="s">
        <v>205</v>
      </c>
      <c r="AT9" s="336" t="s">
        <v>667</v>
      </c>
      <c r="AU9" s="354" t="str">
        <f t="shared" si="1"/>
        <v>24|BYOD|Canada-US 7GB</v>
      </c>
      <c r="AV9" s="359">
        <v>80</v>
      </c>
      <c r="AX9" s="357">
        <v>24</v>
      </c>
      <c r="AY9" s="358" t="s">
        <v>205</v>
      </c>
      <c r="AZ9" s="358" t="s">
        <v>668</v>
      </c>
      <c r="BA9" s="358" t="str">
        <f t="shared" si="2"/>
        <v>24|BYOD|Data 1 GB</v>
      </c>
      <c r="BB9" s="367">
        <v>20</v>
      </c>
    </row>
    <row r="10" spans="3:54" x14ac:dyDescent="0.25">
      <c r="C10" s="336">
        <v>7</v>
      </c>
      <c r="E10" s="336" t="s">
        <v>288</v>
      </c>
      <c r="K10" s="187" t="s">
        <v>312</v>
      </c>
      <c r="O10" s="23">
        <v>9</v>
      </c>
      <c r="S10" s="337">
        <f t="shared" si="0"/>
        <v>225</v>
      </c>
      <c r="AF10" s="336" t="s">
        <v>668</v>
      </c>
      <c r="AG10" s="341">
        <v>20</v>
      </c>
      <c r="AH10" s="341">
        <v>27</v>
      </c>
      <c r="AK10" s="336" t="s">
        <v>668</v>
      </c>
      <c r="AL10" s="341">
        <v>20</v>
      </c>
      <c r="AM10" s="341">
        <v>27</v>
      </c>
      <c r="AP10" s="336" t="s">
        <v>666</v>
      </c>
      <c r="AQ10" s="340"/>
      <c r="AR10" s="357">
        <v>24</v>
      </c>
      <c r="AS10" s="358" t="s">
        <v>205</v>
      </c>
      <c r="AT10" s="336" t="s">
        <v>668</v>
      </c>
      <c r="AU10" s="354" t="str">
        <f t="shared" si="1"/>
        <v>24|BYOD|Data 1 GB</v>
      </c>
      <c r="AV10" s="359">
        <v>20</v>
      </c>
      <c r="AX10" s="357">
        <v>24</v>
      </c>
      <c r="AY10" s="358" t="s">
        <v>205</v>
      </c>
      <c r="AZ10" s="358" t="s">
        <v>669</v>
      </c>
      <c r="BA10" s="358" t="str">
        <f t="shared" si="2"/>
        <v>24|BYOD|Data 2 GB</v>
      </c>
      <c r="BB10" s="367">
        <v>25</v>
      </c>
    </row>
    <row r="11" spans="3:54" x14ac:dyDescent="0.25">
      <c r="C11" s="336">
        <v>8</v>
      </c>
      <c r="E11" s="336" t="s">
        <v>289</v>
      </c>
      <c r="K11" s="187" t="s">
        <v>311</v>
      </c>
      <c r="O11" s="23">
        <v>10</v>
      </c>
      <c r="S11" s="337">
        <f t="shared" si="0"/>
        <v>250</v>
      </c>
      <c r="AF11" s="336" t="s">
        <v>669</v>
      </c>
      <c r="AG11" s="341">
        <v>30</v>
      </c>
      <c r="AH11" s="341">
        <v>37</v>
      </c>
      <c r="AK11" s="336" t="s">
        <v>669</v>
      </c>
      <c r="AL11" s="341">
        <v>30</v>
      </c>
      <c r="AM11" s="341">
        <v>37</v>
      </c>
      <c r="AP11" s="336" t="s">
        <v>662</v>
      </c>
      <c r="AQ11" s="340"/>
      <c r="AR11" s="357">
        <v>24</v>
      </c>
      <c r="AS11" s="358" t="s">
        <v>205</v>
      </c>
      <c r="AT11" s="336" t="s">
        <v>669</v>
      </c>
      <c r="AU11" s="354" t="str">
        <f t="shared" si="1"/>
        <v>24|BYOD|Data 2 GB</v>
      </c>
      <c r="AV11" s="359">
        <v>25</v>
      </c>
      <c r="AX11" s="357">
        <v>24</v>
      </c>
      <c r="AY11" s="358" t="s">
        <v>205</v>
      </c>
      <c r="AZ11" s="358" t="s">
        <v>690</v>
      </c>
      <c r="BA11" s="358" t="str">
        <f t="shared" si="2"/>
        <v>24|BYOD|Access Only</v>
      </c>
      <c r="BB11" s="367">
        <v>10</v>
      </c>
    </row>
    <row r="12" spans="3:54" x14ac:dyDescent="0.25">
      <c r="C12" s="342" t="s">
        <v>298</v>
      </c>
      <c r="E12" s="336" t="s">
        <v>290</v>
      </c>
      <c r="O12" s="23">
        <v>11</v>
      </c>
      <c r="S12" s="337">
        <f t="shared" si="0"/>
        <v>275</v>
      </c>
      <c r="AF12" s="336" t="s">
        <v>690</v>
      </c>
      <c r="AG12" s="341">
        <v>10</v>
      </c>
      <c r="AH12" s="341">
        <v>17</v>
      </c>
      <c r="AK12" s="336" t="s">
        <v>670</v>
      </c>
      <c r="AL12" s="341">
        <v>10</v>
      </c>
      <c r="AM12" s="341">
        <v>17</v>
      </c>
      <c r="AP12" s="336" t="s">
        <v>663</v>
      </c>
      <c r="AQ12" s="341"/>
      <c r="AR12" s="357">
        <v>24</v>
      </c>
      <c r="AS12" s="358" t="s">
        <v>205</v>
      </c>
      <c r="AT12" s="336" t="s">
        <v>690</v>
      </c>
      <c r="AU12" s="354" t="str">
        <f t="shared" si="1"/>
        <v>24|BYOD|Access Only</v>
      </c>
      <c r="AV12" s="359">
        <v>10</v>
      </c>
      <c r="AX12" s="357">
        <v>24</v>
      </c>
      <c r="AY12" s="358" t="s">
        <v>192</v>
      </c>
      <c r="AZ12" s="358" t="s">
        <v>606</v>
      </c>
      <c r="BA12" s="358" t="str">
        <f t="shared" si="2"/>
        <v>24|Basic|Voice Only</v>
      </c>
      <c r="BB12" s="367">
        <v>35</v>
      </c>
    </row>
    <row r="13" spans="3:54" x14ac:dyDescent="0.25">
      <c r="E13" s="336" t="s">
        <v>291</v>
      </c>
      <c r="K13" s="186"/>
      <c r="O13" s="23">
        <v>12</v>
      </c>
      <c r="S13" s="337">
        <f t="shared" si="0"/>
        <v>300</v>
      </c>
      <c r="AP13" s="336" t="s">
        <v>664</v>
      </c>
      <c r="AQ13" s="341"/>
      <c r="AR13" s="357">
        <v>24</v>
      </c>
      <c r="AS13" s="358" t="s">
        <v>192</v>
      </c>
      <c r="AT13" s="336" t="s">
        <v>606</v>
      </c>
      <c r="AU13" s="354" t="str">
        <f t="shared" si="1"/>
        <v>24|Basic|Voice Only</v>
      </c>
      <c r="AV13" s="359">
        <v>30</v>
      </c>
      <c r="AX13" s="357">
        <v>24</v>
      </c>
      <c r="AY13" s="358" t="s">
        <v>649</v>
      </c>
      <c r="AZ13" s="358" t="s">
        <v>666</v>
      </c>
      <c r="BA13" s="358" t="str">
        <f t="shared" si="2"/>
        <v>24|Silver|3 GB</v>
      </c>
      <c r="BB13" s="367">
        <v>70</v>
      </c>
    </row>
    <row r="14" spans="3:54" x14ac:dyDescent="0.25">
      <c r="E14" s="336" t="s">
        <v>292</v>
      </c>
      <c r="K14" s="176"/>
      <c r="O14" s="23">
        <v>13</v>
      </c>
      <c r="S14" s="337">
        <f t="shared" si="0"/>
        <v>325</v>
      </c>
      <c r="AE14" s="294"/>
      <c r="AF14" s="336" t="s">
        <v>660</v>
      </c>
      <c r="AG14" s="341" t="s">
        <v>205</v>
      </c>
      <c r="AH14" s="336" t="s">
        <v>649</v>
      </c>
      <c r="AI14" s="341" t="s">
        <v>650</v>
      </c>
      <c r="AK14" s="336" t="s">
        <v>660</v>
      </c>
      <c r="AL14" s="341" t="s">
        <v>205</v>
      </c>
      <c r="AM14" s="336" t="s">
        <v>649</v>
      </c>
      <c r="AN14" s="341" t="s">
        <v>650</v>
      </c>
      <c r="AP14" s="336" t="s">
        <v>665</v>
      </c>
      <c r="AQ14" s="341"/>
      <c r="AR14" s="357">
        <v>24</v>
      </c>
      <c r="AS14" s="358" t="s">
        <v>649</v>
      </c>
      <c r="AT14" s="349" t="s">
        <v>666</v>
      </c>
      <c r="AU14" s="354" t="str">
        <f t="shared" si="1"/>
        <v>24|Silver|3 GB</v>
      </c>
      <c r="AV14" s="359">
        <v>60</v>
      </c>
      <c r="AX14" s="357">
        <v>24</v>
      </c>
      <c r="AY14" s="358" t="s">
        <v>649</v>
      </c>
      <c r="AZ14" s="358" t="s">
        <v>662</v>
      </c>
      <c r="BA14" s="358" t="str">
        <f t="shared" si="2"/>
        <v xml:space="preserve">24|Silver|5 GB  
</v>
      </c>
      <c r="BB14" s="367">
        <v>80</v>
      </c>
    </row>
    <row r="15" spans="3:54" x14ac:dyDescent="0.25">
      <c r="E15" s="336" t="s">
        <v>293</v>
      </c>
      <c r="K15" s="176"/>
      <c r="O15" s="23">
        <v>14</v>
      </c>
      <c r="S15" s="337">
        <f t="shared" si="0"/>
        <v>350</v>
      </c>
      <c r="AE15" s="294"/>
      <c r="AF15" s="336" t="s">
        <v>656</v>
      </c>
      <c r="AG15" s="341">
        <v>30</v>
      </c>
      <c r="AH15" s="341">
        <v>35</v>
      </c>
      <c r="AI15" s="341" t="s">
        <v>192</v>
      </c>
      <c r="AK15" s="336" t="s">
        <v>678</v>
      </c>
      <c r="AL15" s="341">
        <v>30</v>
      </c>
      <c r="AM15" s="341">
        <v>35</v>
      </c>
      <c r="AN15" s="341" t="s">
        <v>192</v>
      </c>
      <c r="AP15" s="336" t="s">
        <v>667</v>
      </c>
      <c r="AQ15" s="341"/>
      <c r="AR15" s="357">
        <v>24</v>
      </c>
      <c r="AS15" s="358" t="s">
        <v>649</v>
      </c>
      <c r="AT15" s="349" t="s">
        <v>662</v>
      </c>
      <c r="AU15" s="354" t="str">
        <f t="shared" si="1"/>
        <v xml:space="preserve">24|Silver|5 GB  
</v>
      </c>
      <c r="AV15" s="359">
        <v>70</v>
      </c>
      <c r="AX15" s="357">
        <v>24</v>
      </c>
      <c r="AY15" s="358" t="s">
        <v>649</v>
      </c>
      <c r="AZ15" s="358" t="s">
        <v>663</v>
      </c>
      <c r="BA15" s="358" t="str">
        <f t="shared" si="2"/>
        <v xml:space="preserve">24|Silver|7 GB  
</v>
      </c>
      <c r="BB15" s="367">
        <v>90</v>
      </c>
    </row>
    <row r="16" spans="3:54" ht="30" x14ac:dyDescent="0.25">
      <c r="E16" s="336" t="s">
        <v>294</v>
      </c>
      <c r="K16" s="176"/>
      <c r="O16" s="23" t="s">
        <v>269</v>
      </c>
      <c r="S16" s="337">
        <f t="shared" si="0"/>
        <v>375</v>
      </c>
      <c r="AE16" s="294"/>
      <c r="AF16" s="336" t="s">
        <v>652</v>
      </c>
      <c r="AG16" s="341">
        <v>50</v>
      </c>
      <c r="AH16" s="341">
        <v>65</v>
      </c>
      <c r="AI16" s="341">
        <v>70</v>
      </c>
      <c r="AK16" s="346" t="s">
        <v>679</v>
      </c>
      <c r="AL16" s="341">
        <v>50</v>
      </c>
      <c r="AM16" s="341">
        <v>70</v>
      </c>
      <c r="AN16" s="341">
        <v>80</v>
      </c>
      <c r="AP16" s="336" t="s">
        <v>690</v>
      </c>
      <c r="AQ16" s="341"/>
      <c r="AR16" s="353">
        <v>24</v>
      </c>
      <c r="AS16" s="354" t="s">
        <v>649</v>
      </c>
      <c r="AT16" s="349" t="s">
        <v>663</v>
      </c>
      <c r="AU16" s="354" t="str">
        <f t="shared" si="1"/>
        <v xml:space="preserve">24|Silver|7 GB  
</v>
      </c>
      <c r="AV16" s="356">
        <v>80</v>
      </c>
      <c r="AX16" s="357">
        <v>24</v>
      </c>
      <c r="AY16" s="358" t="s">
        <v>649</v>
      </c>
      <c r="AZ16" s="358" t="s">
        <v>664</v>
      </c>
      <c r="BA16" s="358" t="str">
        <f t="shared" si="2"/>
        <v xml:space="preserve">24|Silver|10 GB  
</v>
      </c>
      <c r="BB16" s="367">
        <v>100</v>
      </c>
    </row>
    <row r="17" spans="5:54" ht="30" x14ac:dyDescent="0.25">
      <c r="E17" s="336" t="s">
        <v>295</v>
      </c>
      <c r="K17" s="310">
        <f>110000</f>
        <v>110000</v>
      </c>
      <c r="S17" s="337">
        <f t="shared" si="0"/>
        <v>400</v>
      </c>
      <c r="AE17" s="294"/>
      <c r="AF17" s="336" t="s">
        <v>653</v>
      </c>
      <c r="AG17" s="341">
        <v>60</v>
      </c>
      <c r="AH17" s="341">
        <v>75</v>
      </c>
      <c r="AI17" s="341">
        <v>80</v>
      </c>
      <c r="AK17" s="346" t="s">
        <v>680</v>
      </c>
      <c r="AL17" s="341">
        <v>60</v>
      </c>
      <c r="AM17" s="341">
        <v>80</v>
      </c>
      <c r="AN17" s="341">
        <v>90</v>
      </c>
      <c r="AP17" s="336" t="s">
        <v>668</v>
      </c>
      <c r="AQ17" s="341"/>
      <c r="AR17" s="353">
        <v>24</v>
      </c>
      <c r="AS17" s="354" t="s">
        <v>649</v>
      </c>
      <c r="AT17" s="349" t="s">
        <v>664</v>
      </c>
      <c r="AU17" s="354" t="str">
        <f t="shared" si="1"/>
        <v xml:space="preserve">24|Silver|10 GB  
</v>
      </c>
      <c r="AV17" s="356">
        <v>90</v>
      </c>
      <c r="AX17" s="357">
        <v>24</v>
      </c>
      <c r="AY17" s="358" t="s">
        <v>649</v>
      </c>
      <c r="AZ17" s="358" t="s">
        <v>665</v>
      </c>
      <c r="BA17" s="358" t="str">
        <f t="shared" si="2"/>
        <v xml:space="preserve">24|Silver|50 GB  
</v>
      </c>
      <c r="BB17" s="367">
        <v>115</v>
      </c>
    </row>
    <row r="18" spans="5:54" ht="30" x14ac:dyDescent="0.25">
      <c r="E18" s="336" t="s">
        <v>296</v>
      </c>
      <c r="K18" s="311">
        <f>K17/52</f>
        <v>2115.3846153846152</v>
      </c>
      <c r="S18" s="337">
        <f t="shared" si="0"/>
        <v>425</v>
      </c>
      <c r="AE18" s="294"/>
      <c r="AF18" s="336" t="s">
        <v>654</v>
      </c>
      <c r="AG18" s="341">
        <v>70</v>
      </c>
      <c r="AH18" s="341">
        <v>85</v>
      </c>
      <c r="AI18" s="341">
        <v>90</v>
      </c>
      <c r="AK18" s="346" t="s">
        <v>681</v>
      </c>
      <c r="AL18" s="341">
        <v>70</v>
      </c>
      <c r="AM18" s="341">
        <v>90</v>
      </c>
      <c r="AN18" s="341">
        <v>100</v>
      </c>
      <c r="AP18" s="336" t="s">
        <v>669</v>
      </c>
      <c r="AQ18" s="341"/>
      <c r="AR18" s="353">
        <v>24</v>
      </c>
      <c r="AS18" s="354" t="s">
        <v>649</v>
      </c>
      <c r="AT18" s="349" t="s">
        <v>665</v>
      </c>
      <c r="AU18" s="354" t="str">
        <f t="shared" si="1"/>
        <v xml:space="preserve">24|Silver|50 GB  
</v>
      </c>
      <c r="AV18" s="356">
        <v>105</v>
      </c>
      <c r="AX18" s="357">
        <v>24</v>
      </c>
      <c r="AY18" s="358" t="s">
        <v>205</v>
      </c>
      <c r="AZ18" s="358" t="s">
        <v>691</v>
      </c>
      <c r="BA18" s="358" t="str">
        <f t="shared" si="2"/>
        <v>24|BYOD|Data 3 GB</v>
      </c>
      <c r="BB18" s="367">
        <v>30</v>
      </c>
    </row>
    <row r="19" spans="5:54" ht="30" x14ac:dyDescent="0.25">
      <c r="E19" s="336" t="s">
        <v>297</v>
      </c>
      <c r="K19" s="176"/>
      <c r="S19" s="337">
        <f t="shared" si="0"/>
        <v>450</v>
      </c>
      <c r="AE19" s="294"/>
      <c r="AF19" s="336" t="s">
        <v>655</v>
      </c>
      <c r="AG19" s="341">
        <v>80</v>
      </c>
      <c r="AH19" s="341">
        <v>95</v>
      </c>
      <c r="AI19" s="341">
        <v>100</v>
      </c>
      <c r="AK19" s="346" t="s">
        <v>682</v>
      </c>
      <c r="AL19" s="341">
        <v>80</v>
      </c>
      <c r="AM19" s="341">
        <v>100</v>
      </c>
      <c r="AN19" s="341">
        <v>110</v>
      </c>
      <c r="AP19" s="336" t="s">
        <v>691</v>
      </c>
      <c r="AQ19" s="341"/>
      <c r="AR19" s="353">
        <v>24</v>
      </c>
      <c r="AS19" s="354" t="s">
        <v>649</v>
      </c>
      <c r="AT19" s="336" t="s">
        <v>667</v>
      </c>
      <c r="AU19" s="354" t="str">
        <f t="shared" si="1"/>
        <v>24|Silver|Canada-US 7GB</v>
      </c>
      <c r="AV19" s="356">
        <v>100</v>
      </c>
      <c r="AX19" s="357">
        <v>24</v>
      </c>
      <c r="AY19" s="358" t="s">
        <v>205</v>
      </c>
      <c r="AZ19" s="358" t="s">
        <v>692</v>
      </c>
      <c r="BA19" s="358" t="str">
        <f t="shared" si="2"/>
        <v>24|BYOD|Data 5 GB</v>
      </c>
      <c r="BB19" s="367">
        <v>40</v>
      </c>
    </row>
    <row r="20" spans="5:54" ht="30" x14ac:dyDescent="0.25">
      <c r="K20" s="176"/>
      <c r="S20" s="337">
        <f t="shared" si="0"/>
        <v>475</v>
      </c>
      <c r="AF20" s="336" t="s">
        <v>657</v>
      </c>
      <c r="AG20" s="341">
        <v>95</v>
      </c>
      <c r="AH20" s="341">
        <v>110</v>
      </c>
      <c r="AI20" s="341">
        <v>115</v>
      </c>
      <c r="AK20" s="346" t="s">
        <v>683</v>
      </c>
      <c r="AL20" s="341">
        <v>95</v>
      </c>
      <c r="AM20" s="341">
        <v>115</v>
      </c>
      <c r="AN20" s="341">
        <v>125</v>
      </c>
      <c r="AP20" s="336" t="s">
        <v>692</v>
      </c>
      <c r="AQ20" s="343"/>
      <c r="AR20" s="353">
        <v>24</v>
      </c>
      <c r="AS20" s="354" t="s">
        <v>205</v>
      </c>
      <c r="AT20" s="336" t="s">
        <v>691</v>
      </c>
      <c r="AU20" s="354" t="str">
        <f t="shared" si="1"/>
        <v>24|BYOD|Data 3 GB</v>
      </c>
      <c r="AV20" s="360">
        <v>30</v>
      </c>
      <c r="AX20" s="357">
        <v>24</v>
      </c>
      <c r="AY20" s="358" t="s">
        <v>205</v>
      </c>
      <c r="AZ20" s="358" t="s">
        <v>693</v>
      </c>
      <c r="BA20" s="358" t="str">
        <f t="shared" si="2"/>
        <v>24|BYOD|Data 10 GB</v>
      </c>
      <c r="BB20" s="367">
        <v>55</v>
      </c>
    </row>
    <row r="21" spans="5:54" x14ac:dyDescent="0.25">
      <c r="K21" s="176"/>
      <c r="S21" s="337">
        <f t="shared" si="0"/>
        <v>500</v>
      </c>
      <c r="AE21" s="294"/>
      <c r="AF21" s="336" t="s">
        <v>668</v>
      </c>
      <c r="AG21" s="341">
        <v>20</v>
      </c>
      <c r="AH21" s="341">
        <v>27</v>
      </c>
      <c r="AK21" s="336" t="s">
        <v>668</v>
      </c>
      <c r="AL21" s="341">
        <v>20</v>
      </c>
      <c r="AM21" s="341">
        <v>27</v>
      </c>
      <c r="AP21" s="336" t="s">
        <v>693</v>
      </c>
      <c r="AQ21" s="343"/>
      <c r="AR21" s="357">
        <v>24</v>
      </c>
      <c r="AS21" s="358" t="s">
        <v>205</v>
      </c>
      <c r="AT21" s="336" t="s">
        <v>692</v>
      </c>
      <c r="AU21" s="354" t="str">
        <f t="shared" si="1"/>
        <v>24|BYOD|Data 5 GB</v>
      </c>
      <c r="AV21" s="355">
        <v>40</v>
      </c>
      <c r="AX21" s="357">
        <v>24</v>
      </c>
      <c r="AY21" s="358" t="s">
        <v>192</v>
      </c>
      <c r="AZ21" s="358" t="s">
        <v>606</v>
      </c>
      <c r="BA21" s="358" t="str">
        <f t="shared" si="2"/>
        <v>24|Basic|Voice Only</v>
      </c>
      <c r="BB21" s="369">
        <v>35</v>
      </c>
    </row>
    <row r="22" spans="5:54" x14ac:dyDescent="0.25">
      <c r="K22" s="176"/>
      <c r="S22" s="337">
        <f t="shared" si="0"/>
        <v>525</v>
      </c>
      <c r="AE22" s="294"/>
      <c r="AF22" s="336" t="s">
        <v>669</v>
      </c>
      <c r="AG22" s="341">
        <v>30</v>
      </c>
      <c r="AH22" s="341">
        <v>37</v>
      </c>
      <c r="AK22" s="336" t="s">
        <v>669</v>
      </c>
      <c r="AL22" s="341">
        <v>30</v>
      </c>
      <c r="AM22" s="341">
        <v>37</v>
      </c>
      <c r="AR22" s="357">
        <v>24</v>
      </c>
      <c r="AS22" s="358" t="s">
        <v>205</v>
      </c>
      <c r="AT22" s="336" t="s">
        <v>693</v>
      </c>
      <c r="AU22" s="354" t="str">
        <f t="shared" si="1"/>
        <v>24|BYOD|Data 10 GB</v>
      </c>
      <c r="AV22" s="355">
        <v>55</v>
      </c>
      <c r="AX22" s="357">
        <v>24</v>
      </c>
      <c r="AY22" s="358" t="s">
        <v>650</v>
      </c>
      <c r="AZ22" s="358" t="s">
        <v>666</v>
      </c>
      <c r="BA22" s="358" t="str">
        <f t="shared" si="2"/>
        <v>24|Gold|3 GB</v>
      </c>
      <c r="BB22" s="369">
        <v>80</v>
      </c>
    </row>
    <row r="23" spans="5:54" x14ac:dyDescent="0.25">
      <c r="K23" s="176"/>
      <c r="S23" s="337">
        <f t="shared" si="0"/>
        <v>550</v>
      </c>
      <c r="AF23" s="336" t="s">
        <v>670</v>
      </c>
      <c r="AG23" s="341">
        <v>10</v>
      </c>
      <c r="AH23" s="341">
        <v>17</v>
      </c>
      <c r="AK23" s="336" t="s">
        <v>670</v>
      </c>
      <c r="AL23" s="341">
        <v>10</v>
      </c>
      <c r="AM23" s="341">
        <v>17</v>
      </c>
      <c r="AR23" s="353">
        <v>24</v>
      </c>
      <c r="AS23" s="354" t="s">
        <v>650</v>
      </c>
      <c r="AT23" s="349" t="s">
        <v>666</v>
      </c>
      <c r="AU23" s="354" t="str">
        <f t="shared" si="1"/>
        <v>24|Gold|3 GB</v>
      </c>
      <c r="AV23" s="355">
        <v>70</v>
      </c>
      <c r="AX23" s="357">
        <v>24</v>
      </c>
      <c r="AY23" s="358" t="s">
        <v>650</v>
      </c>
      <c r="AZ23" s="358" t="s">
        <v>662</v>
      </c>
      <c r="BA23" s="358" t="str">
        <f t="shared" si="2"/>
        <v xml:space="preserve">24|Gold|5 GB  
</v>
      </c>
      <c r="BB23" s="369">
        <v>90</v>
      </c>
    </row>
    <row r="24" spans="5:54" x14ac:dyDescent="0.25">
      <c r="K24" s="176"/>
      <c r="S24" s="337">
        <f t="shared" si="0"/>
        <v>575</v>
      </c>
      <c r="AR24" s="353">
        <v>24</v>
      </c>
      <c r="AS24" s="354" t="s">
        <v>650</v>
      </c>
      <c r="AT24" s="349" t="s">
        <v>662</v>
      </c>
      <c r="AU24" s="354" t="str">
        <f t="shared" si="1"/>
        <v xml:space="preserve">24|Gold|5 GB  
</v>
      </c>
      <c r="AV24" s="355">
        <v>80</v>
      </c>
      <c r="AX24" s="357">
        <v>24</v>
      </c>
      <c r="AY24" s="358" t="s">
        <v>650</v>
      </c>
      <c r="AZ24" s="358" t="s">
        <v>663</v>
      </c>
      <c r="BA24" s="358" t="str">
        <f t="shared" si="2"/>
        <v xml:space="preserve">24|Gold|7 GB  
</v>
      </c>
      <c r="BB24" s="369">
        <v>100</v>
      </c>
    </row>
    <row r="25" spans="5:54" x14ac:dyDescent="0.25">
      <c r="K25" s="176"/>
      <c r="S25" s="337">
        <f t="shared" si="0"/>
        <v>600</v>
      </c>
      <c r="AR25" s="353">
        <v>24</v>
      </c>
      <c r="AS25" s="354" t="s">
        <v>650</v>
      </c>
      <c r="AT25" s="349" t="s">
        <v>663</v>
      </c>
      <c r="AU25" s="354" t="str">
        <f t="shared" si="1"/>
        <v xml:space="preserve">24|Gold|7 GB  
</v>
      </c>
      <c r="AV25" s="355">
        <v>90</v>
      </c>
      <c r="AX25" s="357">
        <v>24</v>
      </c>
      <c r="AY25" s="358" t="s">
        <v>650</v>
      </c>
      <c r="AZ25" s="358" t="s">
        <v>664</v>
      </c>
      <c r="BA25" s="358" t="str">
        <f t="shared" si="2"/>
        <v xml:space="preserve">24|Gold|10 GB  
</v>
      </c>
      <c r="BB25" s="369">
        <v>110</v>
      </c>
    </row>
    <row r="26" spans="5:54" x14ac:dyDescent="0.25">
      <c r="K26" s="176"/>
      <c r="S26" s="337">
        <f t="shared" si="0"/>
        <v>625</v>
      </c>
      <c r="AR26" s="353">
        <v>24</v>
      </c>
      <c r="AS26" s="354" t="s">
        <v>650</v>
      </c>
      <c r="AT26" s="349" t="s">
        <v>664</v>
      </c>
      <c r="AU26" s="354" t="str">
        <f t="shared" si="1"/>
        <v xml:space="preserve">24|Gold|10 GB  
</v>
      </c>
      <c r="AV26" s="355">
        <v>100</v>
      </c>
      <c r="AX26" s="357">
        <v>24</v>
      </c>
      <c r="AY26" s="358" t="s">
        <v>650</v>
      </c>
      <c r="AZ26" s="358" t="s">
        <v>665</v>
      </c>
      <c r="BA26" s="358" t="str">
        <f t="shared" si="2"/>
        <v xml:space="preserve">24|Gold|50 GB  
</v>
      </c>
      <c r="BB26" s="369">
        <v>125</v>
      </c>
    </row>
    <row r="27" spans="5:54" x14ac:dyDescent="0.25">
      <c r="K27" s="176"/>
      <c r="S27" s="337">
        <f t="shared" si="0"/>
        <v>650</v>
      </c>
      <c r="AR27" s="353">
        <v>24</v>
      </c>
      <c r="AS27" s="354" t="s">
        <v>650</v>
      </c>
      <c r="AT27" s="349" t="s">
        <v>665</v>
      </c>
      <c r="AU27" s="354" t="str">
        <f t="shared" si="1"/>
        <v xml:space="preserve">24|Gold|50 GB  
</v>
      </c>
      <c r="AV27" s="355">
        <v>115</v>
      </c>
      <c r="AX27" s="357">
        <v>36</v>
      </c>
      <c r="AY27" s="358" t="s">
        <v>205</v>
      </c>
      <c r="AZ27" s="358" t="s">
        <v>606</v>
      </c>
      <c r="BA27" s="358" t="str">
        <f t="shared" si="2"/>
        <v>36|BYOD|Voice Only</v>
      </c>
      <c r="BB27" s="367">
        <v>30</v>
      </c>
    </row>
    <row r="28" spans="5:54" x14ac:dyDescent="0.25">
      <c r="K28" s="176"/>
      <c r="S28" s="337">
        <f t="shared" si="0"/>
        <v>675</v>
      </c>
      <c r="AR28" s="357">
        <v>24</v>
      </c>
      <c r="AS28" s="358" t="s">
        <v>650</v>
      </c>
      <c r="AT28" s="336" t="s">
        <v>667</v>
      </c>
      <c r="AU28" s="354" t="str">
        <f t="shared" si="1"/>
        <v>24|Gold|Canada-US 7GB</v>
      </c>
      <c r="AV28" s="355">
        <v>110</v>
      </c>
      <c r="AX28" s="357">
        <v>36</v>
      </c>
      <c r="AY28" s="358" t="s">
        <v>205</v>
      </c>
      <c r="AZ28" s="358" t="s">
        <v>666</v>
      </c>
      <c r="BA28" s="358" t="str">
        <f t="shared" si="2"/>
        <v>36|BYOD|3 GB</v>
      </c>
      <c r="BB28" s="367">
        <v>50</v>
      </c>
    </row>
    <row r="29" spans="5:54" x14ac:dyDescent="0.25">
      <c r="K29" s="176"/>
      <c r="S29" s="337">
        <f t="shared" si="0"/>
        <v>700</v>
      </c>
      <c r="AR29" s="357">
        <v>36</v>
      </c>
      <c r="AS29" s="358" t="s">
        <v>205</v>
      </c>
      <c r="AT29" s="358" t="s">
        <v>606</v>
      </c>
      <c r="AU29" s="354" t="str">
        <f t="shared" si="1"/>
        <v>36|BYOD|Voice Only</v>
      </c>
      <c r="AV29" s="361">
        <v>25</v>
      </c>
      <c r="AX29" s="357">
        <v>36</v>
      </c>
      <c r="AY29" s="358" t="s">
        <v>205</v>
      </c>
      <c r="AZ29" s="358" t="s">
        <v>662</v>
      </c>
      <c r="BA29" s="358" t="str">
        <f t="shared" si="2"/>
        <v xml:space="preserve">36|BYOD|5 GB  
</v>
      </c>
      <c r="BB29" s="367">
        <v>60</v>
      </c>
    </row>
    <row r="30" spans="5:54" x14ac:dyDescent="0.25">
      <c r="K30" s="176"/>
      <c r="S30" s="337">
        <f t="shared" si="0"/>
        <v>725</v>
      </c>
      <c r="AR30" s="357">
        <v>36</v>
      </c>
      <c r="AS30" s="358" t="s">
        <v>205</v>
      </c>
      <c r="AT30" s="358" t="s">
        <v>666</v>
      </c>
      <c r="AU30" s="354" t="str">
        <f t="shared" si="1"/>
        <v>36|BYOD|3 GB</v>
      </c>
      <c r="AV30" s="361">
        <v>40</v>
      </c>
      <c r="AX30" s="357">
        <v>36</v>
      </c>
      <c r="AY30" s="358" t="s">
        <v>205</v>
      </c>
      <c r="AZ30" s="358" t="s">
        <v>663</v>
      </c>
      <c r="BA30" s="358" t="str">
        <f t="shared" si="2"/>
        <v xml:space="preserve">36|BYOD|7 GB  
</v>
      </c>
      <c r="BB30" s="367">
        <v>70</v>
      </c>
    </row>
    <row r="31" spans="5:54" x14ac:dyDescent="0.25">
      <c r="K31" s="176"/>
      <c r="S31" s="337">
        <f t="shared" si="0"/>
        <v>750</v>
      </c>
      <c r="AR31" s="357">
        <v>36</v>
      </c>
      <c r="AS31" s="358" t="s">
        <v>205</v>
      </c>
      <c r="AT31" s="358" t="s">
        <v>662</v>
      </c>
      <c r="AU31" s="354" t="str">
        <f t="shared" si="1"/>
        <v xml:space="preserve">36|BYOD|5 GB  
</v>
      </c>
      <c r="AV31" s="361">
        <v>50</v>
      </c>
      <c r="AX31" s="357">
        <v>36</v>
      </c>
      <c r="AY31" s="358" t="s">
        <v>205</v>
      </c>
      <c r="AZ31" s="358" t="s">
        <v>664</v>
      </c>
      <c r="BA31" s="358" t="str">
        <f t="shared" si="2"/>
        <v xml:space="preserve">36|BYOD|10 GB  
</v>
      </c>
      <c r="BB31" s="367">
        <v>80</v>
      </c>
    </row>
    <row r="32" spans="5:54" x14ac:dyDescent="0.25">
      <c r="K32" s="176"/>
      <c r="S32" s="337">
        <f t="shared" si="0"/>
        <v>775</v>
      </c>
      <c r="AR32" s="357">
        <v>36</v>
      </c>
      <c r="AS32" s="358" t="s">
        <v>205</v>
      </c>
      <c r="AT32" s="358" t="s">
        <v>663</v>
      </c>
      <c r="AU32" s="354" t="str">
        <f t="shared" si="1"/>
        <v xml:space="preserve">36|BYOD|7 GB  
</v>
      </c>
      <c r="AV32" s="361">
        <v>60</v>
      </c>
      <c r="AX32" s="357">
        <v>36</v>
      </c>
      <c r="AY32" s="358" t="s">
        <v>205</v>
      </c>
      <c r="AZ32" s="358" t="s">
        <v>665</v>
      </c>
      <c r="BA32" s="358" t="str">
        <f t="shared" si="2"/>
        <v xml:space="preserve">36|BYOD|50 GB  
</v>
      </c>
      <c r="BB32" s="367">
        <v>95</v>
      </c>
    </row>
    <row r="33" spans="11:54" x14ac:dyDescent="0.25">
      <c r="K33" s="176"/>
      <c r="S33" s="337">
        <f t="shared" si="0"/>
        <v>800</v>
      </c>
      <c r="AR33" s="357">
        <v>36</v>
      </c>
      <c r="AS33" s="358" t="s">
        <v>205</v>
      </c>
      <c r="AT33" s="358" t="s">
        <v>664</v>
      </c>
      <c r="AU33" s="354" t="str">
        <f t="shared" si="1"/>
        <v xml:space="preserve">36|BYOD|10 GB  
</v>
      </c>
      <c r="AV33" s="361">
        <v>70</v>
      </c>
      <c r="AX33" s="357">
        <v>36</v>
      </c>
      <c r="AY33" s="358" t="s">
        <v>205</v>
      </c>
      <c r="AZ33" s="358" t="s">
        <v>668</v>
      </c>
      <c r="BA33" s="358" t="str">
        <f t="shared" si="2"/>
        <v>36|BYOD|Data 1 GB</v>
      </c>
      <c r="BB33" s="367">
        <v>20</v>
      </c>
    </row>
    <row r="34" spans="11:54" x14ac:dyDescent="0.25">
      <c r="K34" s="176"/>
      <c r="AR34" s="357">
        <v>36</v>
      </c>
      <c r="AS34" s="358" t="s">
        <v>205</v>
      </c>
      <c r="AT34" s="358" t="s">
        <v>665</v>
      </c>
      <c r="AU34" s="354" t="str">
        <f t="shared" si="1"/>
        <v xml:space="preserve">36|BYOD|50 GB  
</v>
      </c>
      <c r="AV34" s="361">
        <v>85</v>
      </c>
      <c r="AX34" s="357">
        <v>36</v>
      </c>
      <c r="AY34" s="358" t="s">
        <v>205</v>
      </c>
      <c r="AZ34" s="358" t="s">
        <v>669</v>
      </c>
      <c r="BA34" s="358" t="str">
        <f t="shared" si="2"/>
        <v>36|BYOD|Data 2 GB</v>
      </c>
      <c r="BB34" s="367">
        <v>25</v>
      </c>
    </row>
    <row r="35" spans="11:54" x14ac:dyDescent="0.25">
      <c r="K35" s="176"/>
      <c r="AR35" s="357">
        <v>36</v>
      </c>
      <c r="AS35" s="358" t="s">
        <v>205</v>
      </c>
      <c r="AT35" s="358" t="s">
        <v>667</v>
      </c>
      <c r="AU35" s="354" t="str">
        <f t="shared" si="1"/>
        <v>36|BYOD|Canada-US 7GB</v>
      </c>
      <c r="AV35" s="361">
        <v>80</v>
      </c>
      <c r="AX35" s="357">
        <v>36</v>
      </c>
      <c r="AY35" s="358" t="s">
        <v>205</v>
      </c>
      <c r="AZ35" s="358" t="s">
        <v>690</v>
      </c>
      <c r="BA35" s="358" t="str">
        <f t="shared" si="2"/>
        <v>36|BYOD|Access Only</v>
      </c>
      <c r="BB35" s="367">
        <v>10</v>
      </c>
    </row>
    <row r="36" spans="11:54" x14ac:dyDescent="0.25">
      <c r="K36" s="176"/>
      <c r="AR36" s="357">
        <v>36</v>
      </c>
      <c r="AS36" s="358" t="s">
        <v>205</v>
      </c>
      <c r="AT36" s="358" t="s">
        <v>668</v>
      </c>
      <c r="AU36" s="354" t="str">
        <f t="shared" si="1"/>
        <v>36|BYOD|Data 1 GB</v>
      </c>
      <c r="AV36" s="361">
        <v>20</v>
      </c>
      <c r="AX36" s="357">
        <v>36</v>
      </c>
      <c r="AY36" s="358" t="s">
        <v>192</v>
      </c>
      <c r="AZ36" s="358" t="s">
        <v>606</v>
      </c>
      <c r="BA36" s="358" t="str">
        <f t="shared" si="2"/>
        <v>36|Basic|Voice Only</v>
      </c>
      <c r="BB36" s="367">
        <v>35</v>
      </c>
    </row>
    <row r="37" spans="11:54" x14ac:dyDescent="0.25">
      <c r="K37" s="176"/>
      <c r="AR37" s="357">
        <v>36</v>
      </c>
      <c r="AS37" s="358" t="s">
        <v>205</v>
      </c>
      <c r="AT37" s="358" t="s">
        <v>669</v>
      </c>
      <c r="AU37" s="354" t="str">
        <f t="shared" si="1"/>
        <v>36|BYOD|Data 2 GB</v>
      </c>
      <c r="AV37" s="361">
        <v>25</v>
      </c>
      <c r="AX37" s="357">
        <v>36</v>
      </c>
      <c r="AY37" s="358" t="s">
        <v>649</v>
      </c>
      <c r="AZ37" s="358" t="s">
        <v>666</v>
      </c>
      <c r="BA37" s="358" t="str">
        <f t="shared" si="2"/>
        <v>36|Silver|3 GB</v>
      </c>
      <c r="BB37" s="367">
        <v>65</v>
      </c>
    </row>
    <row r="38" spans="11:54" x14ac:dyDescent="0.25">
      <c r="K38" s="176"/>
      <c r="AR38" s="357">
        <v>36</v>
      </c>
      <c r="AS38" s="358" t="s">
        <v>205</v>
      </c>
      <c r="AT38" s="358" t="s">
        <v>690</v>
      </c>
      <c r="AU38" s="354" t="str">
        <f t="shared" si="1"/>
        <v>36|BYOD|Access Only</v>
      </c>
      <c r="AV38" s="361">
        <v>10</v>
      </c>
      <c r="AX38" s="357">
        <v>36</v>
      </c>
      <c r="AY38" s="358" t="s">
        <v>649</v>
      </c>
      <c r="AZ38" s="358" t="s">
        <v>662</v>
      </c>
      <c r="BA38" s="358" t="str">
        <f t="shared" si="2"/>
        <v xml:space="preserve">36|Silver|5 GB  
</v>
      </c>
      <c r="BB38" s="367">
        <v>75</v>
      </c>
    </row>
    <row r="39" spans="11:54" x14ac:dyDescent="0.25">
      <c r="AR39" s="357">
        <v>36</v>
      </c>
      <c r="AS39" s="358" t="s">
        <v>192</v>
      </c>
      <c r="AT39" s="358" t="s">
        <v>606</v>
      </c>
      <c r="AU39" s="354" t="str">
        <f t="shared" si="1"/>
        <v>36|Basic|Voice Only</v>
      </c>
      <c r="AV39" s="361">
        <v>30</v>
      </c>
      <c r="AX39" s="357">
        <v>36</v>
      </c>
      <c r="AY39" s="358" t="s">
        <v>649</v>
      </c>
      <c r="AZ39" s="358" t="s">
        <v>663</v>
      </c>
      <c r="BA39" s="358" t="str">
        <f t="shared" si="2"/>
        <v xml:space="preserve">36|Silver|7 GB  
</v>
      </c>
      <c r="BB39" s="367">
        <v>85</v>
      </c>
    </row>
    <row r="40" spans="11:54" x14ac:dyDescent="0.25">
      <c r="AR40" s="357">
        <v>36</v>
      </c>
      <c r="AS40" s="358" t="s">
        <v>649</v>
      </c>
      <c r="AT40" s="358" t="s">
        <v>666</v>
      </c>
      <c r="AU40" s="354" t="str">
        <f t="shared" si="1"/>
        <v>36|Silver|3 GB</v>
      </c>
      <c r="AV40" s="361">
        <v>55</v>
      </c>
      <c r="AX40" s="357">
        <v>36</v>
      </c>
      <c r="AY40" s="358" t="s">
        <v>649</v>
      </c>
      <c r="AZ40" s="358" t="s">
        <v>664</v>
      </c>
      <c r="BA40" s="358" t="str">
        <f t="shared" si="2"/>
        <v xml:space="preserve">36|Silver|10 GB  
</v>
      </c>
      <c r="BB40" s="367">
        <v>95</v>
      </c>
    </row>
    <row r="41" spans="11:54" x14ac:dyDescent="0.25">
      <c r="AR41" s="357">
        <v>36</v>
      </c>
      <c r="AS41" s="358" t="s">
        <v>649</v>
      </c>
      <c r="AT41" s="358" t="s">
        <v>662</v>
      </c>
      <c r="AU41" s="354" t="str">
        <f t="shared" si="1"/>
        <v xml:space="preserve">36|Silver|5 GB  
</v>
      </c>
      <c r="AV41" s="361">
        <v>65</v>
      </c>
      <c r="AX41" s="357">
        <v>36</v>
      </c>
      <c r="AY41" s="358" t="s">
        <v>649</v>
      </c>
      <c r="AZ41" s="358" t="s">
        <v>665</v>
      </c>
      <c r="BA41" s="358" t="str">
        <f t="shared" si="2"/>
        <v xml:space="preserve">36|Silver|50 GB  
</v>
      </c>
      <c r="BB41" s="367">
        <v>110</v>
      </c>
    </row>
    <row r="42" spans="11:54" x14ac:dyDescent="0.25">
      <c r="AR42" s="357">
        <v>36</v>
      </c>
      <c r="AS42" s="358" t="s">
        <v>649</v>
      </c>
      <c r="AT42" s="358" t="s">
        <v>663</v>
      </c>
      <c r="AU42" s="354" t="str">
        <f t="shared" si="1"/>
        <v xml:space="preserve">36|Silver|7 GB  
</v>
      </c>
      <c r="AV42" s="361">
        <v>75</v>
      </c>
      <c r="AX42" s="357">
        <v>36</v>
      </c>
      <c r="AY42" s="358" t="s">
        <v>205</v>
      </c>
      <c r="AZ42" s="358" t="s">
        <v>691</v>
      </c>
      <c r="BA42" s="358" t="str">
        <f t="shared" si="2"/>
        <v>36|BYOD|Data 3 GB</v>
      </c>
      <c r="BB42" s="367">
        <v>30</v>
      </c>
    </row>
    <row r="43" spans="11:54" x14ac:dyDescent="0.25">
      <c r="AR43" s="357">
        <v>36</v>
      </c>
      <c r="AS43" s="358" t="s">
        <v>649</v>
      </c>
      <c r="AT43" s="358" t="s">
        <v>664</v>
      </c>
      <c r="AU43" s="354" t="str">
        <f t="shared" si="1"/>
        <v xml:space="preserve">36|Silver|10 GB  
</v>
      </c>
      <c r="AV43" s="361">
        <v>85</v>
      </c>
      <c r="AX43" s="357">
        <v>36</v>
      </c>
      <c r="AY43" s="358" t="s">
        <v>205</v>
      </c>
      <c r="AZ43" s="358" t="s">
        <v>692</v>
      </c>
      <c r="BA43" s="358" t="str">
        <f t="shared" si="2"/>
        <v>36|BYOD|Data 5 GB</v>
      </c>
      <c r="BB43" s="367">
        <v>40</v>
      </c>
    </row>
    <row r="44" spans="11:54" x14ac:dyDescent="0.25">
      <c r="AR44" s="357">
        <v>36</v>
      </c>
      <c r="AS44" s="358" t="s">
        <v>649</v>
      </c>
      <c r="AT44" s="358" t="s">
        <v>665</v>
      </c>
      <c r="AU44" s="354" t="str">
        <f t="shared" si="1"/>
        <v xml:space="preserve">36|Silver|50 GB  
</v>
      </c>
      <c r="AV44" s="361">
        <v>100</v>
      </c>
      <c r="AX44" s="357">
        <v>36</v>
      </c>
      <c r="AY44" s="358" t="s">
        <v>205</v>
      </c>
      <c r="AZ44" s="358" t="s">
        <v>693</v>
      </c>
      <c r="BA44" s="358" t="str">
        <f t="shared" si="2"/>
        <v>36|BYOD|Data 10 GB</v>
      </c>
      <c r="BB44" s="367">
        <v>55</v>
      </c>
    </row>
    <row r="45" spans="11:54" x14ac:dyDescent="0.25">
      <c r="AR45" s="357">
        <v>36</v>
      </c>
      <c r="AS45" s="358" t="s">
        <v>649</v>
      </c>
      <c r="AT45" s="358" t="s">
        <v>667</v>
      </c>
      <c r="AU45" s="354" t="str">
        <f t="shared" si="1"/>
        <v>36|Silver|Canada-US 7GB</v>
      </c>
      <c r="AV45" s="361">
        <v>95</v>
      </c>
      <c r="AX45" s="357">
        <v>36</v>
      </c>
      <c r="AY45" s="358" t="s">
        <v>192</v>
      </c>
      <c r="AZ45" s="358" t="s">
        <v>606</v>
      </c>
      <c r="BA45" s="358" t="str">
        <f t="shared" si="2"/>
        <v>36|Basic|Voice Only</v>
      </c>
      <c r="BB45" s="369">
        <v>35</v>
      </c>
    </row>
    <row r="46" spans="11:54" x14ac:dyDescent="0.25">
      <c r="AR46" s="357">
        <v>36</v>
      </c>
      <c r="AS46" s="358" t="s">
        <v>205</v>
      </c>
      <c r="AT46" s="358" t="s">
        <v>691</v>
      </c>
      <c r="AU46" s="354" t="str">
        <f t="shared" si="1"/>
        <v>36|BYOD|Data 3 GB</v>
      </c>
      <c r="AV46" s="361">
        <v>30</v>
      </c>
      <c r="AX46" s="357">
        <v>36</v>
      </c>
      <c r="AY46" s="358" t="s">
        <v>650</v>
      </c>
      <c r="AZ46" s="358" t="s">
        <v>666</v>
      </c>
      <c r="BA46" s="358" t="str">
        <f t="shared" si="2"/>
        <v>36|Gold|3 GB</v>
      </c>
      <c r="BB46" s="367">
        <v>70</v>
      </c>
    </row>
    <row r="47" spans="11:54" x14ac:dyDescent="0.25">
      <c r="AR47" s="357">
        <v>36</v>
      </c>
      <c r="AS47" s="358" t="s">
        <v>205</v>
      </c>
      <c r="AT47" s="358" t="s">
        <v>692</v>
      </c>
      <c r="AU47" s="354" t="str">
        <f t="shared" si="1"/>
        <v>36|BYOD|Data 5 GB</v>
      </c>
      <c r="AV47" s="361">
        <v>40</v>
      </c>
      <c r="AX47" s="357">
        <v>36</v>
      </c>
      <c r="AY47" s="358" t="s">
        <v>650</v>
      </c>
      <c r="AZ47" s="358" t="s">
        <v>662</v>
      </c>
      <c r="BA47" s="358" t="str">
        <f t="shared" si="2"/>
        <v xml:space="preserve">36|Gold|5 GB  
</v>
      </c>
      <c r="BB47" s="367">
        <v>80</v>
      </c>
    </row>
    <row r="48" spans="11:54" x14ac:dyDescent="0.25">
      <c r="AR48" s="357">
        <v>36</v>
      </c>
      <c r="AS48" s="358" t="s">
        <v>205</v>
      </c>
      <c r="AT48" s="358" t="s">
        <v>693</v>
      </c>
      <c r="AU48" s="354" t="str">
        <f t="shared" si="1"/>
        <v>36|BYOD|Data 10 GB</v>
      </c>
      <c r="AV48" s="361">
        <v>55</v>
      </c>
      <c r="AX48" s="357">
        <v>36</v>
      </c>
      <c r="AY48" s="358" t="s">
        <v>650</v>
      </c>
      <c r="AZ48" s="358" t="s">
        <v>663</v>
      </c>
      <c r="BA48" s="358" t="str">
        <f t="shared" si="2"/>
        <v xml:space="preserve">36|Gold|7 GB  
</v>
      </c>
      <c r="BB48" s="367">
        <v>90</v>
      </c>
    </row>
    <row r="49" spans="44:54" x14ac:dyDescent="0.25">
      <c r="AR49" s="357">
        <v>36</v>
      </c>
      <c r="AS49" s="358" t="s">
        <v>650</v>
      </c>
      <c r="AT49" s="358" t="s">
        <v>666</v>
      </c>
      <c r="AU49" s="354" t="str">
        <f t="shared" si="1"/>
        <v>36|Gold|3 GB</v>
      </c>
      <c r="AV49" s="361">
        <v>60</v>
      </c>
      <c r="AX49" s="357">
        <v>36</v>
      </c>
      <c r="AY49" s="358" t="s">
        <v>650</v>
      </c>
      <c r="AZ49" s="358" t="s">
        <v>664</v>
      </c>
      <c r="BA49" s="358" t="str">
        <f t="shared" si="2"/>
        <v xml:space="preserve">36|Gold|10 GB  
</v>
      </c>
      <c r="BB49" s="367">
        <v>100</v>
      </c>
    </row>
    <row r="50" spans="44:54" x14ac:dyDescent="0.25">
      <c r="AR50" s="357">
        <v>36</v>
      </c>
      <c r="AS50" s="358" t="s">
        <v>650</v>
      </c>
      <c r="AT50" s="358" t="s">
        <v>662</v>
      </c>
      <c r="AU50" s="354" t="str">
        <f t="shared" si="1"/>
        <v xml:space="preserve">36|Gold|5 GB  
</v>
      </c>
      <c r="AV50" s="361">
        <v>70</v>
      </c>
      <c r="AX50" s="357">
        <v>36</v>
      </c>
      <c r="AY50" s="358" t="s">
        <v>650</v>
      </c>
      <c r="AZ50" s="358" t="s">
        <v>665</v>
      </c>
      <c r="BA50" s="358" t="str">
        <f t="shared" si="2"/>
        <v xml:space="preserve">36|Gold|50 GB  
</v>
      </c>
      <c r="BB50" s="367">
        <v>115</v>
      </c>
    </row>
    <row r="51" spans="44:54" x14ac:dyDescent="0.25">
      <c r="AR51" s="357">
        <v>36</v>
      </c>
      <c r="AS51" s="358" t="s">
        <v>650</v>
      </c>
      <c r="AT51" s="358" t="s">
        <v>663</v>
      </c>
      <c r="AU51" s="354" t="str">
        <f t="shared" si="1"/>
        <v xml:space="preserve">36|Gold|7 GB  
</v>
      </c>
      <c r="AV51" s="361">
        <v>80</v>
      </c>
      <c r="AX51" s="377">
        <v>24</v>
      </c>
      <c r="AY51" s="376" t="s">
        <v>607</v>
      </c>
      <c r="AZ51" s="376" t="s">
        <v>690</v>
      </c>
      <c r="BA51" s="378" t="str">
        <f t="shared" si="2"/>
        <v>24|Data Only|Access Only</v>
      </c>
      <c r="BB51" s="379">
        <v>15</v>
      </c>
    </row>
    <row r="52" spans="44:54" x14ac:dyDescent="0.25">
      <c r="AR52" s="357">
        <v>36</v>
      </c>
      <c r="AS52" s="358" t="s">
        <v>650</v>
      </c>
      <c r="AT52" s="358" t="s">
        <v>664</v>
      </c>
      <c r="AU52" s="354" t="str">
        <f t="shared" si="1"/>
        <v xml:space="preserve">36|Gold|10 GB  
</v>
      </c>
      <c r="AV52" s="361">
        <v>90</v>
      </c>
      <c r="AX52" s="377">
        <v>24</v>
      </c>
      <c r="AY52" s="376" t="s">
        <v>607</v>
      </c>
      <c r="AZ52" s="376" t="s">
        <v>668</v>
      </c>
      <c r="BA52" s="378" t="str">
        <f t="shared" si="2"/>
        <v>24|Data Only|Data 1 GB</v>
      </c>
      <c r="BB52" s="379">
        <v>30</v>
      </c>
    </row>
    <row r="53" spans="44:54" x14ac:dyDescent="0.25">
      <c r="AR53" s="357">
        <v>36</v>
      </c>
      <c r="AS53" s="358" t="s">
        <v>650</v>
      </c>
      <c r="AT53" s="358" t="s">
        <v>665</v>
      </c>
      <c r="AU53" s="354" t="str">
        <f t="shared" si="1"/>
        <v xml:space="preserve">36|Gold|50 GB  
</v>
      </c>
      <c r="AV53" s="361">
        <v>105</v>
      </c>
      <c r="AX53" s="377">
        <v>24</v>
      </c>
      <c r="AY53" s="376" t="s">
        <v>607</v>
      </c>
      <c r="AZ53" s="376" t="s">
        <v>669</v>
      </c>
      <c r="BA53" s="378" t="str">
        <f t="shared" si="2"/>
        <v>24|Data Only|Data 2 GB</v>
      </c>
      <c r="BB53" s="379">
        <v>38</v>
      </c>
    </row>
    <row r="54" spans="44:54" x14ac:dyDescent="0.25">
      <c r="AR54" s="357">
        <v>36</v>
      </c>
      <c r="AS54" s="358" t="s">
        <v>650</v>
      </c>
      <c r="AT54" s="358" t="s">
        <v>667</v>
      </c>
      <c r="AU54" s="354" t="str">
        <f t="shared" si="1"/>
        <v>36|Gold|Canada-US 7GB</v>
      </c>
      <c r="AV54" s="361">
        <v>100</v>
      </c>
      <c r="AX54" s="377">
        <v>24</v>
      </c>
      <c r="AY54" s="376" t="s">
        <v>607</v>
      </c>
      <c r="AZ54" s="376" t="s">
        <v>691</v>
      </c>
      <c r="BA54" s="378" t="str">
        <f t="shared" si="2"/>
        <v>24|Data Only|Data 3 GB</v>
      </c>
      <c r="BB54" s="379">
        <v>45</v>
      </c>
    </row>
    <row r="55" spans="44:54" x14ac:dyDescent="0.25">
      <c r="AR55" s="377">
        <v>24</v>
      </c>
      <c r="AS55" s="376" t="s">
        <v>607</v>
      </c>
      <c r="AT55" s="376" t="s">
        <v>690</v>
      </c>
      <c r="AU55" s="378" t="str">
        <f t="shared" si="1"/>
        <v>24|Data Only|Access Only</v>
      </c>
      <c r="AV55" s="379">
        <v>15</v>
      </c>
      <c r="AX55" s="377">
        <v>24</v>
      </c>
      <c r="AY55" s="376" t="s">
        <v>607</v>
      </c>
      <c r="AZ55" s="376" t="s">
        <v>692</v>
      </c>
      <c r="BA55" s="378" t="str">
        <f t="shared" si="2"/>
        <v>24|Data Only|Data 5 GB</v>
      </c>
      <c r="BB55" s="379">
        <v>52</v>
      </c>
    </row>
    <row r="56" spans="44:54" x14ac:dyDescent="0.25">
      <c r="AR56" s="377">
        <v>24</v>
      </c>
      <c r="AS56" s="376" t="s">
        <v>607</v>
      </c>
      <c r="AT56" s="376" t="s">
        <v>668</v>
      </c>
      <c r="AU56" s="378" t="str">
        <f t="shared" si="1"/>
        <v>24|Data Only|Data 1 GB</v>
      </c>
      <c r="AV56" s="379">
        <v>30</v>
      </c>
      <c r="AX56" s="377">
        <v>24</v>
      </c>
      <c r="AY56" s="376" t="s">
        <v>607</v>
      </c>
      <c r="AZ56" s="376" t="s">
        <v>693</v>
      </c>
      <c r="BA56" s="378" t="str">
        <f t="shared" si="2"/>
        <v>24|Data Only|Data 10 GB</v>
      </c>
      <c r="BB56" s="379">
        <v>80</v>
      </c>
    </row>
    <row r="57" spans="44:54" x14ac:dyDescent="0.25">
      <c r="AR57" s="377">
        <v>24</v>
      </c>
      <c r="AS57" s="376" t="s">
        <v>607</v>
      </c>
      <c r="AT57" s="376" t="s">
        <v>669</v>
      </c>
      <c r="AU57" s="378" t="str">
        <f t="shared" si="1"/>
        <v>24|Data Only|Data 2 GB</v>
      </c>
      <c r="AV57" s="379">
        <v>38</v>
      </c>
      <c r="AX57" s="377">
        <v>36</v>
      </c>
      <c r="AY57" s="376" t="s">
        <v>607</v>
      </c>
      <c r="AZ57" s="376" t="s">
        <v>690</v>
      </c>
      <c r="BA57" s="378" t="str">
        <f t="shared" si="2"/>
        <v>36|Data Only|Access Only</v>
      </c>
      <c r="BB57" s="379">
        <v>15</v>
      </c>
    </row>
    <row r="58" spans="44:54" x14ac:dyDescent="0.25">
      <c r="AR58" s="377">
        <v>24</v>
      </c>
      <c r="AS58" s="376" t="s">
        <v>607</v>
      </c>
      <c r="AT58" s="376" t="s">
        <v>691</v>
      </c>
      <c r="AU58" s="378" t="str">
        <f t="shared" si="1"/>
        <v>24|Data Only|Data 3 GB</v>
      </c>
      <c r="AV58" s="379">
        <v>45</v>
      </c>
      <c r="AX58" s="377">
        <v>36</v>
      </c>
      <c r="AY58" s="376" t="s">
        <v>607</v>
      </c>
      <c r="AZ58" s="376" t="s">
        <v>668</v>
      </c>
      <c r="BA58" s="378" t="str">
        <f t="shared" si="2"/>
        <v>36|Data Only|Data 1 GB</v>
      </c>
      <c r="BB58" s="379">
        <v>30</v>
      </c>
    </row>
    <row r="59" spans="44:54" x14ac:dyDescent="0.25">
      <c r="AR59" s="377">
        <v>24</v>
      </c>
      <c r="AS59" s="376" t="s">
        <v>607</v>
      </c>
      <c r="AT59" s="376" t="s">
        <v>692</v>
      </c>
      <c r="AU59" s="378" t="str">
        <f t="shared" si="1"/>
        <v>24|Data Only|Data 5 GB</v>
      </c>
      <c r="AV59" s="379">
        <v>52</v>
      </c>
      <c r="AX59" s="377">
        <v>36</v>
      </c>
      <c r="AY59" s="376" t="s">
        <v>607</v>
      </c>
      <c r="AZ59" s="376" t="s">
        <v>669</v>
      </c>
      <c r="BA59" s="378" t="str">
        <f t="shared" si="2"/>
        <v>36|Data Only|Data 2 GB</v>
      </c>
      <c r="BB59" s="379">
        <v>38</v>
      </c>
    </row>
    <row r="60" spans="44:54" x14ac:dyDescent="0.25">
      <c r="AR60" s="377">
        <v>24</v>
      </c>
      <c r="AS60" s="376" t="s">
        <v>607</v>
      </c>
      <c r="AT60" s="376" t="s">
        <v>693</v>
      </c>
      <c r="AU60" s="378" t="str">
        <f t="shared" si="1"/>
        <v>24|Data Only|Data 10 GB</v>
      </c>
      <c r="AV60" s="379">
        <v>80</v>
      </c>
      <c r="AX60" s="377">
        <v>36</v>
      </c>
      <c r="AY60" s="376" t="s">
        <v>607</v>
      </c>
      <c r="AZ60" s="376" t="s">
        <v>691</v>
      </c>
      <c r="BA60" s="378" t="str">
        <f t="shared" si="2"/>
        <v>36|Data Only|Data 3 GB</v>
      </c>
      <c r="BB60" s="379">
        <v>45</v>
      </c>
    </row>
    <row r="61" spans="44:54" x14ac:dyDescent="0.25">
      <c r="AR61" s="377">
        <v>36</v>
      </c>
      <c r="AS61" s="376" t="s">
        <v>607</v>
      </c>
      <c r="AT61" s="376" t="s">
        <v>690</v>
      </c>
      <c r="AU61" s="378" t="str">
        <f t="shared" si="1"/>
        <v>36|Data Only|Access Only</v>
      </c>
      <c r="AV61" s="379">
        <v>15</v>
      </c>
      <c r="AX61" s="377">
        <v>36</v>
      </c>
      <c r="AY61" s="376" t="s">
        <v>607</v>
      </c>
      <c r="AZ61" s="376" t="s">
        <v>692</v>
      </c>
      <c r="BA61" s="378" t="str">
        <f t="shared" si="2"/>
        <v>36|Data Only|Data 5 GB</v>
      </c>
      <c r="BB61" s="379">
        <v>52</v>
      </c>
    </row>
    <row r="62" spans="44:54" x14ac:dyDescent="0.25">
      <c r="AR62" s="377">
        <v>36</v>
      </c>
      <c r="AS62" s="376" t="s">
        <v>607</v>
      </c>
      <c r="AT62" s="376" t="s">
        <v>668</v>
      </c>
      <c r="AU62" s="378" t="str">
        <f t="shared" si="1"/>
        <v>36|Data Only|Data 1 GB</v>
      </c>
      <c r="AV62" s="379">
        <v>30</v>
      </c>
      <c r="AX62" s="377">
        <v>36</v>
      </c>
      <c r="AY62" s="376" t="s">
        <v>607</v>
      </c>
      <c r="AZ62" s="376" t="s">
        <v>693</v>
      </c>
      <c r="BA62" s="378" t="str">
        <f t="shared" si="2"/>
        <v>36|Data Only|Data 10 GB</v>
      </c>
      <c r="BB62" s="379">
        <v>80</v>
      </c>
    </row>
    <row r="63" spans="44:54" x14ac:dyDescent="0.25">
      <c r="AR63" s="377">
        <v>36</v>
      </c>
      <c r="AS63" s="376" t="s">
        <v>607</v>
      </c>
      <c r="AT63" s="376" t="s">
        <v>669</v>
      </c>
      <c r="AU63" s="378" t="str">
        <f t="shared" si="1"/>
        <v>36|Data Only|Data 2 GB</v>
      </c>
      <c r="AV63" s="379">
        <v>38</v>
      </c>
      <c r="AX63" s="377">
        <v>0</v>
      </c>
      <c r="AY63" s="376" t="s">
        <v>205</v>
      </c>
      <c r="AZ63" s="376" t="s">
        <v>606</v>
      </c>
      <c r="BA63" s="378" t="str">
        <f t="shared" si="2"/>
        <v>0|BYOD|Voice Only</v>
      </c>
      <c r="BB63" s="379">
        <v>25</v>
      </c>
    </row>
    <row r="64" spans="44:54" x14ac:dyDescent="0.25">
      <c r="AR64" s="377">
        <v>36</v>
      </c>
      <c r="AS64" s="376" t="s">
        <v>607</v>
      </c>
      <c r="AT64" s="376" t="s">
        <v>691</v>
      </c>
      <c r="AU64" s="378" t="str">
        <f t="shared" si="1"/>
        <v>36|Data Only|Data 3 GB</v>
      </c>
      <c r="AV64" s="379">
        <v>45</v>
      </c>
      <c r="AX64" s="377">
        <v>0</v>
      </c>
      <c r="AY64" s="376" t="s">
        <v>205</v>
      </c>
      <c r="AZ64" s="358" t="s">
        <v>666</v>
      </c>
      <c r="BA64" s="378" t="str">
        <f t="shared" si="2"/>
        <v>0|BYOD|3 GB</v>
      </c>
      <c r="BB64" s="379">
        <v>40</v>
      </c>
    </row>
    <row r="65" spans="44:54" x14ac:dyDescent="0.25">
      <c r="AR65" s="377">
        <v>36</v>
      </c>
      <c r="AS65" s="376" t="s">
        <v>607</v>
      </c>
      <c r="AT65" s="376" t="s">
        <v>692</v>
      </c>
      <c r="AU65" s="378" t="str">
        <f t="shared" si="1"/>
        <v>36|Data Only|Data 5 GB</v>
      </c>
      <c r="AV65" s="379">
        <v>52</v>
      </c>
      <c r="AX65" s="377">
        <v>0</v>
      </c>
      <c r="AY65" s="376" t="s">
        <v>205</v>
      </c>
      <c r="AZ65" s="358" t="s">
        <v>662</v>
      </c>
      <c r="BA65" s="378" t="str">
        <f t="shared" si="2"/>
        <v xml:space="preserve">0|BYOD|5 GB  
</v>
      </c>
      <c r="BB65" s="379">
        <v>50</v>
      </c>
    </row>
    <row r="66" spans="44:54" x14ac:dyDescent="0.25">
      <c r="AR66" s="377">
        <v>36</v>
      </c>
      <c r="AS66" s="376" t="s">
        <v>607</v>
      </c>
      <c r="AT66" s="376" t="s">
        <v>693</v>
      </c>
      <c r="AU66" s="378" t="str">
        <f t="shared" si="1"/>
        <v>36|Data Only|Data 10 GB</v>
      </c>
      <c r="AV66" s="379">
        <v>80</v>
      </c>
      <c r="AX66" s="377">
        <v>0</v>
      </c>
      <c r="AY66" s="376" t="s">
        <v>205</v>
      </c>
      <c r="AZ66" s="358" t="s">
        <v>663</v>
      </c>
      <c r="BA66" s="378" t="str">
        <f t="shared" si="2"/>
        <v xml:space="preserve">0|BYOD|7 GB  
</v>
      </c>
      <c r="BB66" s="379">
        <v>60</v>
      </c>
    </row>
    <row r="67" spans="44:54" x14ac:dyDescent="0.25">
      <c r="AR67" s="377">
        <v>0</v>
      </c>
      <c r="AS67" s="376" t="s">
        <v>205</v>
      </c>
      <c r="AT67" s="376" t="s">
        <v>606</v>
      </c>
      <c r="AU67" s="378" t="str">
        <f t="shared" si="1"/>
        <v>0|BYOD|Voice Only</v>
      </c>
      <c r="AV67" s="379">
        <v>25</v>
      </c>
      <c r="AX67" s="377">
        <v>0</v>
      </c>
      <c r="AY67" s="376" t="s">
        <v>205</v>
      </c>
      <c r="AZ67" s="358" t="s">
        <v>664</v>
      </c>
      <c r="BA67" s="378" t="str">
        <f t="shared" si="2"/>
        <v xml:space="preserve">0|BYOD|10 GB  
</v>
      </c>
      <c r="BB67" s="379">
        <v>70</v>
      </c>
    </row>
    <row r="68" spans="44:54" x14ac:dyDescent="0.25">
      <c r="AR68" s="377">
        <v>0</v>
      </c>
      <c r="AS68" s="376" t="s">
        <v>205</v>
      </c>
      <c r="AT68" s="358" t="s">
        <v>666</v>
      </c>
      <c r="AU68" s="378" t="str">
        <f t="shared" si="1"/>
        <v>0|BYOD|3 GB</v>
      </c>
      <c r="AV68" s="379">
        <v>40</v>
      </c>
      <c r="AX68" s="380">
        <v>0</v>
      </c>
      <c r="AY68" s="381" t="s">
        <v>205</v>
      </c>
      <c r="AZ68" s="362" t="s">
        <v>665</v>
      </c>
      <c r="BA68" s="382" t="str">
        <f t="shared" ref="BA68" si="3">AX68&amp;"|"&amp;AY68&amp;"|"&amp;AZ68</f>
        <v xml:space="preserve">0|BYOD|50 GB  
</v>
      </c>
      <c r="BB68" s="383">
        <v>85</v>
      </c>
    </row>
    <row r="69" spans="44:54" x14ac:dyDescent="0.25">
      <c r="AR69" s="377">
        <v>0</v>
      </c>
      <c r="AS69" s="376" t="s">
        <v>205</v>
      </c>
      <c r="AT69" s="358" t="s">
        <v>662</v>
      </c>
      <c r="AU69" s="378" t="str">
        <f t="shared" si="1"/>
        <v xml:space="preserve">0|BYOD|5 GB  
</v>
      </c>
      <c r="AV69" s="379">
        <v>50</v>
      </c>
    </row>
    <row r="70" spans="44:54" x14ac:dyDescent="0.25">
      <c r="AR70" s="377">
        <v>0</v>
      </c>
      <c r="AS70" s="376" t="s">
        <v>205</v>
      </c>
      <c r="AT70" s="358" t="s">
        <v>663</v>
      </c>
      <c r="AU70" s="378" t="str">
        <f t="shared" si="1"/>
        <v xml:space="preserve">0|BYOD|7 GB  
</v>
      </c>
      <c r="AV70" s="379">
        <v>60</v>
      </c>
    </row>
    <row r="71" spans="44:54" x14ac:dyDescent="0.25">
      <c r="AR71" s="377">
        <v>0</v>
      </c>
      <c r="AS71" s="376" t="s">
        <v>205</v>
      </c>
      <c r="AT71" s="358" t="s">
        <v>664</v>
      </c>
      <c r="AU71" s="378" t="str">
        <f t="shared" si="1"/>
        <v xml:space="preserve">0|BYOD|10 GB  
</v>
      </c>
      <c r="AV71" s="379">
        <v>70</v>
      </c>
    </row>
    <row r="72" spans="44:54" x14ac:dyDescent="0.25">
      <c r="AR72" s="380">
        <v>0</v>
      </c>
      <c r="AS72" s="381" t="s">
        <v>205</v>
      </c>
      <c r="AT72" s="362" t="s">
        <v>665</v>
      </c>
      <c r="AU72" s="382" t="str">
        <f>AR72&amp;"|"&amp;AS72&amp;"|"&amp;AT72</f>
        <v xml:space="preserve">0|BYOD|50 GB  
</v>
      </c>
      <c r="AV72" s="383">
        <v>85</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D13"/>
  <sheetViews>
    <sheetView showGridLines="0" topLeftCell="A4" workbookViewId="0">
      <selection activeCell="C18" sqref="C18"/>
    </sheetView>
  </sheetViews>
  <sheetFormatPr defaultColWidth="9" defaultRowHeight="14.25" x14ac:dyDescent="0.2"/>
  <cols>
    <col min="1" max="2" width="9" style="288"/>
    <col min="3" max="3" width="67.5703125" style="288" customWidth="1"/>
    <col min="4" max="4" width="65.5703125" style="288" customWidth="1"/>
    <col min="5" max="16384" width="9" style="288"/>
  </cols>
  <sheetData>
    <row r="2" spans="1:4" ht="18.75" thickBot="1" x14ac:dyDescent="0.25">
      <c r="C2" s="402" t="s">
        <v>591</v>
      </c>
      <c r="D2" s="402"/>
    </row>
    <row r="3" spans="1:4" ht="15.75" thickBot="1" x14ac:dyDescent="0.25">
      <c r="C3" s="289" t="s">
        <v>592</v>
      </c>
      <c r="D3" s="290"/>
    </row>
    <row r="4" spans="1:4" ht="15.75" thickBot="1" x14ac:dyDescent="0.25">
      <c r="C4" s="289" t="s">
        <v>593</v>
      </c>
      <c r="D4" s="290"/>
    </row>
    <row r="5" spans="1:4" ht="15.75" thickBot="1" x14ac:dyDescent="0.25">
      <c r="C5" s="289" t="s">
        <v>594</v>
      </c>
      <c r="D5" s="291"/>
    </row>
    <row r="7" spans="1:4" ht="18.75" thickBot="1" x14ac:dyDescent="0.25">
      <c r="C7" s="402" t="s">
        <v>595</v>
      </c>
      <c r="D7" s="402"/>
    </row>
    <row r="8" spans="1:4" ht="41.25" customHeight="1" thickBot="1" x14ac:dyDescent="0.25">
      <c r="C8" s="289" t="s">
        <v>596</v>
      </c>
      <c r="D8" s="290"/>
    </row>
    <row r="9" spans="1:4" ht="42.75" customHeight="1" thickBot="1" x14ac:dyDescent="0.25">
      <c r="C9" s="289" t="s">
        <v>597</v>
      </c>
      <c r="D9" s="290"/>
    </row>
    <row r="10" spans="1:4" ht="81.75" customHeight="1" thickBot="1" x14ac:dyDescent="0.25">
      <c r="A10" s="292"/>
      <c r="B10" s="292"/>
      <c r="C10" s="289" t="s">
        <v>598</v>
      </c>
      <c r="D10" s="290"/>
    </row>
    <row r="11" spans="1:4" ht="114.75" customHeight="1" thickBot="1" x14ac:dyDescent="0.25">
      <c r="C11" s="289" t="s">
        <v>599</v>
      </c>
      <c r="D11" s="290"/>
    </row>
    <row r="12" spans="1:4" ht="68.45" customHeight="1" thickBot="1" x14ac:dyDescent="0.25">
      <c r="C12" s="289" t="s">
        <v>600</v>
      </c>
      <c r="D12" s="290"/>
    </row>
    <row r="13" spans="1:4" ht="44.25" customHeight="1" thickBot="1" x14ac:dyDescent="0.25">
      <c r="C13" s="403" t="s">
        <v>601</v>
      </c>
      <c r="D13" s="404"/>
    </row>
  </sheetData>
  <protectedRanges>
    <protectedRange sqref="D3:D5 D8:D13" name="Range1"/>
  </protectedRanges>
  <mergeCells count="3">
    <mergeCell ref="C2:D2"/>
    <mergeCell ref="C7:D7"/>
    <mergeCell ref="C13:D13"/>
  </mergeCells>
  <conditionalFormatting sqref="C7">
    <cfRule type="notContainsBlanks" dxfId="7" priority="2">
      <formula>LEN(TRIM(C7))&gt;0</formula>
    </cfRule>
  </conditionalFormatting>
  <conditionalFormatting sqref="C2">
    <cfRule type="notContainsBlanks" dxfId="6" priority="1">
      <formula>LEN(TRIM(C2))&gt;0</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00"/>
  </sheetPr>
  <dimension ref="C4:C6"/>
  <sheetViews>
    <sheetView showGridLines="0" workbookViewId="0">
      <selection activeCell="C6" sqref="C6"/>
    </sheetView>
  </sheetViews>
  <sheetFormatPr defaultColWidth="9" defaultRowHeight="14.25" x14ac:dyDescent="0.2"/>
  <cols>
    <col min="1" max="1" width="9" style="288"/>
    <col min="2" max="2" width="31.5703125" style="288" customWidth="1"/>
    <col min="3" max="3" width="88.5703125" style="288" customWidth="1"/>
    <col min="4" max="4" width="19.28515625" style="288" customWidth="1"/>
    <col min="5" max="5" width="19.42578125" style="288" customWidth="1"/>
    <col min="6" max="16384" width="9" style="288"/>
  </cols>
  <sheetData>
    <row r="4" spans="3:3" ht="15" thickBot="1" x14ac:dyDescent="0.25"/>
    <row r="5" spans="3:3" ht="59.45" customHeight="1" thickBot="1" x14ac:dyDescent="0.25">
      <c r="C5" s="289" t="s">
        <v>604</v>
      </c>
    </row>
    <row r="6" spans="3:3" ht="218.25" customHeight="1" thickBot="1" x14ac:dyDescent="0.25">
      <c r="C6" s="290" t="s">
        <v>698</v>
      </c>
    </row>
  </sheetData>
  <protectedRanges>
    <protectedRange sqref="C6" name="Range1"/>
  </protectedRange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7030A0"/>
  </sheetPr>
  <dimension ref="A2:Q103"/>
  <sheetViews>
    <sheetView workbookViewId="0">
      <selection activeCell="B17" sqref="B17"/>
    </sheetView>
  </sheetViews>
  <sheetFormatPr defaultRowHeight="15" x14ac:dyDescent="0.25"/>
  <cols>
    <col min="1" max="1" width="9.28515625" style="13"/>
  </cols>
  <sheetData>
    <row r="2" spans="1:14" x14ac:dyDescent="0.25">
      <c r="K2" s="275"/>
      <c r="N2" t="str">
        <f>IF(K2="","",(VLOOKUP(K2,A:B,2,FALSE)))</f>
        <v/>
      </c>
    </row>
    <row r="3" spans="1:14" x14ac:dyDescent="0.25">
      <c r="A3" s="13">
        <v>0</v>
      </c>
      <c r="B3" t="s">
        <v>583</v>
      </c>
    </row>
    <row r="4" spans="1:14" x14ac:dyDescent="0.25">
      <c r="A4" s="13">
        <v>0.01</v>
      </c>
      <c r="B4" t="s">
        <v>583</v>
      </c>
    </row>
    <row r="5" spans="1:14" x14ac:dyDescent="0.25">
      <c r="A5" s="13">
        <v>0.02</v>
      </c>
      <c r="B5" t="s">
        <v>583</v>
      </c>
    </row>
    <row r="6" spans="1:14" x14ac:dyDescent="0.25">
      <c r="A6" s="13">
        <v>0.03</v>
      </c>
      <c r="B6" t="s">
        <v>583</v>
      </c>
    </row>
    <row r="7" spans="1:14" x14ac:dyDescent="0.25">
      <c r="A7" s="13">
        <v>0.04</v>
      </c>
      <c r="B7" t="s">
        <v>583</v>
      </c>
    </row>
    <row r="8" spans="1:14" x14ac:dyDescent="0.25">
      <c r="A8" s="13">
        <v>0.05</v>
      </c>
      <c r="B8" t="s">
        <v>583</v>
      </c>
    </row>
    <row r="9" spans="1:14" x14ac:dyDescent="0.25">
      <c r="A9" s="13">
        <v>0.06</v>
      </c>
      <c r="B9" t="s">
        <v>583</v>
      </c>
    </row>
    <row r="10" spans="1:14" x14ac:dyDescent="0.25">
      <c r="A10" s="13">
        <v>7.0000000000000007E-2</v>
      </c>
      <c r="B10" t="s">
        <v>583</v>
      </c>
    </row>
    <row r="11" spans="1:14" x14ac:dyDescent="0.25">
      <c r="A11" s="13">
        <v>0.08</v>
      </c>
      <c r="B11" t="s">
        <v>583</v>
      </c>
    </row>
    <row r="12" spans="1:14" x14ac:dyDescent="0.25">
      <c r="A12" s="13">
        <v>0.09</v>
      </c>
      <c r="B12" t="s">
        <v>583</v>
      </c>
    </row>
    <row r="13" spans="1:14" x14ac:dyDescent="0.25">
      <c r="A13" s="13">
        <v>0.1</v>
      </c>
      <c r="B13" t="s">
        <v>583</v>
      </c>
    </row>
    <row r="14" spans="1:14" x14ac:dyDescent="0.25">
      <c r="A14" s="13">
        <v>0.11</v>
      </c>
      <c r="B14" t="s">
        <v>583</v>
      </c>
    </row>
    <row r="15" spans="1:14" x14ac:dyDescent="0.25">
      <c r="A15" s="13">
        <v>0.12</v>
      </c>
      <c r="B15" t="s">
        <v>583</v>
      </c>
    </row>
    <row r="16" spans="1:14" x14ac:dyDescent="0.25">
      <c r="A16" s="13">
        <v>0.13</v>
      </c>
      <c r="B16" t="s">
        <v>583</v>
      </c>
    </row>
    <row r="17" spans="1:17" x14ac:dyDescent="0.25">
      <c r="A17" s="13">
        <v>0.14000000000000001</v>
      </c>
      <c r="B17" t="s">
        <v>583</v>
      </c>
    </row>
    <row r="18" spans="1:17" x14ac:dyDescent="0.25">
      <c r="A18" s="13">
        <v>0.15</v>
      </c>
      <c r="B18" t="s">
        <v>583</v>
      </c>
      <c r="O18" s="13">
        <f>I18</f>
        <v>0</v>
      </c>
      <c r="P18" s="13"/>
      <c r="Q18" s="13" t="str">
        <f>VLOOKUP(O18,A:B,2,FALSE)</f>
        <v>less than %60</v>
      </c>
    </row>
    <row r="19" spans="1:17" x14ac:dyDescent="0.25">
      <c r="A19" s="13">
        <v>0.16</v>
      </c>
      <c r="B19" t="s">
        <v>583</v>
      </c>
    </row>
    <row r="20" spans="1:17" x14ac:dyDescent="0.25">
      <c r="A20" s="13">
        <v>0.17</v>
      </c>
      <c r="B20" t="s">
        <v>583</v>
      </c>
    </row>
    <row r="21" spans="1:17" x14ac:dyDescent="0.25">
      <c r="A21" s="13">
        <v>0.18</v>
      </c>
      <c r="B21" t="s">
        <v>583</v>
      </c>
    </row>
    <row r="22" spans="1:17" x14ac:dyDescent="0.25">
      <c r="A22" s="13">
        <v>0.19</v>
      </c>
      <c r="B22" t="s">
        <v>583</v>
      </c>
    </row>
    <row r="23" spans="1:17" x14ac:dyDescent="0.25">
      <c r="A23" s="13">
        <v>0.2</v>
      </c>
      <c r="B23" t="s">
        <v>583</v>
      </c>
    </row>
    <row r="24" spans="1:17" x14ac:dyDescent="0.25">
      <c r="A24" s="13">
        <v>0.21</v>
      </c>
      <c r="B24" t="s">
        <v>583</v>
      </c>
    </row>
    <row r="25" spans="1:17" x14ac:dyDescent="0.25">
      <c r="A25" s="13">
        <v>0.22</v>
      </c>
      <c r="B25" t="s">
        <v>583</v>
      </c>
    </row>
    <row r="26" spans="1:17" x14ac:dyDescent="0.25">
      <c r="A26" s="13">
        <v>0.23</v>
      </c>
      <c r="B26" t="s">
        <v>583</v>
      </c>
    </row>
    <row r="27" spans="1:17" x14ac:dyDescent="0.25">
      <c r="A27" s="13">
        <v>0.24</v>
      </c>
      <c r="B27" t="s">
        <v>583</v>
      </c>
    </row>
    <row r="28" spans="1:17" x14ac:dyDescent="0.25">
      <c r="A28" s="13">
        <v>0.25</v>
      </c>
      <c r="B28" t="s">
        <v>583</v>
      </c>
    </row>
    <row r="29" spans="1:17" x14ac:dyDescent="0.25">
      <c r="A29" s="13">
        <v>0.26</v>
      </c>
      <c r="B29" t="s">
        <v>583</v>
      </c>
    </row>
    <row r="30" spans="1:17" x14ac:dyDescent="0.25">
      <c r="A30" s="13">
        <v>0.27</v>
      </c>
      <c r="B30" t="s">
        <v>583</v>
      </c>
    </row>
    <row r="31" spans="1:17" x14ac:dyDescent="0.25">
      <c r="A31" s="13">
        <v>0.28000000000000003</v>
      </c>
      <c r="B31" t="s">
        <v>583</v>
      </c>
    </row>
    <row r="32" spans="1:17" x14ac:dyDescent="0.25">
      <c r="A32" s="13">
        <v>0.28999999999999998</v>
      </c>
      <c r="B32" t="s">
        <v>583</v>
      </c>
    </row>
    <row r="33" spans="1:2" x14ac:dyDescent="0.25">
      <c r="A33" s="13">
        <v>0.3</v>
      </c>
      <c r="B33" t="s">
        <v>583</v>
      </c>
    </row>
    <row r="34" spans="1:2" x14ac:dyDescent="0.25">
      <c r="A34" s="13">
        <v>0.31</v>
      </c>
      <c r="B34" t="s">
        <v>583</v>
      </c>
    </row>
    <row r="35" spans="1:2" x14ac:dyDescent="0.25">
      <c r="A35" s="13">
        <v>0.32</v>
      </c>
      <c r="B35" t="s">
        <v>583</v>
      </c>
    </row>
    <row r="36" spans="1:2" x14ac:dyDescent="0.25">
      <c r="A36" s="13">
        <v>0.33</v>
      </c>
      <c r="B36" t="s">
        <v>583</v>
      </c>
    </row>
    <row r="37" spans="1:2" x14ac:dyDescent="0.25">
      <c r="A37" s="13">
        <v>0.34</v>
      </c>
      <c r="B37" t="s">
        <v>583</v>
      </c>
    </row>
    <row r="38" spans="1:2" x14ac:dyDescent="0.25">
      <c r="A38" s="13">
        <v>0.35</v>
      </c>
      <c r="B38" t="s">
        <v>583</v>
      </c>
    </row>
    <row r="39" spans="1:2" x14ac:dyDescent="0.25">
      <c r="A39" s="13">
        <v>0.36</v>
      </c>
      <c r="B39" t="s">
        <v>583</v>
      </c>
    </row>
    <row r="40" spans="1:2" x14ac:dyDescent="0.25">
      <c r="A40" s="13">
        <v>0.37</v>
      </c>
      <c r="B40" t="s">
        <v>583</v>
      </c>
    </row>
    <row r="41" spans="1:2" x14ac:dyDescent="0.25">
      <c r="A41" s="13">
        <v>0.38</v>
      </c>
      <c r="B41" t="s">
        <v>583</v>
      </c>
    </row>
    <row r="42" spans="1:2" x14ac:dyDescent="0.25">
      <c r="A42" s="13">
        <v>0.39</v>
      </c>
      <c r="B42" t="s">
        <v>583</v>
      </c>
    </row>
    <row r="43" spans="1:2" x14ac:dyDescent="0.25">
      <c r="A43" s="13">
        <v>0.4</v>
      </c>
      <c r="B43" t="s">
        <v>583</v>
      </c>
    </row>
    <row r="44" spans="1:2" x14ac:dyDescent="0.25">
      <c r="A44" s="13">
        <v>0.41</v>
      </c>
      <c r="B44" t="s">
        <v>583</v>
      </c>
    </row>
    <row r="45" spans="1:2" x14ac:dyDescent="0.25">
      <c r="A45" s="13">
        <v>0.42</v>
      </c>
      <c r="B45" t="s">
        <v>583</v>
      </c>
    </row>
    <row r="46" spans="1:2" x14ac:dyDescent="0.25">
      <c r="A46" s="13">
        <v>0.43</v>
      </c>
      <c r="B46" t="s">
        <v>583</v>
      </c>
    </row>
    <row r="47" spans="1:2" x14ac:dyDescent="0.25">
      <c r="A47" s="13">
        <v>0.44</v>
      </c>
      <c r="B47" t="s">
        <v>583</v>
      </c>
    </row>
    <row r="48" spans="1:2" x14ac:dyDescent="0.25">
      <c r="A48" s="13">
        <v>0.45</v>
      </c>
      <c r="B48" t="s">
        <v>583</v>
      </c>
    </row>
    <row r="49" spans="1:2" x14ac:dyDescent="0.25">
      <c r="A49" s="13">
        <v>0.46</v>
      </c>
      <c r="B49" t="s">
        <v>583</v>
      </c>
    </row>
    <row r="50" spans="1:2" x14ac:dyDescent="0.25">
      <c r="A50" s="13">
        <v>0.47</v>
      </c>
      <c r="B50" t="s">
        <v>583</v>
      </c>
    </row>
    <row r="51" spans="1:2" x14ac:dyDescent="0.25">
      <c r="A51" s="13">
        <v>0.48</v>
      </c>
      <c r="B51" t="s">
        <v>583</v>
      </c>
    </row>
    <row r="52" spans="1:2" x14ac:dyDescent="0.25">
      <c r="A52" s="13">
        <v>0.49</v>
      </c>
      <c r="B52" t="s">
        <v>583</v>
      </c>
    </row>
    <row r="53" spans="1:2" x14ac:dyDescent="0.25">
      <c r="A53" s="13">
        <v>0.5</v>
      </c>
      <c r="B53" t="s">
        <v>583</v>
      </c>
    </row>
    <row r="54" spans="1:2" x14ac:dyDescent="0.25">
      <c r="A54" s="13">
        <v>0.51</v>
      </c>
      <c r="B54" t="s">
        <v>583</v>
      </c>
    </row>
    <row r="55" spans="1:2" x14ac:dyDescent="0.25">
      <c r="A55" s="13">
        <v>0.52</v>
      </c>
      <c r="B55" t="s">
        <v>583</v>
      </c>
    </row>
    <row r="56" spans="1:2" x14ac:dyDescent="0.25">
      <c r="A56" s="13">
        <v>0.53</v>
      </c>
      <c r="B56" t="s">
        <v>583</v>
      </c>
    </row>
    <row r="57" spans="1:2" x14ac:dyDescent="0.25">
      <c r="A57" s="13">
        <v>0.54</v>
      </c>
      <c r="B57" t="s">
        <v>583</v>
      </c>
    </row>
    <row r="58" spans="1:2" x14ac:dyDescent="0.25">
      <c r="A58" s="13">
        <v>0.55000000000000004</v>
      </c>
      <c r="B58" t="s">
        <v>583</v>
      </c>
    </row>
    <row r="59" spans="1:2" x14ac:dyDescent="0.25">
      <c r="A59" s="13">
        <v>0.56000000000000005</v>
      </c>
      <c r="B59" t="s">
        <v>583</v>
      </c>
    </row>
    <row r="60" spans="1:2" x14ac:dyDescent="0.25">
      <c r="A60" s="13">
        <v>0.56999999999999995</v>
      </c>
      <c r="B60" t="s">
        <v>583</v>
      </c>
    </row>
    <row r="61" spans="1:2" x14ac:dyDescent="0.25">
      <c r="A61" s="13">
        <v>0.57999999999999996</v>
      </c>
      <c r="B61" t="s">
        <v>583</v>
      </c>
    </row>
    <row r="62" spans="1:2" x14ac:dyDescent="0.25">
      <c r="A62" s="13">
        <v>0.59</v>
      </c>
      <c r="B62" t="s">
        <v>583</v>
      </c>
    </row>
    <row r="63" spans="1:2" x14ac:dyDescent="0.25">
      <c r="A63" s="13">
        <v>0.6</v>
      </c>
    </row>
    <row r="64" spans="1:2" x14ac:dyDescent="0.25">
      <c r="A64" s="13">
        <v>0.61</v>
      </c>
      <c r="B64" t="s">
        <v>584</v>
      </c>
    </row>
    <row r="65" spans="1:2" x14ac:dyDescent="0.25">
      <c r="A65" s="13">
        <v>0.62</v>
      </c>
      <c r="B65" t="s">
        <v>584</v>
      </c>
    </row>
    <row r="66" spans="1:2" x14ac:dyDescent="0.25">
      <c r="A66" s="13">
        <v>0.63</v>
      </c>
      <c r="B66" t="s">
        <v>584</v>
      </c>
    </row>
    <row r="67" spans="1:2" x14ac:dyDescent="0.25">
      <c r="A67" s="13">
        <v>0.64</v>
      </c>
      <c r="B67" t="s">
        <v>584</v>
      </c>
    </row>
    <row r="68" spans="1:2" x14ac:dyDescent="0.25">
      <c r="A68" s="13">
        <v>0.65</v>
      </c>
      <c r="B68" t="s">
        <v>584</v>
      </c>
    </row>
    <row r="69" spans="1:2" x14ac:dyDescent="0.25">
      <c r="A69" s="13">
        <v>0.66</v>
      </c>
      <c r="B69" t="s">
        <v>584</v>
      </c>
    </row>
    <row r="70" spans="1:2" x14ac:dyDescent="0.25">
      <c r="A70" s="13">
        <v>0.67</v>
      </c>
      <c r="B70" t="s">
        <v>584</v>
      </c>
    </row>
    <row r="71" spans="1:2" x14ac:dyDescent="0.25">
      <c r="A71" s="13">
        <v>0.68</v>
      </c>
      <c r="B71" t="s">
        <v>584</v>
      </c>
    </row>
    <row r="72" spans="1:2" x14ac:dyDescent="0.25">
      <c r="A72" s="13">
        <v>0.69</v>
      </c>
      <c r="B72" t="s">
        <v>584</v>
      </c>
    </row>
    <row r="73" spans="1:2" x14ac:dyDescent="0.25">
      <c r="A73" s="13">
        <v>0.7</v>
      </c>
      <c r="B73" t="s">
        <v>584</v>
      </c>
    </row>
    <row r="74" spans="1:2" x14ac:dyDescent="0.25">
      <c r="A74" s="13">
        <v>0.71</v>
      </c>
      <c r="B74" t="s">
        <v>584</v>
      </c>
    </row>
    <row r="75" spans="1:2" x14ac:dyDescent="0.25">
      <c r="A75" s="13">
        <v>0.72</v>
      </c>
      <c r="B75" t="s">
        <v>584</v>
      </c>
    </row>
    <row r="76" spans="1:2" x14ac:dyDescent="0.25">
      <c r="A76" s="13">
        <v>0.73</v>
      </c>
      <c r="B76" t="s">
        <v>584</v>
      </c>
    </row>
    <row r="77" spans="1:2" x14ac:dyDescent="0.25">
      <c r="A77" s="13">
        <v>0.74</v>
      </c>
      <c r="B77" t="s">
        <v>584</v>
      </c>
    </row>
    <row r="78" spans="1:2" x14ac:dyDescent="0.25">
      <c r="A78" s="13">
        <v>0.75</v>
      </c>
      <c r="B78" t="s">
        <v>584</v>
      </c>
    </row>
    <row r="79" spans="1:2" x14ac:dyDescent="0.25">
      <c r="A79" s="13">
        <v>0.76</v>
      </c>
      <c r="B79" t="s">
        <v>584</v>
      </c>
    </row>
    <row r="80" spans="1:2" x14ac:dyDescent="0.25">
      <c r="A80" s="13">
        <v>0.77</v>
      </c>
      <c r="B80" t="s">
        <v>584</v>
      </c>
    </row>
    <row r="81" spans="1:2" x14ac:dyDescent="0.25">
      <c r="A81" s="13">
        <v>0.78</v>
      </c>
      <c r="B81" t="s">
        <v>584</v>
      </c>
    </row>
    <row r="82" spans="1:2" x14ac:dyDescent="0.25">
      <c r="A82" s="13">
        <v>0.79</v>
      </c>
      <c r="B82" t="s">
        <v>584</v>
      </c>
    </row>
    <row r="83" spans="1:2" x14ac:dyDescent="0.25">
      <c r="A83" s="13">
        <v>0.8</v>
      </c>
      <c r="B83" t="s">
        <v>584</v>
      </c>
    </row>
    <row r="84" spans="1:2" x14ac:dyDescent="0.25">
      <c r="A84" s="13">
        <v>0.81</v>
      </c>
      <c r="B84" t="s">
        <v>584</v>
      </c>
    </row>
    <row r="85" spans="1:2" x14ac:dyDescent="0.25">
      <c r="A85" s="13">
        <v>0.82</v>
      </c>
      <c r="B85" t="s">
        <v>584</v>
      </c>
    </row>
    <row r="86" spans="1:2" x14ac:dyDescent="0.25">
      <c r="A86" s="13">
        <v>0.83</v>
      </c>
      <c r="B86" t="s">
        <v>584</v>
      </c>
    </row>
    <row r="87" spans="1:2" x14ac:dyDescent="0.25">
      <c r="A87" s="13">
        <v>0.84</v>
      </c>
      <c r="B87" t="s">
        <v>584</v>
      </c>
    </row>
    <row r="88" spans="1:2" x14ac:dyDescent="0.25">
      <c r="A88" s="13">
        <v>0.85</v>
      </c>
      <c r="B88" t="s">
        <v>584</v>
      </c>
    </row>
    <row r="89" spans="1:2" x14ac:dyDescent="0.25">
      <c r="A89" s="13">
        <v>0.86</v>
      </c>
      <c r="B89" t="s">
        <v>584</v>
      </c>
    </row>
    <row r="90" spans="1:2" x14ac:dyDescent="0.25">
      <c r="A90" s="13">
        <v>0.87</v>
      </c>
      <c r="B90" t="s">
        <v>584</v>
      </c>
    </row>
    <row r="91" spans="1:2" x14ac:dyDescent="0.25">
      <c r="A91" s="13">
        <v>0.88</v>
      </c>
      <c r="B91" t="s">
        <v>584</v>
      </c>
    </row>
    <row r="92" spans="1:2" x14ac:dyDescent="0.25">
      <c r="A92" s="13">
        <v>0.89</v>
      </c>
      <c r="B92" t="s">
        <v>584</v>
      </c>
    </row>
    <row r="93" spans="1:2" x14ac:dyDescent="0.25">
      <c r="A93" s="13">
        <v>0.9</v>
      </c>
      <c r="B93" t="s">
        <v>584</v>
      </c>
    </row>
    <row r="94" spans="1:2" x14ac:dyDescent="0.25">
      <c r="A94" s="13">
        <v>0.91</v>
      </c>
      <c r="B94" t="s">
        <v>584</v>
      </c>
    </row>
    <row r="95" spans="1:2" x14ac:dyDescent="0.25">
      <c r="A95" s="13">
        <v>0.92</v>
      </c>
      <c r="B95" t="s">
        <v>584</v>
      </c>
    </row>
    <row r="96" spans="1:2" x14ac:dyDescent="0.25">
      <c r="A96" s="13">
        <v>0.93</v>
      </c>
      <c r="B96" t="s">
        <v>584</v>
      </c>
    </row>
    <row r="97" spans="1:2" x14ac:dyDescent="0.25">
      <c r="A97" s="13">
        <v>0.94</v>
      </c>
      <c r="B97" t="s">
        <v>584</v>
      </c>
    </row>
    <row r="98" spans="1:2" x14ac:dyDescent="0.25">
      <c r="A98" s="13">
        <v>0.95</v>
      </c>
      <c r="B98" t="s">
        <v>584</v>
      </c>
    </row>
    <row r="99" spans="1:2" x14ac:dyDescent="0.25">
      <c r="A99" s="13">
        <v>0.96</v>
      </c>
      <c r="B99" t="s">
        <v>584</v>
      </c>
    </row>
    <row r="100" spans="1:2" x14ac:dyDescent="0.25">
      <c r="A100" s="13">
        <v>0.97</v>
      </c>
      <c r="B100" t="s">
        <v>584</v>
      </c>
    </row>
    <row r="101" spans="1:2" x14ac:dyDescent="0.25">
      <c r="A101" s="13">
        <v>0.98</v>
      </c>
      <c r="B101" t="s">
        <v>584</v>
      </c>
    </row>
    <row r="102" spans="1:2" x14ac:dyDescent="0.25">
      <c r="A102" s="13">
        <v>0.99</v>
      </c>
      <c r="B102" t="s">
        <v>584</v>
      </c>
    </row>
    <row r="103" spans="1:2" x14ac:dyDescent="0.25">
      <c r="A103" s="13">
        <v>1</v>
      </c>
      <c r="B103" t="s">
        <v>584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M36"/>
  <sheetViews>
    <sheetView workbookViewId="0">
      <selection activeCell="Q22" sqref="Q22"/>
    </sheetView>
  </sheetViews>
  <sheetFormatPr defaultColWidth="9" defaultRowHeight="15" x14ac:dyDescent="0.25"/>
  <cols>
    <col min="1" max="1" width="3" style="202" customWidth="1"/>
    <col min="2" max="16384" width="9" style="119"/>
  </cols>
  <sheetData>
    <row r="1" spans="1:13" ht="15.75" customHeight="1" thickBot="1" x14ac:dyDescent="0.3"/>
    <row r="2" spans="1:13" ht="40.5" customHeight="1" thickBot="1" x14ac:dyDescent="0.3">
      <c r="B2" s="405" t="s">
        <v>338</v>
      </c>
      <c r="C2" s="406"/>
      <c r="D2" s="406"/>
      <c r="E2" s="406"/>
      <c r="F2" s="406"/>
      <c r="G2" s="406"/>
      <c r="H2" s="406"/>
      <c r="I2" s="406"/>
      <c r="J2" s="406"/>
      <c r="K2" s="406"/>
      <c r="L2" s="406"/>
      <c r="M2" s="407"/>
    </row>
    <row r="4" spans="1:13" x14ac:dyDescent="0.25">
      <c r="A4" s="203" t="s">
        <v>337</v>
      </c>
    </row>
    <row r="5" spans="1:13" ht="15.75" thickBot="1" x14ac:dyDescent="0.3"/>
    <row r="6" spans="1:13" ht="15.75" thickBot="1" x14ac:dyDescent="0.3">
      <c r="A6" s="202">
        <v>1</v>
      </c>
      <c r="B6" s="119" t="s">
        <v>353</v>
      </c>
      <c r="F6" s="213"/>
    </row>
    <row r="7" spans="1:13" ht="15.75" thickBot="1" x14ac:dyDescent="0.3"/>
    <row r="8" spans="1:13" ht="15.75" thickBot="1" x14ac:dyDescent="0.3">
      <c r="A8" s="202">
        <v>2</v>
      </c>
      <c r="B8" s="119" t="s">
        <v>354</v>
      </c>
      <c r="F8" s="213"/>
    </row>
    <row r="10" spans="1:13" ht="15.75" thickBot="1" x14ac:dyDescent="0.3">
      <c r="A10" s="202">
        <v>3</v>
      </c>
      <c r="B10" s="119" t="s">
        <v>343</v>
      </c>
    </row>
    <row r="11" spans="1:13" x14ac:dyDescent="0.25">
      <c r="B11" s="408"/>
      <c r="C11" s="409"/>
      <c r="D11" s="409"/>
      <c r="E11" s="409"/>
      <c r="F11" s="409"/>
      <c r="G11" s="409"/>
      <c r="H11" s="409"/>
      <c r="I11" s="409"/>
      <c r="J11" s="409"/>
      <c r="K11" s="409"/>
      <c r="L11" s="409"/>
      <c r="M11" s="410"/>
    </row>
    <row r="12" spans="1:13" x14ac:dyDescent="0.25">
      <c r="B12" s="411"/>
      <c r="C12" s="412"/>
      <c r="D12" s="412"/>
      <c r="E12" s="412"/>
      <c r="F12" s="412"/>
      <c r="G12" s="412"/>
      <c r="H12" s="412"/>
      <c r="I12" s="412"/>
      <c r="J12" s="412"/>
      <c r="K12" s="412"/>
      <c r="L12" s="412"/>
      <c r="M12" s="413"/>
    </row>
    <row r="13" spans="1:13" x14ac:dyDescent="0.25">
      <c r="B13" s="411"/>
      <c r="C13" s="412"/>
      <c r="D13" s="412"/>
      <c r="E13" s="412"/>
      <c r="F13" s="412"/>
      <c r="G13" s="412"/>
      <c r="H13" s="412"/>
      <c r="I13" s="412"/>
      <c r="J13" s="412"/>
      <c r="K13" s="412"/>
      <c r="L13" s="412"/>
      <c r="M13" s="413"/>
    </row>
    <row r="14" spans="1:13" x14ac:dyDescent="0.25">
      <c r="B14" s="411"/>
      <c r="C14" s="412"/>
      <c r="D14" s="412"/>
      <c r="E14" s="412"/>
      <c r="F14" s="412"/>
      <c r="G14" s="412"/>
      <c r="H14" s="412"/>
      <c r="I14" s="412"/>
      <c r="J14" s="412"/>
      <c r="K14" s="412"/>
      <c r="L14" s="412"/>
      <c r="M14" s="413"/>
    </row>
    <row r="15" spans="1:13" ht="15.75" thickBot="1" x14ac:dyDescent="0.3">
      <c r="B15" s="414"/>
      <c r="C15" s="415"/>
      <c r="D15" s="415"/>
      <c r="E15" s="415"/>
      <c r="F15" s="415"/>
      <c r="G15" s="415"/>
      <c r="H15" s="415"/>
      <c r="I15" s="415"/>
      <c r="J15" s="415"/>
      <c r="K15" s="415"/>
      <c r="L15" s="415"/>
      <c r="M15" s="416"/>
    </row>
    <row r="17" spans="1:13" ht="15.75" thickBot="1" x14ac:dyDescent="0.3">
      <c r="A17" s="202">
        <v>4</v>
      </c>
      <c r="B17" s="119" t="s">
        <v>342</v>
      </c>
    </row>
    <row r="18" spans="1:13" x14ac:dyDescent="0.25">
      <c r="B18" s="408"/>
      <c r="C18" s="409"/>
      <c r="D18" s="409"/>
      <c r="E18" s="409"/>
      <c r="F18" s="409"/>
      <c r="G18" s="409"/>
      <c r="H18" s="409"/>
      <c r="I18" s="409"/>
      <c r="J18" s="409"/>
      <c r="K18" s="409"/>
      <c r="L18" s="409"/>
      <c r="M18" s="410"/>
    </row>
    <row r="19" spans="1:13" x14ac:dyDescent="0.25">
      <c r="B19" s="411"/>
      <c r="C19" s="412"/>
      <c r="D19" s="412"/>
      <c r="E19" s="412"/>
      <c r="F19" s="412"/>
      <c r="G19" s="412"/>
      <c r="H19" s="412"/>
      <c r="I19" s="412"/>
      <c r="J19" s="412"/>
      <c r="K19" s="412"/>
      <c r="L19" s="412"/>
      <c r="M19" s="413"/>
    </row>
    <row r="20" spans="1:13" x14ac:dyDescent="0.25">
      <c r="B20" s="411"/>
      <c r="C20" s="412"/>
      <c r="D20" s="412"/>
      <c r="E20" s="412"/>
      <c r="F20" s="412"/>
      <c r="G20" s="412"/>
      <c r="H20" s="412"/>
      <c r="I20" s="412"/>
      <c r="J20" s="412"/>
      <c r="K20" s="412"/>
      <c r="L20" s="412"/>
      <c r="M20" s="413"/>
    </row>
    <row r="21" spans="1:13" x14ac:dyDescent="0.25">
      <c r="B21" s="411"/>
      <c r="C21" s="412"/>
      <c r="D21" s="412"/>
      <c r="E21" s="412"/>
      <c r="F21" s="412"/>
      <c r="G21" s="412"/>
      <c r="H21" s="412"/>
      <c r="I21" s="412"/>
      <c r="J21" s="412"/>
      <c r="K21" s="412"/>
      <c r="L21" s="412"/>
      <c r="M21" s="413"/>
    </row>
    <row r="22" spans="1:13" ht="15.75" thickBot="1" x14ac:dyDescent="0.3">
      <c r="B22" s="414"/>
      <c r="C22" s="415"/>
      <c r="D22" s="415"/>
      <c r="E22" s="415"/>
      <c r="F22" s="415"/>
      <c r="G22" s="415"/>
      <c r="H22" s="415"/>
      <c r="I22" s="415"/>
      <c r="J22" s="415"/>
      <c r="K22" s="415"/>
      <c r="L22" s="415"/>
      <c r="M22" s="416"/>
    </row>
    <row r="24" spans="1:13" ht="15.75" thickBot="1" x14ac:dyDescent="0.3">
      <c r="A24" s="202">
        <v>5</v>
      </c>
      <c r="B24" s="119" t="s">
        <v>344</v>
      </c>
    </row>
    <row r="25" spans="1:13" x14ac:dyDescent="0.25">
      <c r="B25" s="408"/>
      <c r="C25" s="409"/>
      <c r="D25" s="409"/>
      <c r="E25" s="409"/>
      <c r="F25" s="409"/>
      <c r="G25" s="409"/>
      <c r="H25" s="409"/>
      <c r="I25" s="409"/>
      <c r="J25" s="409"/>
      <c r="K25" s="409"/>
      <c r="L25" s="409"/>
      <c r="M25" s="410"/>
    </row>
    <row r="26" spans="1:13" x14ac:dyDescent="0.25">
      <c r="B26" s="411"/>
      <c r="C26" s="412"/>
      <c r="D26" s="412"/>
      <c r="E26" s="412"/>
      <c r="F26" s="412"/>
      <c r="G26" s="412"/>
      <c r="H26" s="412"/>
      <c r="I26" s="412"/>
      <c r="J26" s="412"/>
      <c r="K26" s="412"/>
      <c r="L26" s="412"/>
      <c r="M26" s="413"/>
    </row>
    <row r="27" spans="1:13" x14ac:dyDescent="0.25">
      <c r="B27" s="411"/>
      <c r="C27" s="412"/>
      <c r="D27" s="412"/>
      <c r="E27" s="412"/>
      <c r="F27" s="412"/>
      <c r="G27" s="412"/>
      <c r="H27" s="412"/>
      <c r="I27" s="412"/>
      <c r="J27" s="412"/>
      <c r="K27" s="412"/>
      <c r="L27" s="412"/>
      <c r="M27" s="413"/>
    </row>
    <row r="28" spans="1:13" x14ac:dyDescent="0.25">
      <c r="B28" s="411"/>
      <c r="C28" s="412"/>
      <c r="D28" s="412"/>
      <c r="E28" s="412"/>
      <c r="F28" s="412"/>
      <c r="G28" s="412"/>
      <c r="H28" s="412"/>
      <c r="I28" s="412"/>
      <c r="J28" s="412"/>
      <c r="K28" s="412"/>
      <c r="L28" s="412"/>
      <c r="M28" s="413"/>
    </row>
    <row r="29" spans="1:13" ht="15.75" thickBot="1" x14ac:dyDescent="0.3">
      <c r="B29" s="414"/>
      <c r="C29" s="415"/>
      <c r="D29" s="415"/>
      <c r="E29" s="415"/>
      <c r="F29" s="415"/>
      <c r="G29" s="415"/>
      <c r="H29" s="415"/>
      <c r="I29" s="415"/>
      <c r="J29" s="415"/>
      <c r="K29" s="415"/>
      <c r="L29" s="415"/>
      <c r="M29" s="416"/>
    </row>
    <row r="31" spans="1:13" ht="15.75" thickBot="1" x14ac:dyDescent="0.3">
      <c r="A31" s="202">
        <v>6</v>
      </c>
      <c r="B31" s="119" t="s">
        <v>339</v>
      </c>
    </row>
    <row r="32" spans="1:13" x14ac:dyDescent="0.25">
      <c r="B32" s="417"/>
      <c r="C32" s="418"/>
      <c r="D32" s="418"/>
      <c r="E32" s="418"/>
      <c r="F32" s="418"/>
      <c r="G32" s="418"/>
      <c r="H32" s="418"/>
      <c r="I32" s="418"/>
      <c r="J32" s="418"/>
      <c r="K32" s="418"/>
      <c r="L32" s="418"/>
      <c r="M32" s="419"/>
    </row>
    <row r="33" spans="2:13" x14ac:dyDescent="0.25">
      <c r="B33" s="420"/>
      <c r="C33" s="421"/>
      <c r="D33" s="421"/>
      <c r="E33" s="421"/>
      <c r="F33" s="421"/>
      <c r="G33" s="421"/>
      <c r="H33" s="421"/>
      <c r="I33" s="421"/>
      <c r="J33" s="421"/>
      <c r="K33" s="421"/>
      <c r="L33" s="421"/>
      <c r="M33" s="422"/>
    </row>
    <row r="34" spans="2:13" x14ac:dyDescent="0.25">
      <c r="B34" s="420"/>
      <c r="C34" s="421"/>
      <c r="D34" s="421"/>
      <c r="E34" s="421"/>
      <c r="F34" s="421"/>
      <c r="G34" s="421"/>
      <c r="H34" s="421"/>
      <c r="I34" s="421"/>
      <c r="J34" s="421"/>
      <c r="K34" s="421"/>
      <c r="L34" s="421"/>
      <c r="M34" s="422"/>
    </row>
    <row r="35" spans="2:13" x14ac:dyDescent="0.25">
      <c r="B35" s="420"/>
      <c r="C35" s="421"/>
      <c r="D35" s="421"/>
      <c r="E35" s="421"/>
      <c r="F35" s="421"/>
      <c r="G35" s="421"/>
      <c r="H35" s="421"/>
      <c r="I35" s="421"/>
      <c r="J35" s="421"/>
      <c r="K35" s="421"/>
      <c r="L35" s="421"/>
      <c r="M35" s="422"/>
    </row>
    <row r="36" spans="2:13" ht="15.75" thickBot="1" x14ac:dyDescent="0.3">
      <c r="B36" s="423"/>
      <c r="C36" s="424"/>
      <c r="D36" s="424"/>
      <c r="E36" s="424"/>
      <c r="F36" s="424"/>
      <c r="G36" s="424"/>
      <c r="H36" s="424"/>
      <c r="I36" s="424"/>
      <c r="J36" s="424"/>
      <c r="K36" s="424"/>
      <c r="L36" s="424"/>
      <c r="M36" s="425"/>
    </row>
  </sheetData>
  <protectedRanges>
    <protectedRange sqref="B32:M36" name="Range4"/>
    <protectedRange sqref="B18:M22" name="Range2"/>
    <protectedRange sqref="B11:M15" name="Range1"/>
    <protectedRange sqref="B25:M29" name="Range3"/>
  </protectedRanges>
  <mergeCells count="5">
    <mergeCell ref="B2:M2"/>
    <mergeCell ref="B11:M15"/>
    <mergeCell ref="B18:M22"/>
    <mergeCell ref="B25:M29"/>
    <mergeCell ref="B32:M36"/>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'Qualitative Measures Lookup'!$U$3:$U$3</xm:f>
          </x14:formula1>
          <xm:sqref>F6 F8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FF0000"/>
  </sheetPr>
  <dimension ref="A2:G7"/>
  <sheetViews>
    <sheetView workbookViewId="0">
      <selection activeCell="Q22" sqref="Q22"/>
    </sheetView>
  </sheetViews>
  <sheetFormatPr defaultRowHeight="15" x14ac:dyDescent="0.25"/>
  <cols>
    <col min="3" max="7" width="18.28515625" customWidth="1"/>
  </cols>
  <sheetData>
    <row r="2" spans="1:7" ht="25.5" x14ac:dyDescent="0.25">
      <c r="A2" s="426" t="s">
        <v>314</v>
      </c>
      <c r="B2" s="427"/>
      <c r="C2" s="188" t="s">
        <v>216</v>
      </c>
      <c r="D2" s="188" t="s">
        <v>216</v>
      </c>
      <c r="E2" s="188" t="s">
        <v>216</v>
      </c>
      <c r="F2" s="188" t="s">
        <v>216</v>
      </c>
      <c r="G2" s="188" t="s">
        <v>217</v>
      </c>
    </row>
    <row r="3" spans="1:7" x14ac:dyDescent="0.25">
      <c r="A3" s="25" t="s">
        <v>316</v>
      </c>
      <c r="B3" s="25" t="s">
        <v>315</v>
      </c>
    </row>
    <row r="4" spans="1:7" x14ac:dyDescent="0.25">
      <c r="A4" s="23">
        <v>0</v>
      </c>
      <c r="B4" s="23">
        <v>10</v>
      </c>
      <c r="C4" s="27" t="e">
        <f>IF(#REF!="BYOD",IF(#REF!="Acquisition",IF(AND(#REF!&gt;0,#REF!&gt;-0.1),IFERROR(VLOOKUP(#REF!,'LOOKUP_ACQ_&lt;10'!$J:$AC,MATCH("BYOD"&amp;#REF!,'LOOKUP_ACQ_21-30'!$13:$13,0)-9,FALSE),"Select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D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E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F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G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row>
    <row r="5" spans="1:7" x14ac:dyDescent="0.25">
      <c r="A5" s="23">
        <v>11</v>
      </c>
      <c r="B5" s="23">
        <v>20</v>
      </c>
      <c r="C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D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E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F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G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row>
    <row r="6" spans="1:7" x14ac:dyDescent="0.25">
      <c r="A6" s="23">
        <v>21</v>
      </c>
      <c r="B6" s="23">
        <v>30</v>
      </c>
      <c r="C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D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E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F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G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row>
    <row r="7" spans="1:7" x14ac:dyDescent="0.25">
      <c r="A7" s="23">
        <v>31</v>
      </c>
      <c r="B7" s="23">
        <v>9999999</v>
      </c>
      <c r="C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D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E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F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G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row>
  </sheetData>
  <mergeCells count="1">
    <mergeCell ref="A2:B2"/>
  </mergeCell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0000"/>
  </sheetPr>
  <dimension ref="A1:AH53"/>
  <sheetViews>
    <sheetView topLeftCell="C1"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0.19</v>
      </c>
      <c r="C4" s="31">
        <v>0.26</v>
      </c>
      <c r="D4" s="31">
        <v>0.26</v>
      </c>
      <c r="E4" s="31">
        <v>0.3</v>
      </c>
    </row>
    <row r="5" spans="1:33" x14ac:dyDescent="0.25">
      <c r="B5" s="1"/>
      <c r="E5" s="26"/>
      <c r="F5" s="28">
        <v>1</v>
      </c>
      <c r="G5" s="27">
        <v>2</v>
      </c>
      <c r="H5" s="27">
        <f>+G5+1</f>
        <v>3</v>
      </c>
      <c r="I5" s="27">
        <f t="shared" ref="I5:AE8"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si="0"/>
        <v>20</v>
      </c>
      <c r="Z5" s="28">
        <f t="shared" si="0"/>
        <v>21</v>
      </c>
      <c r="AA5" s="28">
        <f t="shared" si="0"/>
        <v>22</v>
      </c>
      <c r="AB5" s="28">
        <f t="shared" si="0"/>
        <v>23</v>
      </c>
      <c r="AC5" s="28">
        <f t="shared" si="0"/>
        <v>24</v>
      </c>
      <c r="AD5" s="27">
        <f t="shared" si="0"/>
        <v>25</v>
      </c>
      <c r="AE5" s="27">
        <f t="shared" si="0"/>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0"/>
        <v>19</v>
      </c>
      <c r="Z6" s="28">
        <f t="shared" si="0"/>
        <v>20</v>
      </c>
      <c r="AA6" s="28">
        <f t="shared" si="0"/>
        <v>21</v>
      </c>
      <c r="AB6" s="28">
        <f t="shared" si="0"/>
        <v>22</v>
      </c>
      <c r="AC6" s="28">
        <f t="shared" si="0"/>
        <v>23</v>
      </c>
      <c r="AD6" s="27">
        <f t="shared" si="0"/>
        <v>24</v>
      </c>
      <c r="AE6" s="27">
        <f t="shared" ref="AE6:AG9" si="1">+AD6+1</f>
        <v>25</v>
      </c>
      <c r="AF6" s="27">
        <f t="shared" si="1"/>
        <v>26</v>
      </c>
      <c r="AG6" s="27">
        <f t="shared" si="1"/>
        <v>27</v>
      </c>
    </row>
    <row r="7" spans="1:33" x14ac:dyDescent="0.25">
      <c r="B7" s="1"/>
      <c r="E7" s="26"/>
      <c r="F7" s="26"/>
      <c r="G7" s="26"/>
      <c r="H7" s="28">
        <v>1</v>
      </c>
      <c r="I7" s="27">
        <v>2</v>
      </c>
      <c r="J7" s="27">
        <f>+I7+1</f>
        <v>3</v>
      </c>
      <c r="K7" s="28">
        <f t="shared" ref="H7:AD9" si="2">+J7+1</f>
        <v>4</v>
      </c>
      <c r="L7" s="28">
        <f t="shared" si="2"/>
        <v>5</v>
      </c>
      <c r="M7" s="28">
        <f t="shared" si="2"/>
        <v>6</v>
      </c>
      <c r="N7" s="28">
        <f t="shared" si="2"/>
        <v>7</v>
      </c>
      <c r="O7" s="27">
        <f t="shared" si="2"/>
        <v>8</v>
      </c>
      <c r="P7" s="28">
        <f t="shared" si="2"/>
        <v>9</v>
      </c>
      <c r="Q7" s="28">
        <f t="shared" si="2"/>
        <v>10</v>
      </c>
      <c r="R7" s="28">
        <f t="shared" si="2"/>
        <v>11</v>
      </c>
      <c r="S7" s="28">
        <f t="shared" si="2"/>
        <v>12</v>
      </c>
      <c r="T7" s="27">
        <f t="shared" si="2"/>
        <v>13</v>
      </c>
      <c r="U7" s="28">
        <f t="shared" si="2"/>
        <v>14</v>
      </c>
      <c r="V7" s="28">
        <f t="shared" si="2"/>
        <v>15</v>
      </c>
      <c r="W7" s="28">
        <f t="shared" si="2"/>
        <v>16</v>
      </c>
      <c r="X7" s="28">
        <f t="shared" si="2"/>
        <v>17</v>
      </c>
      <c r="Y7" s="27">
        <f t="shared" si="2"/>
        <v>18</v>
      </c>
      <c r="Z7" s="28">
        <f t="shared" si="2"/>
        <v>19</v>
      </c>
      <c r="AA7" s="28">
        <f t="shared" si="2"/>
        <v>20</v>
      </c>
      <c r="AB7" s="28">
        <f t="shared" si="2"/>
        <v>21</v>
      </c>
      <c r="AC7" s="28">
        <f t="shared" si="2"/>
        <v>22</v>
      </c>
      <c r="AD7" s="27">
        <f t="shared" si="0"/>
        <v>23</v>
      </c>
      <c r="AE7" s="27"/>
      <c r="AF7" s="27"/>
      <c r="AG7" s="27">
        <f t="shared" si="1"/>
        <v>1</v>
      </c>
    </row>
    <row r="8" spans="1:33" x14ac:dyDescent="0.25">
      <c r="B8" s="1"/>
      <c r="E8" s="26"/>
      <c r="F8" s="26"/>
      <c r="G8" s="26"/>
      <c r="H8" s="26"/>
      <c r="I8" s="28">
        <v>1</v>
      </c>
      <c r="J8" s="27">
        <v>2</v>
      </c>
      <c r="K8" s="28">
        <f>+J8+1</f>
        <v>3</v>
      </c>
      <c r="L8" s="28">
        <f t="shared" si="2"/>
        <v>4</v>
      </c>
      <c r="M8" s="28">
        <f t="shared" si="2"/>
        <v>5</v>
      </c>
      <c r="N8" s="28">
        <f t="shared" si="2"/>
        <v>6</v>
      </c>
      <c r="O8" s="27">
        <f t="shared" si="2"/>
        <v>7</v>
      </c>
      <c r="P8" s="28">
        <f t="shared" si="2"/>
        <v>8</v>
      </c>
      <c r="Q8" s="28">
        <f t="shared" si="2"/>
        <v>9</v>
      </c>
      <c r="R8" s="28">
        <f t="shared" si="2"/>
        <v>10</v>
      </c>
      <c r="S8" s="28">
        <f t="shared" si="2"/>
        <v>11</v>
      </c>
      <c r="T8" s="27">
        <f t="shared" si="2"/>
        <v>12</v>
      </c>
      <c r="U8" s="28">
        <f t="shared" si="2"/>
        <v>13</v>
      </c>
      <c r="V8" s="28">
        <f t="shared" si="2"/>
        <v>14</v>
      </c>
      <c r="W8" s="28">
        <f t="shared" si="2"/>
        <v>15</v>
      </c>
      <c r="X8" s="28">
        <f t="shared" si="2"/>
        <v>16</v>
      </c>
      <c r="Y8" s="27">
        <f t="shared" si="2"/>
        <v>17</v>
      </c>
      <c r="Z8" s="28">
        <f t="shared" si="2"/>
        <v>18</v>
      </c>
      <c r="AA8" s="28">
        <f t="shared" si="2"/>
        <v>19</v>
      </c>
      <c r="AB8" s="28">
        <f t="shared" si="2"/>
        <v>20</v>
      </c>
      <c r="AC8" s="28">
        <f t="shared" si="2"/>
        <v>21</v>
      </c>
      <c r="AD8" s="27">
        <f t="shared" si="0"/>
        <v>22</v>
      </c>
      <c r="AE8" s="27">
        <f t="shared" si="1"/>
        <v>23</v>
      </c>
      <c r="AF8" s="27">
        <f t="shared" si="1"/>
        <v>24</v>
      </c>
      <c r="AG8" s="27">
        <f t="shared" si="1"/>
        <v>25</v>
      </c>
    </row>
    <row r="9" spans="1:33" x14ac:dyDescent="0.25">
      <c r="B9" s="1"/>
      <c r="E9" s="28">
        <v>1</v>
      </c>
      <c r="F9" s="27">
        <v>2</v>
      </c>
      <c r="G9" s="27">
        <f>+F9+1</f>
        <v>3</v>
      </c>
      <c r="H9" s="27">
        <f t="shared" si="2"/>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2"/>
        <v>20</v>
      </c>
      <c r="Y9" s="27">
        <f t="shared" si="2"/>
        <v>21</v>
      </c>
      <c r="Z9" s="28">
        <f t="shared" si="2"/>
        <v>22</v>
      </c>
      <c r="AA9" s="28">
        <f t="shared" si="2"/>
        <v>23</v>
      </c>
      <c r="AB9" s="28">
        <f t="shared" si="2"/>
        <v>24</v>
      </c>
      <c r="AC9" s="28">
        <f t="shared" si="2"/>
        <v>25</v>
      </c>
      <c r="AD9" s="27">
        <f t="shared" si="2"/>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ref="H10:AC11" si="3">+G10+1</f>
        <v>8</v>
      </c>
      <c r="I10" s="27">
        <f t="shared" si="3"/>
        <v>9</v>
      </c>
      <c r="J10" s="27">
        <f t="shared" si="3"/>
        <v>10</v>
      </c>
      <c r="K10" s="27">
        <f t="shared" si="3"/>
        <v>11</v>
      </c>
      <c r="L10" s="27">
        <f t="shared" si="3"/>
        <v>12</v>
      </c>
      <c r="M10" s="27">
        <f t="shared" si="3"/>
        <v>13</v>
      </c>
      <c r="N10" s="27">
        <f t="shared" si="3"/>
        <v>14</v>
      </c>
      <c r="O10" s="27">
        <f t="shared" si="3"/>
        <v>15</v>
      </c>
      <c r="P10" s="27">
        <f t="shared" si="3"/>
        <v>16</v>
      </c>
      <c r="Q10" s="27">
        <f t="shared" si="3"/>
        <v>17</v>
      </c>
      <c r="R10" s="27">
        <f t="shared" si="3"/>
        <v>18</v>
      </c>
      <c r="S10" s="27">
        <f t="shared" si="3"/>
        <v>19</v>
      </c>
      <c r="T10" s="27">
        <f t="shared" si="3"/>
        <v>20</v>
      </c>
      <c r="U10" s="27">
        <f t="shared" si="3"/>
        <v>21</v>
      </c>
      <c r="V10" s="27">
        <f t="shared" si="3"/>
        <v>22</v>
      </c>
      <c r="W10" s="27">
        <f t="shared" si="3"/>
        <v>23</v>
      </c>
      <c r="X10" s="27">
        <f t="shared" si="3"/>
        <v>24</v>
      </c>
      <c r="Y10" s="27">
        <f t="shared" si="3"/>
        <v>25</v>
      </c>
      <c r="Z10" s="27">
        <f t="shared" si="3"/>
        <v>26</v>
      </c>
      <c r="AA10" s="27">
        <f t="shared" si="3"/>
        <v>27</v>
      </c>
      <c r="AB10" s="27">
        <f t="shared" si="3"/>
        <v>28</v>
      </c>
      <c r="AC10" s="27">
        <f t="shared" si="3"/>
        <v>29</v>
      </c>
    </row>
    <row r="11" spans="1:33" x14ac:dyDescent="0.25">
      <c r="B11" s="1"/>
      <c r="E11" s="28"/>
      <c r="F11" s="27"/>
      <c r="G11" s="27"/>
      <c r="H11" s="27"/>
      <c r="I11" s="27"/>
      <c r="J11" s="27">
        <v>1</v>
      </c>
      <c r="K11" s="27">
        <f t="shared" si="3"/>
        <v>2</v>
      </c>
      <c r="L11" s="27">
        <f t="shared" ref="L11:AF11" si="4">+K11+1</f>
        <v>3</v>
      </c>
      <c r="M11" s="27">
        <f t="shared" si="4"/>
        <v>4</v>
      </c>
      <c r="N11" s="27">
        <f t="shared" si="4"/>
        <v>5</v>
      </c>
      <c r="O11" s="27">
        <f t="shared" si="4"/>
        <v>6</v>
      </c>
      <c r="P11" s="27">
        <f t="shared" si="4"/>
        <v>7</v>
      </c>
      <c r="Q11" s="27">
        <f t="shared" si="4"/>
        <v>8</v>
      </c>
      <c r="R11" s="27">
        <f t="shared" si="4"/>
        <v>9</v>
      </c>
      <c r="S11" s="27">
        <f t="shared" si="4"/>
        <v>10</v>
      </c>
      <c r="T11" s="27">
        <f t="shared" si="4"/>
        <v>11</v>
      </c>
      <c r="U11" s="27">
        <f t="shared" si="4"/>
        <v>12</v>
      </c>
      <c r="V11" s="27">
        <f t="shared" si="4"/>
        <v>13</v>
      </c>
      <c r="W11" s="27">
        <f t="shared" si="4"/>
        <v>14</v>
      </c>
      <c r="X11" s="27">
        <f t="shared" si="4"/>
        <v>15</v>
      </c>
      <c r="Y11" s="27">
        <f t="shared" si="4"/>
        <v>16</v>
      </c>
      <c r="Z11" s="27">
        <f t="shared" si="4"/>
        <v>17</v>
      </c>
      <c r="AA11" s="27">
        <f t="shared" si="4"/>
        <v>18</v>
      </c>
      <c r="AB11" s="27">
        <f t="shared" si="4"/>
        <v>19</v>
      </c>
      <c r="AC11" s="27">
        <f t="shared" si="4"/>
        <v>20</v>
      </c>
      <c r="AD11" s="27">
        <f t="shared" si="4"/>
        <v>21</v>
      </c>
      <c r="AE11" s="27">
        <f t="shared" si="4"/>
        <v>22</v>
      </c>
      <c r="AF11" s="27">
        <f t="shared" si="4"/>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0.19</v>
      </c>
      <c r="L18" s="20">
        <f>$C$4</f>
        <v>0.26</v>
      </c>
      <c r="M18" s="20">
        <f>$D$4</f>
        <v>0.26</v>
      </c>
      <c r="N18" s="20">
        <f>$E$4</f>
        <v>0.3</v>
      </c>
      <c r="O18" s="20"/>
      <c r="P18" s="20">
        <f>$B$4</f>
        <v>0.19</v>
      </c>
      <c r="Q18" s="20">
        <f>$C$4</f>
        <v>0.26</v>
      </c>
      <c r="R18" s="20">
        <f>$D$4</f>
        <v>0.26</v>
      </c>
      <c r="S18" s="20">
        <f>$E$4</f>
        <v>0.3</v>
      </c>
      <c r="T18" s="20"/>
      <c r="U18" s="20">
        <f>$B$4</f>
        <v>0.19</v>
      </c>
      <c r="V18" s="20">
        <f>$C$4</f>
        <v>0.26</v>
      </c>
      <c r="W18" s="20">
        <f>$D$4</f>
        <v>0.26</v>
      </c>
      <c r="X18" s="20">
        <f>$E$4</f>
        <v>0.3</v>
      </c>
      <c r="Y18" s="20"/>
      <c r="Z18" s="20">
        <f>$B$4</f>
        <v>0.19</v>
      </c>
      <c r="AA18" s="20">
        <f>$C$4</f>
        <v>0.26</v>
      </c>
      <c r="AB18" s="20">
        <f>$D$4</f>
        <v>0.26</v>
      </c>
      <c r="AC18" s="20">
        <f>$E$4</f>
        <v>0.3</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5">+$E21*G$18</f>
        <v>0</v>
      </c>
      <c r="H21" s="34">
        <f t="shared" si="5"/>
        <v>0</v>
      </c>
      <c r="I21" s="34">
        <f t="shared" si="5"/>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6">ROUND(($J21*AA$18)/10,0)*10</f>
        <v>0</v>
      </c>
      <c r="AB21" s="36">
        <f t="shared" si="6"/>
        <v>0</v>
      </c>
      <c r="AC21" s="36">
        <f t="shared" si="6"/>
        <v>0</v>
      </c>
      <c r="AD21" s="34"/>
      <c r="AE21" s="24">
        <v>0</v>
      </c>
      <c r="AF21" s="24">
        <v>0</v>
      </c>
      <c r="AH21" s="2" t="s">
        <v>4</v>
      </c>
    </row>
    <row r="22" spans="1:34" s="24" customFormat="1" ht="22.5" customHeight="1" thickBot="1" x14ac:dyDescent="0.3">
      <c r="A22" s="24">
        <v>2</v>
      </c>
      <c r="B22" s="33">
        <f t="shared" ref="B22:B44" si="7">+C21+0.01</f>
        <v>10</v>
      </c>
      <c r="C22" s="33">
        <v>19.989999999999998</v>
      </c>
      <c r="D22" s="24" t="str">
        <f>"$"&amp;B22&amp;" - $"&amp;C22</f>
        <v>$10 - $19.99</v>
      </c>
      <c r="E22" s="34">
        <v>0</v>
      </c>
      <c r="F22" s="34">
        <f t="shared" ref="F22:I38" si="8">+$E22*F$18</f>
        <v>0</v>
      </c>
      <c r="G22" s="34">
        <f t="shared" si="5"/>
        <v>0</v>
      </c>
      <c r="H22" s="34">
        <f t="shared" si="5"/>
        <v>0</v>
      </c>
      <c r="I22" s="34">
        <f t="shared" si="5"/>
        <v>0</v>
      </c>
      <c r="J22" s="34">
        <v>0</v>
      </c>
      <c r="K22" s="36">
        <f t="shared" ref="K22:N52" si="9">ROUND(($F22*K$18)/5,0)*5</f>
        <v>0</v>
      </c>
      <c r="L22" s="36">
        <f t="shared" si="9"/>
        <v>0</v>
      </c>
      <c r="M22" s="36">
        <f t="shared" si="9"/>
        <v>0</v>
      </c>
      <c r="N22" s="36">
        <f t="shared" si="9"/>
        <v>0</v>
      </c>
      <c r="O22" s="37"/>
      <c r="P22" s="38">
        <f t="shared" ref="P22:S38" si="10">ROUND(($G22*P$18)/5,0)*5</f>
        <v>0</v>
      </c>
      <c r="Q22" s="38">
        <f t="shared" si="10"/>
        <v>0</v>
      </c>
      <c r="R22" s="38">
        <f t="shared" si="10"/>
        <v>0</v>
      </c>
      <c r="S22" s="38">
        <f t="shared" si="10"/>
        <v>0</v>
      </c>
      <c r="T22" s="37"/>
      <c r="U22" s="38">
        <f t="shared" ref="U22:X38" si="11">ROUND(($H22*U$18)/10,0)*10</f>
        <v>0</v>
      </c>
      <c r="V22" s="38">
        <f t="shared" si="11"/>
        <v>0</v>
      </c>
      <c r="W22" s="38">
        <f t="shared" si="11"/>
        <v>0</v>
      </c>
      <c r="X22" s="38">
        <f t="shared" si="11"/>
        <v>0</v>
      </c>
      <c r="Y22" s="37"/>
      <c r="Z22" s="36">
        <f t="shared" ref="Z22:AC52" si="12">ROUND(($J22*Z$18)/10,0)*10</f>
        <v>0</v>
      </c>
      <c r="AA22" s="36">
        <f t="shared" si="6"/>
        <v>0</v>
      </c>
      <c r="AB22" s="36">
        <f t="shared" si="6"/>
        <v>0</v>
      </c>
      <c r="AC22" s="36">
        <f t="shared" si="6"/>
        <v>0</v>
      </c>
      <c r="AD22" s="34"/>
      <c r="AE22" s="24">
        <v>12</v>
      </c>
      <c r="AF22" s="24">
        <v>12</v>
      </c>
      <c r="AH22" s="2" t="s">
        <v>360</v>
      </c>
    </row>
    <row r="23" spans="1:34" s="24" customFormat="1" ht="22.5" customHeight="1" thickTop="1" x14ac:dyDescent="0.25">
      <c r="A23" s="24">
        <v>3</v>
      </c>
      <c r="B23" s="33">
        <f t="shared" si="7"/>
        <v>20</v>
      </c>
      <c r="C23" s="33">
        <v>29.99</v>
      </c>
      <c r="D23" s="24" t="str">
        <f t="shared" ref="D23:D52" si="13">"$"&amp;B23&amp;" - $"&amp;C23</f>
        <v>$20 - $29.99</v>
      </c>
      <c r="E23" s="34">
        <f t="shared" ref="E23:E52" si="14">+AVERAGE(B23:C23)</f>
        <v>24.994999999999997</v>
      </c>
      <c r="F23" s="34">
        <f t="shared" si="8"/>
        <v>299.93999999999994</v>
      </c>
      <c r="G23" s="34">
        <f t="shared" si="5"/>
        <v>599.87999999999988</v>
      </c>
      <c r="H23" s="34">
        <f t="shared" si="5"/>
        <v>899.81999999999994</v>
      </c>
      <c r="I23" s="34">
        <f t="shared" si="5"/>
        <v>1199.7599999999998</v>
      </c>
      <c r="J23" s="34">
        <f>+$E23*J$17</f>
        <v>499.9</v>
      </c>
      <c r="K23" s="36">
        <f>ROUND(($F23*K$18)/5,0)*5</f>
        <v>55</v>
      </c>
      <c r="L23" s="36">
        <f t="shared" si="9"/>
        <v>80</v>
      </c>
      <c r="M23" s="36">
        <f t="shared" si="9"/>
        <v>80</v>
      </c>
      <c r="N23" s="36">
        <f t="shared" si="9"/>
        <v>90</v>
      </c>
      <c r="O23" s="37"/>
      <c r="P23" s="39">
        <f t="shared" si="10"/>
        <v>115</v>
      </c>
      <c r="Q23" s="40">
        <f t="shared" si="10"/>
        <v>155</v>
      </c>
      <c r="R23" s="40">
        <f t="shared" si="10"/>
        <v>155</v>
      </c>
      <c r="S23" s="41">
        <f t="shared" si="10"/>
        <v>180</v>
      </c>
      <c r="T23" s="37"/>
      <c r="U23" s="39">
        <f t="shared" si="11"/>
        <v>170</v>
      </c>
      <c r="V23" s="40">
        <f t="shared" si="11"/>
        <v>230</v>
      </c>
      <c r="W23" s="40">
        <f t="shared" si="11"/>
        <v>230</v>
      </c>
      <c r="X23" s="41">
        <f t="shared" si="11"/>
        <v>270</v>
      </c>
      <c r="Y23" s="37"/>
      <c r="Z23" s="36">
        <f t="shared" si="12"/>
        <v>90</v>
      </c>
      <c r="AA23" s="36">
        <f t="shared" si="6"/>
        <v>130</v>
      </c>
      <c r="AB23" s="36">
        <f t="shared" si="6"/>
        <v>130</v>
      </c>
      <c r="AC23" s="36">
        <f t="shared" si="6"/>
        <v>150</v>
      </c>
      <c r="AD23" s="34"/>
      <c r="AE23" s="24">
        <v>24</v>
      </c>
      <c r="AF23" s="24">
        <v>24</v>
      </c>
      <c r="AH23" s="2" t="s">
        <v>361</v>
      </c>
    </row>
    <row r="24" spans="1:34" s="24" customFormat="1" ht="22.5" customHeight="1" x14ac:dyDescent="0.25">
      <c r="A24" s="24">
        <v>4</v>
      </c>
      <c r="B24" s="33">
        <f t="shared" si="7"/>
        <v>30</v>
      </c>
      <c r="C24" s="33">
        <v>32.49</v>
      </c>
      <c r="D24" s="24" t="str">
        <f t="shared" si="13"/>
        <v>$30 - $32.49</v>
      </c>
      <c r="E24" s="34">
        <f t="shared" si="14"/>
        <v>31.245000000000001</v>
      </c>
      <c r="F24" s="34">
        <f t="shared" si="8"/>
        <v>374.94</v>
      </c>
      <c r="G24" s="34">
        <f t="shared" si="5"/>
        <v>749.88</v>
      </c>
      <c r="H24" s="34">
        <f t="shared" si="5"/>
        <v>1124.82</v>
      </c>
      <c r="I24" s="34">
        <f t="shared" si="5"/>
        <v>1499.76</v>
      </c>
      <c r="J24" s="34">
        <f t="shared" ref="J24:J52" si="15">+$E24*J$17</f>
        <v>624.9</v>
      </c>
      <c r="K24" s="36">
        <f t="shared" si="9"/>
        <v>70</v>
      </c>
      <c r="L24" s="36">
        <f t="shared" si="9"/>
        <v>95</v>
      </c>
      <c r="M24" s="36">
        <f t="shared" si="9"/>
        <v>95</v>
      </c>
      <c r="N24" s="36">
        <f t="shared" si="9"/>
        <v>110</v>
      </c>
      <c r="O24" s="37"/>
      <c r="P24" s="42">
        <f t="shared" si="10"/>
        <v>140</v>
      </c>
      <c r="Q24" s="36">
        <f t="shared" si="10"/>
        <v>195</v>
      </c>
      <c r="R24" s="36">
        <f t="shared" si="10"/>
        <v>195</v>
      </c>
      <c r="S24" s="43">
        <f t="shared" si="10"/>
        <v>225</v>
      </c>
      <c r="T24" s="37"/>
      <c r="U24" s="42">
        <f t="shared" si="11"/>
        <v>210</v>
      </c>
      <c r="V24" s="36">
        <f t="shared" si="11"/>
        <v>290</v>
      </c>
      <c r="W24" s="36">
        <f t="shared" si="11"/>
        <v>290</v>
      </c>
      <c r="X24" s="43">
        <f t="shared" si="11"/>
        <v>340</v>
      </c>
      <c r="Y24" s="37"/>
      <c r="Z24" s="36">
        <f t="shared" si="12"/>
        <v>120</v>
      </c>
      <c r="AA24" s="36">
        <f t="shared" si="6"/>
        <v>160</v>
      </c>
      <c r="AB24" s="36">
        <f t="shared" si="6"/>
        <v>160</v>
      </c>
      <c r="AC24" s="36">
        <f t="shared" si="6"/>
        <v>190</v>
      </c>
      <c r="AD24" s="34"/>
      <c r="AE24" s="24">
        <v>36</v>
      </c>
      <c r="AF24" s="24">
        <v>36</v>
      </c>
    </row>
    <row r="25" spans="1:34" s="24" customFormat="1" ht="22.5" customHeight="1" x14ac:dyDescent="0.25">
      <c r="A25" s="24">
        <v>5</v>
      </c>
      <c r="B25" s="33">
        <f t="shared" si="7"/>
        <v>32.5</v>
      </c>
      <c r="C25" s="33">
        <f t="shared" ref="C25:C30" si="16">+C24+2.5</f>
        <v>34.99</v>
      </c>
      <c r="D25" s="24" t="str">
        <f t="shared" si="13"/>
        <v>$32.5 - $34.99</v>
      </c>
      <c r="E25" s="34">
        <f t="shared" si="14"/>
        <v>33.745000000000005</v>
      </c>
      <c r="F25" s="34">
        <f t="shared" si="8"/>
        <v>404.94000000000005</v>
      </c>
      <c r="G25" s="34">
        <f t="shared" si="5"/>
        <v>809.88000000000011</v>
      </c>
      <c r="H25" s="34">
        <f t="shared" si="5"/>
        <v>1214.8200000000002</v>
      </c>
      <c r="I25" s="34">
        <f t="shared" si="5"/>
        <v>1619.7600000000002</v>
      </c>
      <c r="J25" s="34">
        <f t="shared" si="15"/>
        <v>674.90000000000009</v>
      </c>
      <c r="K25" s="36">
        <f t="shared" si="9"/>
        <v>75</v>
      </c>
      <c r="L25" s="36">
        <f t="shared" si="9"/>
        <v>105</v>
      </c>
      <c r="M25" s="36">
        <f t="shared" si="9"/>
        <v>105</v>
      </c>
      <c r="N25" s="36">
        <f t="shared" si="9"/>
        <v>120</v>
      </c>
      <c r="O25" s="37"/>
      <c r="P25" s="42">
        <f t="shared" si="10"/>
        <v>155</v>
      </c>
      <c r="Q25" s="36">
        <f t="shared" si="10"/>
        <v>210</v>
      </c>
      <c r="R25" s="36">
        <f t="shared" si="10"/>
        <v>210</v>
      </c>
      <c r="S25" s="43">
        <f t="shared" si="10"/>
        <v>245</v>
      </c>
      <c r="T25" s="37"/>
      <c r="U25" s="42">
        <f t="shared" si="11"/>
        <v>230</v>
      </c>
      <c r="V25" s="36">
        <f t="shared" si="11"/>
        <v>320</v>
      </c>
      <c r="W25" s="36">
        <f t="shared" si="11"/>
        <v>320</v>
      </c>
      <c r="X25" s="43">
        <f t="shared" si="11"/>
        <v>360</v>
      </c>
      <c r="Y25" s="37"/>
      <c r="Z25" s="36">
        <f t="shared" si="12"/>
        <v>130</v>
      </c>
      <c r="AA25" s="36">
        <f t="shared" si="6"/>
        <v>180</v>
      </c>
      <c r="AB25" s="36">
        <f t="shared" si="6"/>
        <v>180</v>
      </c>
      <c r="AC25" s="36">
        <f t="shared" si="6"/>
        <v>200</v>
      </c>
      <c r="AD25" s="34"/>
    </row>
    <row r="26" spans="1:34" s="24" customFormat="1" ht="22.5" customHeight="1" x14ac:dyDescent="0.25">
      <c r="A26" s="24">
        <v>6</v>
      </c>
      <c r="B26" s="33">
        <f t="shared" si="7"/>
        <v>35</v>
      </c>
      <c r="C26" s="33">
        <f t="shared" si="16"/>
        <v>37.49</v>
      </c>
      <c r="D26" s="24" t="str">
        <f t="shared" si="13"/>
        <v>$35 - $37.49</v>
      </c>
      <c r="E26" s="34">
        <f t="shared" si="14"/>
        <v>36.245000000000005</v>
      </c>
      <c r="F26" s="34">
        <f t="shared" si="8"/>
        <v>434.94000000000005</v>
      </c>
      <c r="G26" s="34">
        <f t="shared" si="5"/>
        <v>869.88000000000011</v>
      </c>
      <c r="H26" s="34">
        <f t="shared" si="5"/>
        <v>1304.8200000000002</v>
      </c>
      <c r="I26" s="34">
        <f t="shared" si="5"/>
        <v>1739.7600000000002</v>
      </c>
      <c r="J26" s="34">
        <f t="shared" si="15"/>
        <v>724.90000000000009</v>
      </c>
      <c r="K26" s="36">
        <f t="shared" si="9"/>
        <v>85</v>
      </c>
      <c r="L26" s="36">
        <f t="shared" si="9"/>
        <v>115</v>
      </c>
      <c r="M26" s="36">
        <f t="shared" si="9"/>
        <v>115</v>
      </c>
      <c r="N26" s="36">
        <f t="shared" si="9"/>
        <v>130</v>
      </c>
      <c r="O26" s="37"/>
      <c r="P26" s="42">
        <f t="shared" si="10"/>
        <v>165</v>
      </c>
      <c r="Q26" s="36">
        <f t="shared" si="10"/>
        <v>225</v>
      </c>
      <c r="R26" s="36">
        <f t="shared" si="10"/>
        <v>225</v>
      </c>
      <c r="S26" s="43">
        <f t="shared" si="10"/>
        <v>260</v>
      </c>
      <c r="T26" s="37"/>
      <c r="U26" s="42">
        <f t="shared" si="11"/>
        <v>250</v>
      </c>
      <c r="V26" s="36">
        <f t="shared" si="11"/>
        <v>340</v>
      </c>
      <c r="W26" s="36">
        <f t="shared" si="11"/>
        <v>340</v>
      </c>
      <c r="X26" s="43">
        <f t="shared" si="11"/>
        <v>390</v>
      </c>
      <c r="Y26" s="37"/>
      <c r="Z26" s="36">
        <f t="shared" si="12"/>
        <v>140</v>
      </c>
      <c r="AA26" s="36">
        <f t="shared" si="6"/>
        <v>190</v>
      </c>
      <c r="AB26" s="36">
        <f t="shared" si="6"/>
        <v>190</v>
      </c>
      <c r="AC26" s="36">
        <f t="shared" si="6"/>
        <v>220</v>
      </c>
      <c r="AD26" s="34"/>
    </row>
    <row r="27" spans="1:34" s="24" customFormat="1" ht="22.5" customHeight="1" x14ac:dyDescent="0.25">
      <c r="A27" s="24">
        <v>7</v>
      </c>
      <c r="B27" s="33">
        <f t="shared" si="7"/>
        <v>37.5</v>
      </c>
      <c r="C27" s="33">
        <f t="shared" si="16"/>
        <v>39.99</v>
      </c>
      <c r="D27" s="24" t="str">
        <f t="shared" si="13"/>
        <v>$37.5 - $39.99</v>
      </c>
      <c r="E27" s="34">
        <f t="shared" si="14"/>
        <v>38.745000000000005</v>
      </c>
      <c r="F27" s="34">
        <f t="shared" si="8"/>
        <v>464.94000000000005</v>
      </c>
      <c r="G27" s="34">
        <f t="shared" si="5"/>
        <v>929.88000000000011</v>
      </c>
      <c r="H27" s="34">
        <f t="shared" si="5"/>
        <v>1394.8200000000002</v>
      </c>
      <c r="I27" s="34">
        <f t="shared" si="5"/>
        <v>1859.7600000000002</v>
      </c>
      <c r="J27" s="34">
        <f t="shared" si="15"/>
        <v>774.90000000000009</v>
      </c>
      <c r="K27" s="36">
        <f t="shared" si="9"/>
        <v>90</v>
      </c>
      <c r="L27" s="36">
        <f t="shared" si="9"/>
        <v>120</v>
      </c>
      <c r="M27" s="36">
        <f t="shared" si="9"/>
        <v>120</v>
      </c>
      <c r="N27" s="36">
        <f t="shared" si="9"/>
        <v>140</v>
      </c>
      <c r="O27" s="37"/>
      <c r="P27" s="42">
        <f t="shared" si="10"/>
        <v>175</v>
      </c>
      <c r="Q27" s="36">
        <f t="shared" si="10"/>
        <v>240</v>
      </c>
      <c r="R27" s="36">
        <f t="shared" si="10"/>
        <v>240</v>
      </c>
      <c r="S27" s="43">
        <f t="shared" si="10"/>
        <v>280</v>
      </c>
      <c r="T27" s="37"/>
      <c r="U27" s="42">
        <f t="shared" si="11"/>
        <v>270</v>
      </c>
      <c r="V27" s="36">
        <f t="shared" si="11"/>
        <v>360</v>
      </c>
      <c r="W27" s="36">
        <f t="shared" si="11"/>
        <v>360</v>
      </c>
      <c r="X27" s="43">
        <f t="shared" si="11"/>
        <v>420</v>
      </c>
      <c r="Y27" s="37"/>
      <c r="Z27" s="36">
        <f t="shared" si="12"/>
        <v>150</v>
      </c>
      <c r="AA27" s="36">
        <f t="shared" si="6"/>
        <v>200</v>
      </c>
      <c r="AB27" s="36">
        <f t="shared" si="6"/>
        <v>200</v>
      </c>
      <c r="AC27" s="36">
        <f t="shared" si="6"/>
        <v>230</v>
      </c>
      <c r="AD27" s="34"/>
    </row>
    <row r="28" spans="1:34" s="24" customFormat="1" ht="22.5" customHeight="1" x14ac:dyDescent="0.25">
      <c r="A28" s="24">
        <v>8</v>
      </c>
      <c r="B28" s="33">
        <f t="shared" si="7"/>
        <v>40</v>
      </c>
      <c r="C28" s="33">
        <f t="shared" si="16"/>
        <v>42.49</v>
      </c>
      <c r="D28" s="24" t="str">
        <f t="shared" si="13"/>
        <v>$40 - $42.49</v>
      </c>
      <c r="E28" s="34">
        <f t="shared" si="14"/>
        <v>41.245000000000005</v>
      </c>
      <c r="F28" s="34">
        <f t="shared" si="8"/>
        <v>494.94000000000005</v>
      </c>
      <c r="G28" s="34">
        <f t="shared" si="5"/>
        <v>989.88000000000011</v>
      </c>
      <c r="H28" s="34">
        <f t="shared" si="5"/>
        <v>1484.8200000000002</v>
      </c>
      <c r="I28" s="34">
        <f t="shared" si="5"/>
        <v>1979.7600000000002</v>
      </c>
      <c r="J28" s="34">
        <f t="shared" si="15"/>
        <v>824.90000000000009</v>
      </c>
      <c r="K28" s="36">
        <f t="shared" si="9"/>
        <v>95</v>
      </c>
      <c r="L28" s="36">
        <f t="shared" si="9"/>
        <v>130</v>
      </c>
      <c r="M28" s="36">
        <f t="shared" si="9"/>
        <v>130</v>
      </c>
      <c r="N28" s="36">
        <f t="shared" si="9"/>
        <v>150</v>
      </c>
      <c r="O28" s="37"/>
      <c r="P28" s="42">
        <f t="shared" si="10"/>
        <v>190</v>
      </c>
      <c r="Q28" s="36">
        <f t="shared" si="10"/>
        <v>255</v>
      </c>
      <c r="R28" s="36">
        <f t="shared" si="10"/>
        <v>255</v>
      </c>
      <c r="S28" s="43">
        <f t="shared" si="10"/>
        <v>295</v>
      </c>
      <c r="T28" s="37"/>
      <c r="U28" s="42">
        <f t="shared" si="11"/>
        <v>280</v>
      </c>
      <c r="V28" s="36">
        <f t="shared" si="11"/>
        <v>390</v>
      </c>
      <c r="W28" s="36">
        <f t="shared" si="11"/>
        <v>390</v>
      </c>
      <c r="X28" s="43">
        <f t="shared" si="11"/>
        <v>450</v>
      </c>
      <c r="Y28" s="37"/>
      <c r="Z28" s="36">
        <f t="shared" si="12"/>
        <v>160</v>
      </c>
      <c r="AA28" s="36">
        <f t="shared" si="6"/>
        <v>210</v>
      </c>
      <c r="AB28" s="36">
        <f t="shared" si="6"/>
        <v>210</v>
      </c>
      <c r="AC28" s="36">
        <f t="shared" si="6"/>
        <v>250</v>
      </c>
      <c r="AD28" s="34"/>
    </row>
    <row r="29" spans="1:34" s="24" customFormat="1" ht="22.5" customHeight="1" x14ac:dyDescent="0.25">
      <c r="A29" s="24">
        <v>9</v>
      </c>
      <c r="B29" s="33">
        <f t="shared" si="7"/>
        <v>42.5</v>
      </c>
      <c r="C29" s="33">
        <f t="shared" si="16"/>
        <v>44.99</v>
      </c>
      <c r="D29" s="24" t="str">
        <f t="shared" si="13"/>
        <v>$42.5 - $44.99</v>
      </c>
      <c r="E29" s="34">
        <f t="shared" si="14"/>
        <v>43.745000000000005</v>
      </c>
      <c r="F29" s="34">
        <f t="shared" si="8"/>
        <v>524.94000000000005</v>
      </c>
      <c r="G29" s="34">
        <f t="shared" si="5"/>
        <v>1049.8800000000001</v>
      </c>
      <c r="H29" s="34">
        <f t="shared" si="5"/>
        <v>1574.8200000000002</v>
      </c>
      <c r="I29" s="34">
        <f t="shared" si="5"/>
        <v>2099.7600000000002</v>
      </c>
      <c r="J29" s="34">
        <f t="shared" si="15"/>
        <v>874.90000000000009</v>
      </c>
      <c r="K29" s="36">
        <f t="shared" si="9"/>
        <v>100</v>
      </c>
      <c r="L29" s="36">
        <f t="shared" si="9"/>
        <v>135</v>
      </c>
      <c r="M29" s="36">
        <f t="shared" si="9"/>
        <v>135</v>
      </c>
      <c r="N29" s="36">
        <f t="shared" si="9"/>
        <v>155</v>
      </c>
      <c r="O29" s="37"/>
      <c r="P29" s="42">
        <f t="shared" si="10"/>
        <v>200</v>
      </c>
      <c r="Q29" s="36">
        <f t="shared" si="10"/>
        <v>275</v>
      </c>
      <c r="R29" s="36">
        <f t="shared" si="10"/>
        <v>275</v>
      </c>
      <c r="S29" s="43">
        <f t="shared" si="10"/>
        <v>315</v>
      </c>
      <c r="T29" s="37"/>
      <c r="U29" s="42">
        <f t="shared" si="11"/>
        <v>300</v>
      </c>
      <c r="V29" s="36">
        <f t="shared" si="11"/>
        <v>410</v>
      </c>
      <c r="W29" s="36">
        <f t="shared" si="11"/>
        <v>410</v>
      </c>
      <c r="X29" s="43">
        <f t="shared" si="11"/>
        <v>470</v>
      </c>
      <c r="Y29" s="37"/>
      <c r="Z29" s="36">
        <f t="shared" si="12"/>
        <v>170</v>
      </c>
      <c r="AA29" s="36">
        <f t="shared" si="6"/>
        <v>230</v>
      </c>
      <c r="AB29" s="36">
        <f t="shared" si="6"/>
        <v>230</v>
      </c>
      <c r="AC29" s="36">
        <f t="shared" si="6"/>
        <v>260</v>
      </c>
      <c r="AD29" s="34"/>
    </row>
    <row r="30" spans="1:34" s="24" customFormat="1" ht="22.5" customHeight="1" x14ac:dyDescent="0.25">
      <c r="A30" s="24">
        <v>10</v>
      </c>
      <c r="B30" s="33">
        <f t="shared" si="7"/>
        <v>45</v>
      </c>
      <c r="C30" s="33">
        <f t="shared" si="16"/>
        <v>47.49</v>
      </c>
      <c r="D30" s="24" t="str">
        <f t="shared" si="13"/>
        <v>$45 - $47.49</v>
      </c>
      <c r="E30" s="34">
        <f t="shared" si="14"/>
        <v>46.245000000000005</v>
      </c>
      <c r="F30" s="34">
        <f t="shared" si="8"/>
        <v>554.94000000000005</v>
      </c>
      <c r="G30" s="34">
        <f t="shared" si="8"/>
        <v>1109.8800000000001</v>
      </c>
      <c r="H30" s="34">
        <f t="shared" si="8"/>
        <v>1664.8200000000002</v>
      </c>
      <c r="I30" s="34">
        <f t="shared" si="8"/>
        <v>2219.7600000000002</v>
      </c>
      <c r="J30" s="34">
        <f t="shared" si="15"/>
        <v>924.90000000000009</v>
      </c>
      <c r="K30" s="36">
        <f t="shared" si="9"/>
        <v>105</v>
      </c>
      <c r="L30" s="36">
        <f t="shared" si="9"/>
        <v>145</v>
      </c>
      <c r="M30" s="36">
        <f t="shared" si="9"/>
        <v>145</v>
      </c>
      <c r="N30" s="36">
        <f t="shared" si="9"/>
        <v>165</v>
      </c>
      <c r="O30" s="37"/>
      <c r="P30" s="42">
        <f t="shared" si="10"/>
        <v>210</v>
      </c>
      <c r="Q30" s="36">
        <f t="shared" si="10"/>
        <v>290</v>
      </c>
      <c r="R30" s="36">
        <f t="shared" si="10"/>
        <v>290</v>
      </c>
      <c r="S30" s="43">
        <f t="shared" si="10"/>
        <v>335</v>
      </c>
      <c r="T30" s="37"/>
      <c r="U30" s="42">
        <f t="shared" si="11"/>
        <v>320</v>
      </c>
      <c r="V30" s="36">
        <f t="shared" si="11"/>
        <v>430</v>
      </c>
      <c r="W30" s="36">
        <f t="shared" si="11"/>
        <v>430</v>
      </c>
      <c r="X30" s="43">
        <f t="shared" si="11"/>
        <v>500</v>
      </c>
      <c r="Y30" s="37"/>
      <c r="Z30" s="36">
        <f t="shared" si="12"/>
        <v>180</v>
      </c>
      <c r="AA30" s="36">
        <f t="shared" si="6"/>
        <v>240</v>
      </c>
      <c r="AB30" s="36">
        <f t="shared" si="6"/>
        <v>240</v>
      </c>
      <c r="AC30" s="36">
        <f t="shared" si="6"/>
        <v>280</v>
      </c>
      <c r="AD30" s="34"/>
    </row>
    <row r="31" spans="1:34" s="24" customFormat="1" ht="22.5" customHeight="1" x14ac:dyDescent="0.25">
      <c r="A31" s="24">
        <v>11</v>
      </c>
      <c r="B31" s="33">
        <f t="shared" si="7"/>
        <v>47.5</v>
      </c>
      <c r="C31" s="33">
        <v>54.99</v>
      </c>
      <c r="D31" s="24" t="str">
        <f t="shared" si="13"/>
        <v>$47.5 - $54.99</v>
      </c>
      <c r="E31" s="34">
        <f t="shared" si="14"/>
        <v>51.245000000000005</v>
      </c>
      <c r="F31" s="34">
        <f t="shared" si="8"/>
        <v>614.94000000000005</v>
      </c>
      <c r="G31" s="34">
        <f t="shared" si="8"/>
        <v>1229.8800000000001</v>
      </c>
      <c r="H31" s="34">
        <f t="shared" si="8"/>
        <v>1844.8200000000002</v>
      </c>
      <c r="I31" s="34">
        <f t="shared" si="8"/>
        <v>2459.7600000000002</v>
      </c>
      <c r="J31" s="34">
        <f t="shared" si="15"/>
        <v>1024.9000000000001</v>
      </c>
      <c r="K31" s="36">
        <f t="shared" si="9"/>
        <v>115</v>
      </c>
      <c r="L31" s="36">
        <f t="shared" si="9"/>
        <v>160</v>
      </c>
      <c r="M31" s="36">
        <f t="shared" si="9"/>
        <v>160</v>
      </c>
      <c r="N31" s="36">
        <f t="shared" si="9"/>
        <v>185</v>
      </c>
      <c r="O31" s="37"/>
      <c r="P31" s="42">
        <f t="shared" si="10"/>
        <v>235</v>
      </c>
      <c r="Q31" s="36">
        <f t="shared" si="10"/>
        <v>320</v>
      </c>
      <c r="R31" s="36">
        <f t="shared" si="10"/>
        <v>320</v>
      </c>
      <c r="S31" s="43">
        <f t="shared" si="10"/>
        <v>370</v>
      </c>
      <c r="T31" s="37"/>
      <c r="U31" s="42">
        <f t="shared" si="11"/>
        <v>350</v>
      </c>
      <c r="V31" s="36">
        <f t="shared" si="11"/>
        <v>480</v>
      </c>
      <c r="W31" s="36">
        <f t="shared" si="11"/>
        <v>480</v>
      </c>
      <c r="X31" s="43">
        <f t="shared" si="11"/>
        <v>550</v>
      </c>
      <c r="Y31" s="37"/>
      <c r="Z31" s="36">
        <f t="shared" si="12"/>
        <v>190</v>
      </c>
      <c r="AA31" s="36">
        <f t="shared" si="6"/>
        <v>270</v>
      </c>
      <c r="AB31" s="36">
        <f t="shared" si="6"/>
        <v>270</v>
      </c>
      <c r="AC31" s="36">
        <f t="shared" si="6"/>
        <v>310</v>
      </c>
      <c r="AD31" s="34"/>
    </row>
    <row r="32" spans="1:34" s="24" customFormat="1" ht="22.5" customHeight="1" x14ac:dyDescent="0.25">
      <c r="A32" s="24">
        <v>12</v>
      </c>
      <c r="B32" s="33">
        <f t="shared" si="7"/>
        <v>55</v>
      </c>
      <c r="C32" s="33">
        <f>+C31+5</f>
        <v>59.99</v>
      </c>
      <c r="D32" s="24" t="str">
        <f t="shared" si="13"/>
        <v>$55 - $59.99</v>
      </c>
      <c r="E32" s="34">
        <f t="shared" si="14"/>
        <v>57.495000000000005</v>
      </c>
      <c r="F32" s="34">
        <f t="shared" si="8"/>
        <v>689.94</v>
      </c>
      <c r="G32" s="34">
        <f t="shared" si="8"/>
        <v>1379.88</v>
      </c>
      <c r="H32" s="34">
        <f t="shared" si="8"/>
        <v>2069.8200000000002</v>
      </c>
      <c r="I32" s="34">
        <f t="shared" si="8"/>
        <v>2759.76</v>
      </c>
      <c r="J32" s="34">
        <f t="shared" si="15"/>
        <v>1149.9000000000001</v>
      </c>
      <c r="K32" s="36">
        <f t="shared" si="9"/>
        <v>130</v>
      </c>
      <c r="L32" s="36">
        <f t="shared" si="9"/>
        <v>180</v>
      </c>
      <c r="M32" s="36">
        <f t="shared" si="9"/>
        <v>180</v>
      </c>
      <c r="N32" s="36">
        <f t="shared" si="9"/>
        <v>205</v>
      </c>
      <c r="O32" s="37"/>
      <c r="P32" s="42">
        <f t="shared" si="10"/>
        <v>260</v>
      </c>
      <c r="Q32" s="36">
        <f t="shared" si="10"/>
        <v>360</v>
      </c>
      <c r="R32" s="36">
        <f t="shared" si="10"/>
        <v>360</v>
      </c>
      <c r="S32" s="43">
        <f t="shared" si="10"/>
        <v>415</v>
      </c>
      <c r="T32" s="37"/>
      <c r="U32" s="42">
        <f t="shared" si="11"/>
        <v>390</v>
      </c>
      <c r="V32" s="36">
        <f t="shared" si="11"/>
        <v>540</v>
      </c>
      <c r="W32" s="36">
        <f t="shared" si="11"/>
        <v>540</v>
      </c>
      <c r="X32" s="43">
        <f t="shared" si="11"/>
        <v>620</v>
      </c>
      <c r="Y32" s="37"/>
      <c r="Z32" s="36">
        <f t="shared" si="12"/>
        <v>220</v>
      </c>
      <c r="AA32" s="36">
        <f t="shared" si="6"/>
        <v>300</v>
      </c>
      <c r="AB32" s="36">
        <f t="shared" si="6"/>
        <v>300</v>
      </c>
      <c r="AC32" s="36">
        <f t="shared" si="6"/>
        <v>340</v>
      </c>
      <c r="AD32" s="34"/>
    </row>
    <row r="33" spans="1:30" s="24" customFormat="1" ht="22.5" customHeight="1" x14ac:dyDescent="0.25">
      <c r="A33" s="24">
        <v>13</v>
      </c>
      <c r="B33" s="33">
        <f t="shared" si="7"/>
        <v>60</v>
      </c>
      <c r="C33" s="33">
        <f>+C32+10</f>
        <v>69.990000000000009</v>
      </c>
      <c r="D33" s="24" t="str">
        <f t="shared" si="13"/>
        <v>$60 - $69.99</v>
      </c>
      <c r="E33" s="34">
        <f t="shared" si="14"/>
        <v>64.995000000000005</v>
      </c>
      <c r="F33" s="34">
        <f t="shared" si="8"/>
        <v>779.94</v>
      </c>
      <c r="G33" s="34">
        <f t="shared" si="8"/>
        <v>1559.88</v>
      </c>
      <c r="H33" s="34">
        <f t="shared" si="8"/>
        <v>2339.8200000000002</v>
      </c>
      <c r="I33" s="34">
        <f t="shared" si="8"/>
        <v>3119.76</v>
      </c>
      <c r="J33" s="34">
        <f t="shared" si="15"/>
        <v>1299.9000000000001</v>
      </c>
      <c r="K33" s="36">
        <f t="shared" si="9"/>
        <v>150</v>
      </c>
      <c r="L33" s="36">
        <f t="shared" si="9"/>
        <v>205</v>
      </c>
      <c r="M33" s="36">
        <f t="shared" si="9"/>
        <v>205</v>
      </c>
      <c r="N33" s="36">
        <f t="shared" si="9"/>
        <v>235</v>
      </c>
      <c r="O33" s="37"/>
      <c r="P33" s="42">
        <f t="shared" si="10"/>
        <v>295</v>
      </c>
      <c r="Q33" s="36">
        <f t="shared" si="10"/>
        <v>405</v>
      </c>
      <c r="R33" s="36">
        <f t="shared" si="10"/>
        <v>405</v>
      </c>
      <c r="S33" s="43">
        <f t="shared" si="10"/>
        <v>470</v>
      </c>
      <c r="T33" s="37"/>
      <c r="U33" s="42">
        <f t="shared" si="11"/>
        <v>440</v>
      </c>
      <c r="V33" s="36">
        <f t="shared" si="11"/>
        <v>610</v>
      </c>
      <c r="W33" s="36">
        <f t="shared" si="11"/>
        <v>610</v>
      </c>
      <c r="X33" s="43">
        <f t="shared" si="11"/>
        <v>700</v>
      </c>
      <c r="Y33" s="37"/>
      <c r="Z33" s="36">
        <f t="shared" si="12"/>
        <v>250</v>
      </c>
      <c r="AA33" s="36">
        <f t="shared" si="6"/>
        <v>340</v>
      </c>
      <c r="AB33" s="36">
        <f t="shared" si="6"/>
        <v>340</v>
      </c>
      <c r="AC33" s="36">
        <f t="shared" si="6"/>
        <v>390</v>
      </c>
      <c r="AD33" s="34"/>
    </row>
    <row r="34" spans="1:30" s="24" customFormat="1" ht="22.5" customHeight="1" x14ac:dyDescent="0.25">
      <c r="A34" s="24">
        <v>14</v>
      </c>
      <c r="B34" s="33">
        <f t="shared" si="7"/>
        <v>70.000000000000014</v>
      </c>
      <c r="C34" s="33">
        <f>+C33+10</f>
        <v>79.990000000000009</v>
      </c>
      <c r="D34" s="24" t="str">
        <f t="shared" si="13"/>
        <v>$70 - $79.99</v>
      </c>
      <c r="E34" s="34">
        <f t="shared" si="14"/>
        <v>74.995000000000005</v>
      </c>
      <c r="F34" s="34">
        <f t="shared" si="8"/>
        <v>899.94</v>
      </c>
      <c r="G34" s="34">
        <f t="shared" si="8"/>
        <v>1799.88</v>
      </c>
      <c r="H34" s="34">
        <f t="shared" si="8"/>
        <v>2699.82</v>
      </c>
      <c r="I34" s="34">
        <f t="shared" si="8"/>
        <v>3599.76</v>
      </c>
      <c r="J34" s="34">
        <f t="shared" si="15"/>
        <v>1499.9</v>
      </c>
      <c r="K34" s="36">
        <f t="shared" si="9"/>
        <v>170</v>
      </c>
      <c r="L34" s="36">
        <f t="shared" si="9"/>
        <v>235</v>
      </c>
      <c r="M34" s="36">
        <f t="shared" si="9"/>
        <v>235</v>
      </c>
      <c r="N34" s="36">
        <f t="shared" si="9"/>
        <v>270</v>
      </c>
      <c r="O34" s="37"/>
      <c r="P34" s="42">
        <f t="shared" si="10"/>
        <v>340</v>
      </c>
      <c r="Q34" s="36">
        <f t="shared" si="10"/>
        <v>470</v>
      </c>
      <c r="R34" s="36">
        <f t="shared" si="10"/>
        <v>470</v>
      </c>
      <c r="S34" s="43">
        <f t="shared" si="10"/>
        <v>540</v>
      </c>
      <c r="T34" s="37"/>
      <c r="U34" s="42">
        <f t="shared" si="11"/>
        <v>510</v>
      </c>
      <c r="V34" s="36">
        <f t="shared" si="11"/>
        <v>700</v>
      </c>
      <c r="W34" s="36">
        <f t="shared" si="11"/>
        <v>700</v>
      </c>
      <c r="X34" s="43">
        <f t="shared" si="11"/>
        <v>810</v>
      </c>
      <c r="Y34" s="37"/>
      <c r="Z34" s="36">
        <f t="shared" si="12"/>
        <v>280</v>
      </c>
      <c r="AA34" s="36">
        <f t="shared" si="6"/>
        <v>390</v>
      </c>
      <c r="AB34" s="36">
        <f t="shared" si="6"/>
        <v>390</v>
      </c>
      <c r="AC34" s="36">
        <f t="shared" si="6"/>
        <v>450</v>
      </c>
      <c r="AD34" s="34"/>
    </row>
    <row r="35" spans="1:30" s="24" customFormat="1" ht="22.5" customHeight="1" x14ac:dyDescent="0.25">
      <c r="A35" s="24">
        <v>15</v>
      </c>
      <c r="B35" s="33">
        <f t="shared" si="7"/>
        <v>80.000000000000014</v>
      </c>
      <c r="C35" s="33">
        <f>+C34+50</f>
        <v>129.99</v>
      </c>
      <c r="D35" s="24" t="str">
        <f t="shared" si="13"/>
        <v>$80 - $129.99</v>
      </c>
      <c r="E35" s="34">
        <f t="shared" si="14"/>
        <v>104.995</v>
      </c>
      <c r="F35" s="34">
        <f t="shared" si="8"/>
        <v>1259.94</v>
      </c>
      <c r="G35" s="34">
        <f t="shared" si="8"/>
        <v>2519.88</v>
      </c>
      <c r="H35" s="34">
        <f t="shared" si="8"/>
        <v>3779.82</v>
      </c>
      <c r="I35" s="34">
        <f t="shared" si="8"/>
        <v>5039.76</v>
      </c>
      <c r="J35" s="34">
        <f t="shared" si="15"/>
        <v>2099.9</v>
      </c>
      <c r="K35" s="36">
        <f t="shared" si="9"/>
        <v>240</v>
      </c>
      <c r="L35" s="36">
        <f t="shared" si="9"/>
        <v>330</v>
      </c>
      <c r="M35" s="36">
        <f t="shared" si="9"/>
        <v>330</v>
      </c>
      <c r="N35" s="36">
        <f t="shared" si="9"/>
        <v>380</v>
      </c>
      <c r="O35" s="37"/>
      <c r="P35" s="42">
        <f t="shared" si="10"/>
        <v>480</v>
      </c>
      <c r="Q35" s="36">
        <f t="shared" si="10"/>
        <v>655</v>
      </c>
      <c r="R35" s="36">
        <f t="shared" si="10"/>
        <v>655</v>
      </c>
      <c r="S35" s="43">
        <f t="shared" si="10"/>
        <v>755</v>
      </c>
      <c r="T35" s="37"/>
      <c r="U35" s="42">
        <f t="shared" si="11"/>
        <v>720</v>
      </c>
      <c r="V35" s="36">
        <f t="shared" si="11"/>
        <v>980</v>
      </c>
      <c r="W35" s="36">
        <f t="shared" si="11"/>
        <v>980</v>
      </c>
      <c r="X35" s="43">
        <f t="shared" si="11"/>
        <v>1130</v>
      </c>
      <c r="Y35" s="37"/>
      <c r="Z35" s="36">
        <f t="shared" si="12"/>
        <v>400</v>
      </c>
      <c r="AA35" s="36">
        <f t="shared" si="6"/>
        <v>550</v>
      </c>
      <c r="AB35" s="36">
        <f t="shared" si="6"/>
        <v>550</v>
      </c>
      <c r="AC35" s="36">
        <f t="shared" si="6"/>
        <v>630</v>
      </c>
      <c r="AD35" s="34"/>
    </row>
    <row r="36" spans="1:30" s="24" customFormat="1" ht="22.5" customHeight="1" x14ac:dyDescent="0.25">
      <c r="A36" s="24">
        <v>16</v>
      </c>
      <c r="B36" s="33">
        <f t="shared" si="7"/>
        <v>130</v>
      </c>
      <c r="C36" s="33">
        <f>75+C35</f>
        <v>204.99</v>
      </c>
      <c r="D36" s="24" t="str">
        <f t="shared" si="13"/>
        <v>$130 - $204.99</v>
      </c>
      <c r="E36" s="34">
        <f t="shared" si="14"/>
        <v>167.495</v>
      </c>
      <c r="F36" s="34">
        <f t="shared" si="8"/>
        <v>2009.94</v>
      </c>
      <c r="G36" s="34">
        <f t="shared" si="8"/>
        <v>4019.88</v>
      </c>
      <c r="H36" s="34">
        <f t="shared" si="8"/>
        <v>6029.82</v>
      </c>
      <c r="I36" s="34">
        <f t="shared" si="8"/>
        <v>8039.76</v>
      </c>
      <c r="J36" s="34">
        <f t="shared" si="15"/>
        <v>3349.9</v>
      </c>
      <c r="K36" s="36">
        <f t="shared" si="9"/>
        <v>380</v>
      </c>
      <c r="L36" s="36">
        <f t="shared" si="9"/>
        <v>525</v>
      </c>
      <c r="M36" s="36">
        <f t="shared" si="9"/>
        <v>525</v>
      </c>
      <c r="N36" s="36">
        <f t="shared" si="9"/>
        <v>605</v>
      </c>
      <c r="O36" s="37"/>
      <c r="P36" s="42">
        <f t="shared" si="10"/>
        <v>765</v>
      </c>
      <c r="Q36" s="36">
        <f t="shared" si="10"/>
        <v>1045</v>
      </c>
      <c r="R36" s="36">
        <f t="shared" si="10"/>
        <v>1045</v>
      </c>
      <c r="S36" s="43">
        <f t="shared" si="10"/>
        <v>1205</v>
      </c>
      <c r="T36" s="37"/>
      <c r="U36" s="42">
        <f t="shared" si="11"/>
        <v>1150</v>
      </c>
      <c r="V36" s="36">
        <f t="shared" si="11"/>
        <v>1570</v>
      </c>
      <c r="W36" s="36">
        <f t="shared" si="11"/>
        <v>1570</v>
      </c>
      <c r="X36" s="43">
        <f t="shared" si="11"/>
        <v>1810</v>
      </c>
      <c r="Y36" s="37"/>
      <c r="Z36" s="36">
        <f t="shared" si="12"/>
        <v>640</v>
      </c>
      <c r="AA36" s="36">
        <f t="shared" si="6"/>
        <v>870</v>
      </c>
      <c r="AB36" s="36">
        <f t="shared" si="6"/>
        <v>870</v>
      </c>
      <c r="AC36" s="36">
        <f t="shared" si="6"/>
        <v>1000</v>
      </c>
      <c r="AD36" s="34"/>
    </row>
    <row r="37" spans="1:30" s="24" customFormat="1" ht="22.5" customHeight="1" x14ac:dyDescent="0.25">
      <c r="A37" s="24">
        <v>17</v>
      </c>
      <c r="B37" s="33">
        <f t="shared" si="7"/>
        <v>205</v>
      </c>
      <c r="C37" s="33">
        <f>75+C36</f>
        <v>279.99</v>
      </c>
      <c r="D37" s="24" t="str">
        <f t="shared" si="13"/>
        <v>$205 - $279.99</v>
      </c>
      <c r="E37" s="34">
        <f t="shared" si="14"/>
        <v>242.495</v>
      </c>
      <c r="F37" s="34">
        <f t="shared" si="8"/>
        <v>2909.94</v>
      </c>
      <c r="G37" s="34">
        <f t="shared" si="8"/>
        <v>5819.88</v>
      </c>
      <c r="H37" s="34">
        <f t="shared" si="8"/>
        <v>8729.82</v>
      </c>
      <c r="I37" s="34">
        <f t="shared" si="8"/>
        <v>11639.76</v>
      </c>
      <c r="J37" s="34">
        <f t="shared" si="15"/>
        <v>4849.8999999999996</v>
      </c>
      <c r="K37" s="36">
        <f t="shared" si="9"/>
        <v>555</v>
      </c>
      <c r="L37" s="36">
        <f t="shared" si="9"/>
        <v>755</v>
      </c>
      <c r="M37" s="36">
        <f t="shared" si="9"/>
        <v>755</v>
      </c>
      <c r="N37" s="36">
        <f t="shared" si="9"/>
        <v>875</v>
      </c>
      <c r="O37" s="37"/>
      <c r="P37" s="42">
        <f t="shared" si="10"/>
        <v>1105</v>
      </c>
      <c r="Q37" s="36">
        <f t="shared" si="10"/>
        <v>1515</v>
      </c>
      <c r="R37" s="36">
        <f t="shared" si="10"/>
        <v>1515</v>
      </c>
      <c r="S37" s="43">
        <f t="shared" si="10"/>
        <v>1745</v>
      </c>
      <c r="T37" s="37"/>
      <c r="U37" s="42">
        <f t="shared" si="11"/>
        <v>1660</v>
      </c>
      <c r="V37" s="36">
        <f t="shared" si="11"/>
        <v>2270</v>
      </c>
      <c r="W37" s="36">
        <f t="shared" si="11"/>
        <v>2270</v>
      </c>
      <c r="X37" s="43">
        <f t="shared" si="11"/>
        <v>2620</v>
      </c>
      <c r="Y37" s="37"/>
      <c r="Z37" s="36">
        <f t="shared" si="12"/>
        <v>920</v>
      </c>
      <c r="AA37" s="36">
        <f t="shared" si="12"/>
        <v>1260</v>
      </c>
      <c r="AB37" s="36">
        <f t="shared" si="12"/>
        <v>1260</v>
      </c>
      <c r="AC37" s="36">
        <f t="shared" si="12"/>
        <v>1450</v>
      </c>
      <c r="AD37" s="34"/>
    </row>
    <row r="38" spans="1:30" s="24" customFormat="1" ht="22.5" customHeight="1" x14ac:dyDescent="0.25">
      <c r="A38" s="24">
        <v>18</v>
      </c>
      <c r="B38" s="33">
        <f t="shared" si="7"/>
        <v>280</v>
      </c>
      <c r="C38" s="33">
        <f>50+C37</f>
        <v>329.99</v>
      </c>
      <c r="D38" s="24" t="str">
        <f t="shared" si="13"/>
        <v>$280 - $329.99</v>
      </c>
      <c r="E38" s="34">
        <f t="shared" si="14"/>
        <v>304.995</v>
      </c>
      <c r="F38" s="34">
        <f t="shared" si="8"/>
        <v>3659.94</v>
      </c>
      <c r="G38" s="34">
        <f t="shared" si="8"/>
        <v>7319.88</v>
      </c>
      <c r="H38" s="34">
        <f t="shared" si="8"/>
        <v>10979.82</v>
      </c>
      <c r="I38" s="34">
        <f t="shared" si="8"/>
        <v>14639.76</v>
      </c>
      <c r="J38" s="34">
        <f t="shared" si="15"/>
        <v>6099.9</v>
      </c>
      <c r="K38" s="36">
        <f t="shared" si="9"/>
        <v>695</v>
      </c>
      <c r="L38" s="36">
        <f t="shared" si="9"/>
        <v>950</v>
      </c>
      <c r="M38" s="36">
        <f t="shared" si="9"/>
        <v>950</v>
      </c>
      <c r="N38" s="36">
        <f t="shared" si="9"/>
        <v>1100</v>
      </c>
      <c r="O38" s="37"/>
      <c r="P38" s="42">
        <f t="shared" si="10"/>
        <v>1390</v>
      </c>
      <c r="Q38" s="36">
        <f t="shared" si="10"/>
        <v>1905</v>
      </c>
      <c r="R38" s="36">
        <f t="shared" si="10"/>
        <v>1905</v>
      </c>
      <c r="S38" s="43">
        <f t="shared" si="10"/>
        <v>2195</v>
      </c>
      <c r="T38" s="37"/>
      <c r="U38" s="42">
        <f t="shared" si="11"/>
        <v>2090</v>
      </c>
      <c r="V38" s="36">
        <f t="shared" si="11"/>
        <v>2850</v>
      </c>
      <c r="W38" s="36">
        <f t="shared" si="11"/>
        <v>2850</v>
      </c>
      <c r="X38" s="43">
        <f t="shared" si="11"/>
        <v>3290</v>
      </c>
      <c r="Y38" s="37"/>
      <c r="Z38" s="36">
        <f t="shared" si="12"/>
        <v>1160</v>
      </c>
      <c r="AA38" s="36">
        <f t="shared" si="12"/>
        <v>1590</v>
      </c>
      <c r="AB38" s="36">
        <f t="shared" si="12"/>
        <v>1590</v>
      </c>
      <c r="AC38" s="36">
        <f t="shared" si="12"/>
        <v>1830</v>
      </c>
      <c r="AD38" s="34"/>
    </row>
    <row r="39" spans="1:30" s="24" customFormat="1" ht="22.5" customHeight="1" x14ac:dyDescent="0.25">
      <c r="A39" s="24">
        <v>19</v>
      </c>
      <c r="B39" s="33">
        <f t="shared" si="7"/>
        <v>330</v>
      </c>
      <c r="C39" s="33">
        <f>+C38+50</f>
        <v>379.99</v>
      </c>
      <c r="D39" s="24" t="str">
        <f t="shared" si="13"/>
        <v>$330 - $379.99</v>
      </c>
      <c r="E39" s="34">
        <f t="shared" si="14"/>
        <v>354.995</v>
      </c>
      <c r="F39" s="34">
        <f t="shared" ref="F39:I52" si="17">+$E39*F$18</f>
        <v>4259.9400000000005</v>
      </c>
      <c r="G39" s="34">
        <f t="shared" si="17"/>
        <v>8519.880000000001</v>
      </c>
      <c r="H39" s="34">
        <f t="shared" si="17"/>
        <v>12779.82</v>
      </c>
      <c r="I39" s="34">
        <f t="shared" si="17"/>
        <v>17039.760000000002</v>
      </c>
      <c r="J39" s="34">
        <f t="shared" si="15"/>
        <v>7099.9</v>
      </c>
      <c r="K39" s="36">
        <f t="shared" si="9"/>
        <v>810</v>
      </c>
      <c r="L39" s="36">
        <f t="shared" si="9"/>
        <v>1110</v>
      </c>
      <c r="M39" s="36">
        <f t="shared" si="9"/>
        <v>1110</v>
      </c>
      <c r="N39" s="36">
        <f t="shared" si="9"/>
        <v>1280</v>
      </c>
      <c r="O39" s="37"/>
      <c r="P39" s="42">
        <f t="shared" ref="P39:S52" si="18">ROUND(($G39*P$18)/5,0)*5</f>
        <v>1620</v>
      </c>
      <c r="Q39" s="36">
        <f t="shared" si="18"/>
        <v>2215</v>
      </c>
      <c r="R39" s="36">
        <f t="shared" si="18"/>
        <v>2215</v>
      </c>
      <c r="S39" s="43">
        <f t="shared" si="18"/>
        <v>2555</v>
      </c>
      <c r="T39" s="37"/>
      <c r="U39" s="42">
        <f t="shared" ref="U39:X52" si="19">ROUND(($H39*U$18)/10,0)*10</f>
        <v>2430</v>
      </c>
      <c r="V39" s="36">
        <f t="shared" si="19"/>
        <v>3320</v>
      </c>
      <c r="W39" s="167">
        <f t="shared" si="19"/>
        <v>3320</v>
      </c>
      <c r="X39" s="43">
        <f t="shared" si="19"/>
        <v>3830</v>
      </c>
      <c r="Y39" s="37"/>
      <c r="Z39" s="36">
        <f t="shared" si="12"/>
        <v>1350</v>
      </c>
      <c r="AA39" s="36">
        <f t="shared" si="12"/>
        <v>1850</v>
      </c>
      <c r="AB39" s="36">
        <f t="shared" si="12"/>
        <v>1850</v>
      </c>
      <c r="AC39" s="36">
        <f t="shared" si="12"/>
        <v>2130</v>
      </c>
      <c r="AD39" s="34"/>
    </row>
    <row r="40" spans="1:30" s="24" customFormat="1" ht="22.5" customHeight="1" x14ac:dyDescent="0.25">
      <c r="A40" s="24">
        <v>20</v>
      </c>
      <c r="B40" s="33">
        <f t="shared" si="7"/>
        <v>380</v>
      </c>
      <c r="C40" s="33">
        <f>+C39+100</f>
        <v>479.99</v>
      </c>
      <c r="D40" s="24" t="str">
        <f t="shared" si="13"/>
        <v>$380 - $479.99</v>
      </c>
      <c r="E40" s="34">
        <f t="shared" si="14"/>
        <v>429.995</v>
      </c>
      <c r="F40" s="34">
        <f t="shared" si="17"/>
        <v>5159.9400000000005</v>
      </c>
      <c r="G40" s="34">
        <f t="shared" si="17"/>
        <v>10319.880000000001</v>
      </c>
      <c r="H40" s="34">
        <f t="shared" si="17"/>
        <v>15479.82</v>
      </c>
      <c r="I40" s="34">
        <f t="shared" si="17"/>
        <v>20639.760000000002</v>
      </c>
      <c r="J40" s="34">
        <f t="shared" si="15"/>
        <v>8599.9</v>
      </c>
      <c r="K40" s="36">
        <f t="shared" si="9"/>
        <v>980</v>
      </c>
      <c r="L40" s="36">
        <f t="shared" si="9"/>
        <v>1340</v>
      </c>
      <c r="M40" s="36">
        <f t="shared" si="9"/>
        <v>1340</v>
      </c>
      <c r="N40" s="36">
        <f t="shared" si="9"/>
        <v>1550</v>
      </c>
      <c r="O40" s="37"/>
      <c r="P40" s="42">
        <f t="shared" si="18"/>
        <v>1960</v>
      </c>
      <c r="Q40" s="36">
        <f t="shared" si="18"/>
        <v>2685</v>
      </c>
      <c r="R40" s="36">
        <f t="shared" si="18"/>
        <v>2685</v>
      </c>
      <c r="S40" s="43">
        <f t="shared" si="18"/>
        <v>3095</v>
      </c>
      <c r="T40" s="37"/>
      <c r="U40" s="42">
        <f t="shared" si="19"/>
        <v>2940</v>
      </c>
      <c r="V40" s="36">
        <f t="shared" si="19"/>
        <v>4020</v>
      </c>
      <c r="W40" s="36">
        <f t="shared" si="19"/>
        <v>4020</v>
      </c>
      <c r="X40" s="43">
        <f t="shared" si="19"/>
        <v>4640</v>
      </c>
      <c r="Y40" s="37"/>
      <c r="Z40" s="36">
        <f t="shared" si="12"/>
        <v>1630</v>
      </c>
      <c r="AA40" s="36">
        <f t="shared" si="12"/>
        <v>2240</v>
      </c>
      <c r="AB40" s="36">
        <f t="shared" si="12"/>
        <v>2240</v>
      </c>
      <c r="AC40" s="36">
        <f t="shared" si="12"/>
        <v>2580</v>
      </c>
      <c r="AD40" s="34"/>
    </row>
    <row r="41" spans="1:30" s="24" customFormat="1" ht="22.5" customHeight="1" x14ac:dyDescent="0.25">
      <c r="A41" s="24">
        <v>21</v>
      </c>
      <c r="B41" s="33">
        <f t="shared" si="7"/>
        <v>480</v>
      </c>
      <c r="C41" s="33">
        <f>+C40+100</f>
        <v>579.99</v>
      </c>
      <c r="D41" s="24" t="str">
        <f t="shared" si="13"/>
        <v>$480 - $579.99</v>
      </c>
      <c r="E41" s="34">
        <f t="shared" si="14"/>
        <v>529.995</v>
      </c>
      <c r="F41" s="34">
        <f t="shared" si="17"/>
        <v>6359.9400000000005</v>
      </c>
      <c r="G41" s="34">
        <f t="shared" si="17"/>
        <v>12719.880000000001</v>
      </c>
      <c r="H41" s="34">
        <f t="shared" si="17"/>
        <v>19079.82</v>
      </c>
      <c r="I41" s="34">
        <f t="shared" si="17"/>
        <v>25439.760000000002</v>
      </c>
      <c r="J41" s="34">
        <f t="shared" si="15"/>
        <v>10599.9</v>
      </c>
      <c r="K41" s="36">
        <f t="shared" si="9"/>
        <v>1210</v>
      </c>
      <c r="L41" s="36">
        <f t="shared" si="9"/>
        <v>1655</v>
      </c>
      <c r="M41" s="36">
        <f t="shared" si="9"/>
        <v>1655</v>
      </c>
      <c r="N41" s="36">
        <f t="shared" si="9"/>
        <v>1910</v>
      </c>
      <c r="O41" s="37"/>
      <c r="P41" s="42">
        <f t="shared" si="18"/>
        <v>2415</v>
      </c>
      <c r="Q41" s="36">
        <f t="shared" si="18"/>
        <v>3305</v>
      </c>
      <c r="R41" s="36">
        <f t="shared" si="18"/>
        <v>3305</v>
      </c>
      <c r="S41" s="43">
        <f t="shared" si="18"/>
        <v>3815</v>
      </c>
      <c r="T41" s="37"/>
      <c r="U41" s="42">
        <f t="shared" si="19"/>
        <v>3630</v>
      </c>
      <c r="V41" s="36">
        <f t="shared" si="19"/>
        <v>4960</v>
      </c>
      <c r="W41" s="36">
        <f t="shared" si="19"/>
        <v>4960</v>
      </c>
      <c r="X41" s="43">
        <f t="shared" si="19"/>
        <v>5720</v>
      </c>
      <c r="Y41" s="37"/>
      <c r="Z41" s="36">
        <f t="shared" si="12"/>
        <v>2010</v>
      </c>
      <c r="AA41" s="36">
        <f t="shared" si="12"/>
        <v>2760</v>
      </c>
      <c r="AB41" s="36">
        <f t="shared" si="12"/>
        <v>2760</v>
      </c>
      <c r="AC41" s="36">
        <f t="shared" si="12"/>
        <v>3180</v>
      </c>
      <c r="AD41" s="34"/>
    </row>
    <row r="42" spans="1:30" s="24" customFormat="1" ht="22.5" customHeight="1" x14ac:dyDescent="0.25">
      <c r="A42" s="24">
        <v>22</v>
      </c>
      <c r="B42" s="33">
        <f t="shared" si="7"/>
        <v>580</v>
      </c>
      <c r="C42" s="33">
        <f>+C41+200</f>
        <v>779.99</v>
      </c>
      <c r="D42" s="24" t="str">
        <f t="shared" si="13"/>
        <v>$580 - $779.99</v>
      </c>
      <c r="E42" s="34">
        <f t="shared" si="14"/>
        <v>679.995</v>
      </c>
      <c r="F42" s="34">
        <f t="shared" si="17"/>
        <v>8159.9400000000005</v>
      </c>
      <c r="G42" s="34">
        <f t="shared" si="17"/>
        <v>16319.880000000001</v>
      </c>
      <c r="H42" s="34">
        <f t="shared" si="17"/>
        <v>24479.82</v>
      </c>
      <c r="I42" s="34">
        <f t="shared" si="17"/>
        <v>32639.760000000002</v>
      </c>
      <c r="J42" s="34">
        <f t="shared" si="15"/>
        <v>13599.9</v>
      </c>
      <c r="K42" s="36">
        <f t="shared" si="9"/>
        <v>1550</v>
      </c>
      <c r="L42" s="36">
        <f t="shared" si="9"/>
        <v>2120</v>
      </c>
      <c r="M42" s="36">
        <f t="shared" si="9"/>
        <v>2120</v>
      </c>
      <c r="N42" s="36">
        <f t="shared" si="9"/>
        <v>2450</v>
      </c>
      <c r="O42" s="37"/>
      <c r="P42" s="42">
        <f t="shared" si="18"/>
        <v>3100</v>
      </c>
      <c r="Q42" s="36">
        <f t="shared" si="18"/>
        <v>4245</v>
      </c>
      <c r="R42" s="36">
        <f t="shared" si="18"/>
        <v>4245</v>
      </c>
      <c r="S42" s="43">
        <f t="shared" si="18"/>
        <v>4895</v>
      </c>
      <c r="T42" s="37"/>
      <c r="U42" s="42">
        <f t="shared" si="19"/>
        <v>4650</v>
      </c>
      <c r="V42" s="36">
        <f t="shared" si="19"/>
        <v>6360</v>
      </c>
      <c r="W42" s="36">
        <f t="shared" si="19"/>
        <v>6360</v>
      </c>
      <c r="X42" s="43">
        <f t="shared" si="19"/>
        <v>7340</v>
      </c>
      <c r="Y42" s="37"/>
      <c r="Z42" s="36">
        <f t="shared" si="12"/>
        <v>2580</v>
      </c>
      <c r="AA42" s="36">
        <f t="shared" si="12"/>
        <v>3540</v>
      </c>
      <c r="AB42" s="36">
        <f t="shared" si="12"/>
        <v>3540</v>
      </c>
      <c r="AC42" s="36">
        <f t="shared" si="12"/>
        <v>4080</v>
      </c>
      <c r="AD42" s="34"/>
    </row>
    <row r="43" spans="1:30" s="24" customFormat="1" ht="22.5" customHeight="1" x14ac:dyDescent="0.25">
      <c r="A43" s="24">
        <v>23</v>
      </c>
      <c r="B43" s="33">
        <f t="shared" si="7"/>
        <v>780</v>
      </c>
      <c r="C43" s="33">
        <f>+C42+200</f>
        <v>979.99</v>
      </c>
      <c r="D43" s="24" t="str">
        <f t="shared" si="13"/>
        <v>$780 - $979.99</v>
      </c>
      <c r="E43" s="34">
        <f t="shared" si="14"/>
        <v>879.995</v>
      </c>
      <c r="F43" s="34">
        <f t="shared" si="17"/>
        <v>10559.94</v>
      </c>
      <c r="G43" s="34">
        <f t="shared" si="17"/>
        <v>21119.88</v>
      </c>
      <c r="H43" s="34">
        <f t="shared" si="17"/>
        <v>31679.82</v>
      </c>
      <c r="I43" s="34">
        <f t="shared" si="17"/>
        <v>42239.76</v>
      </c>
      <c r="J43" s="34">
        <f t="shared" si="15"/>
        <v>17599.900000000001</v>
      </c>
      <c r="K43" s="36">
        <f t="shared" si="9"/>
        <v>2005</v>
      </c>
      <c r="L43" s="36">
        <f t="shared" si="9"/>
        <v>2745</v>
      </c>
      <c r="M43" s="36">
        <f t="shared" si="9"/>
        <v>2745</v>
      </c>
      <c r="N43" s="36">
        <f t="shared" si="9"/>
        <v>3170</v>
      </c>
      <c r="O43" s="37"/>
      <c r="P43" s="42">
        <f t="shared" si="18"/>
        <v>4015</v>
      </c>
      <c r="Q43" s="36">
        <f t="shared" si="18"/>
        <v>5490</v>
      </c>
      <c r="R43" s="36">
        <f t="shared" si="18"/>
        <v>5490</v>
      </c>
      <c r="S43" s="43">
        <f t="shared" si="18"/>
        <v>6335</v>
      </c>
      <c r="T43" s="37"/>
      <c r="U43" s="42">
        <f t="shared" si="19"/>
        <v>6020</v>
      </c>
      <c r="V43" s="36">
        <f t="shared" si="19"/>
        <v>8240</v>
      </c>
      <c r="W43" s="36">
        <f t="shared" si="19"/>
        <v>8240</v>
      </c>
      <c r="X43" s="43">
        <f t="shared" si="19"/>
        <v>9500</v>
      </c>
      <c r="Y43" s="37"/>
      <c r="Z43" s="36">
        <f t="shared" si="12"/>
        <v>3340</v>
      </c>
      <c r="AA43" s="36">
        <f t="shared" si="12"/>
        <v>4580</v>
      </c>
      <c r="AB43" s="36">
        <f t="shared" si="12"/>
        <v>4580</v>
      </c>
      <c r="AC43" s="36">
        <f t="shared" si="12"/>
        <v>5280</v>
      </c>
      <c r="AD43" s="34"/>
    </row>
    <row r="44" spans="1:30" s="24" customFormat="1" ht="22.5" customHeight="1" x14ac:dyDescent="0.25">
      <c r="A44" s="24">
        <v>24</v>
      </c>
      <c r="B44" s="33">
        <f t="shared" si="7"/>
        <v>980</v>
      </c>
      <c r="C44" s="33">
        <f>+C43+250</f>
        <v>1229.99</v>
      </c>
      <c r="D44" s="24" t="str">
        <f t="shared" si="13"/>
        <v>$980 - $1229.99</v>
      </c>
      <c r="E44" s="34">
        <f t="shared" si="14"/>
        <v>1104.9949999999999</v>
      </c>
      <c r="F44" s="34">
        <f t="shared" si="17"/>
        <v>13259.939999999999</v>
      </c>
      <c r="G44" s="34">
        <f t="shared" si="17"/>
        <v>26519.879999999997</v>
      </c>
      <c r="H44" s="34">
        <f t="shared" si="17"/>
        <v>39779.819999999992</v>
      </c>
      <c r="I44" s="34">
        <f t="shared" si="17"/>
        <v>53039.759999999995</v>
      </c>
      <c r="J44" s="34">
        <f t="shared" si="15"/>
        <v>22099.899999999998</v>
      </c>
      <c r="K44" s="36">
        <f t="shared" si="9"/>
        <v>2520</v>
      </c>
      <c r="L44" s="36">
        <f t="shared" si="9"/>
        <v>3450</v>
      </c>
      <c r="M44" s="36">
        <f t="shared" si="9"/>
        <v>3450</v>
      </c>
      <c r="N44" s="36">
        <f t="shared" si="9"/>
        <v>3980</v>
      </c>
      <c r="O44" s="37"/>
      <c r="P44" s="42">
        <f t="shared" si="18"/>
        <v>5040</v>
      </c>
      <c r="Q44" s="36">
        <f t="shared" si="18"/>
        <v>6895</v>
      </c>
      <c r="R44" s="36">
        <f t="shared" si="18"/>
        <v>6895</v>
      </c>
      <c r="S44" s="43">
        <f t="shared" si="18"/>
        <v>7955</v>
      </c>
      <c r="T44" s="37"/>
      <c r="U44" s="42">
        <f t="shared" si="19"/>
        <v>7560</v>
      </c>
      <c r="V44" s="36">
        <f t="shared" si="19"/>
        <v>10340</v>
      </c>
      <c r="W44" s="36">
        <f t="shared" si="19"/>
        <v>10340</v>
      </c>
      <c r="X44" s="43">
        <f t="shared" si="19"/>
        <v>11930</v>
      </c>
      <c r="Y44" s="37"/>
      <c r="Z44" s="36">
        <f t="shared" si="12"/>
        <v>4200</v>
      </c>
      <c r="AA44" s="36">
        <f t="shared" si="12"/>
        <v>5750</v>
      </c>
      <c r="AB44" s="36">
        <f t="shared" si="12"/>
        <v>5750</v>
      </c>
      <c r="AC44" s="36">
        <f t="shared" si="12"/>
        <v>6630</v>
      </c>
      <c r="AD44" s="34"/>
    </row>
    <row r="45" spans="1:30" s="24" customFormat="1" ht="22.5" customHeight="1" x14ac:dyDescent="0.25">
      <c r="A45" s="24">
        <v>25</v>
      </c>
      <c r="B45" s="33">
        <f t="shared" ref="B45:B52" si="20">+C44+0.01</f>
        <v>1230</v>
      </c>
      <c r="C45" s="33">
        <f t="shared" ref="C45:C52" si="21">+C44+400</f>
        <v>1629.99</v>
      </c>
      <c r="D45" s="24" t="str">
        <f t="shared" si="13"/>
        <v>$1230 - $1629.99</v>
      </c>
      <c r="E45" s="34">
        <f t="shared" si="14"/>
        <v>1429.9949999999999</v>
      </c>
      <c r="F45" s="34">
        <f t="shared" si="17"/>
        <v>17159.939999999999</v>
      </c>
      <c r="G45" s="34">
        <f t="shared" si="17"/>
        <v>34319.879999999997</v>
      </c>
      <c r="H45" s="34">
        <f t="shared" si="17"/>
        <v>51479.819999999992</v>
      </c>
      <c r="I45" s="34">
        <f t="shared" si="17"/>
        <v>68639.759999999995</v>
      </c>
      <c r="J45" s="34">
        <f t="shared" si="15"/>
        <v>28599.899999999998</v>
      </c>
      <c r="K45" s="36">
        <f t="shared" si="9"/>
        <v>3260</v>
      </c>
      <c r="L45" s="36">
        <f t="shared" si="9"/>
        <v>4460</v>
      </c>
      <c r="M45" s="36">
        <f t="shared" si="9"/>
        <v>4460</v>
      </c>
      <c r="N45" s="36">
        <f t="shared" si="9"/>
        <v>5150</v>
      </c>
      <c r="O45" s="37"/>
      <c r="P45" s="42">
        <f t="shared" si="18"/>
        <v>6520</v>
      </c>
      <c r="Q45" s="36">
        <f t="shared" si="18"/>
        <v>8925</v>
      </c>
      <c r="R45" s="36">
        <f t="shared" si="18"/>
        <v>8925</v>
      </c>
      <c r="S45" s="43">
        <f t="shared" si="18"/>
        <v>10295</v>
      </c>
      <c r="T45" s="37"/>
      <c r="U45" s="42">
        <f t="shared" si="19"/>
        <v>9780</v>
      </c>
      <c r="V45" s="36">
        <f t="shared" si="19"/>
        <v>13380</v>
      </c>
      <c r="W45" s="36">
        <f t="shared" si="19"/>
        <v>13380</v>
      </c>
      <c r="X45" s="43">
        <f t="shared" si="19"/>
        <v>15440</v>
      </c>
      <c r="Y45" s="37"/>
      <c r="Z45" s="36">
        <f t="shared" si="12"/>
        <v>5430</v>
      </c>
      <c r="AA45" s="36">
        <f t="shared" si="12"/>
        <v>7440</v>
      </c>
      <c r="AB45" s="36">
        <f t="shared" si="12"/>
        <v>7440</v>
      </c>
      <c r="AC45" s="36">
        <f t="shared" si="12"/>
        <v>8580</v>
      </c>
      <c r="AD45" s="34"/>
    </row>
    <row r="46" spans="1:30" s="24" customFormat="1" ht="22.5" customHeight="1" x14ac:dyDescent="0.25">
      <c r="A46" s="24">
        <v>26</v>
      </c>
      <c r="B46" s="33">
        <f t="shared" si="20"/>
        <v>1630</v>
      </c>
      <c r="C46" s="33">
        <f t="shared" si="21"/>
        <v>2029.99</v>
      </c>
      <c r="D46" s="24" t="str">
        <f t="shared" si="13"/>
        <v>$1630 - $2029.99</v>
      </c>
      <c r="E46" s="34">
        <f t="shared" si="14"/>
        <v>1829.9949999999999</v>
      </c>
      <c r="F46" s="34">
        <f t="shared" si="17"/>
        <v>21959.94</v>
      </c>
      <c r="G46" s="34">
        <f t="shared" si="17"/>
        <v>43919.88</v>
      </c>
      <c r="H46" s="34">
        <f t="shared" si="17"/>
        <v>65879.819999999992</v>
      </c>
      <c r="I46" s="34">
        <f t="shared" si="17"/>
        <v>87839.76</v>
      </c>
      <c r="J46" s="34">
        <f t="shared" si="15"/>
        <v>36599.899999999994</v>
      </c>
      <c r="K46" s="36">
        <f t="shared" si="9"/>
        <v>4170</v>
      </c>
      <c r="L46" s="36">
        <f t="shared" si="9"/>
        <v>5710</v>
      </c>
      <c r="M46" s="36">
        <f t="shared" si="9"/>
        <v>5710</v>
      </c>
      <c r="N46" s="36">
        <f t="shared" si="9"/>
        <v>6590</v>
      </c>
      <c r="O46" s="37"/>
      <c r="P46" s="42">
        <f t="shared" si="18"/>
        <v>8345</v>
      </c>
      <c r="Q46" s="36">
        <f t="shared" si="18"/>
        <v>11420</v>
      </c>
      <c r="R46" s="36">
        <f t="shared" si="18"/>
        <v>11420</v>
      </c>
      <c r="S46" s="43">
        <f t="shared" si="18"/>
        <v>13175</v>
      </c>
      <c r="T46" s="37"/>
      <c r="U46" s="42">
        <f t="shared" si="19"/>
        <v>12520</v>
      </c>
      <c r="V46" s="36">
        <f t="shared" si="19"/>
        <v>17130</v>
      </c>
      <c r="W46" s="36">
        <f t="shared" si="19"/>
        <v>17130</v>
      </c>
      <c r="X46" s="43">
        <f t="shared" si="19"/>
        <v>19760</v>
      </c>
      <c r="Y46" s="37"/>
      <c r="Z46" s="36">
        <f t="shared" si="12"/>
        <v>6950</v>
      </c>
      <c r="AA46" s="36">
        <f t="shared" si="12"/>
        <v>9520</v>
      </c>
      <c r="AB46" s="36">
        <f t="shared" si="12"/>
        <v>9520</v>
      </c>
      <c r="AC46" s="36">
        <f t="shared" si="12"/>
        <v>10980</v>
      </c>
      <c r="AD46" s="34"/>
    </row>
    <row r="47" spans="1:30" s="24" customFormat="1" ht="22.5" customHeight="1" x14ac:dyDescent="0.25">
      <c r="A47" s="24">
        <v>27</v>
      </c>
      <c r="B47" s="33">
        <f t="shared" si="20"/>
        <v>2030</v>
      </c>
      <c r="C47" s="33">
        <f t="shared" si="21"/>
        <v>2429.9899999999998</v>
      </c>
      <c r="D47" s="24" t="str">
        <f t="shared" si="13"/>
        <v>$2030 - $2429.99</v>
      </c>
      <c r="E47" s="34">
        <f t="shared" si="14"/>
        <v>2229.9949999999999</v>
      </c>
      <c r="F47" s="34">
        <f t="shared" si="17"/>
        <v>26759.94</v>
      </c>
      <c r="G47" s="34">
        <f t="shared" si="17"/>
        <v>53519.88</v>
      </c>
      <c r="H47" s="34">
        <f t="shared" si="17"/>
        <v>80279.819999999992</v>
      </c>
      <c r="I47" s="34">
        <f t="shared" si="17"/>
        <v>107039.76</v>
      </c>
      <c r="J47" s="34">
        <f t="shared" si="15"/>
        <v>44599.899999999994</v>
      </c>
      <c r="K47" s="36">
        <f t="shared" si="9"/>
        <v>5085</v>
      </c>
      <c r="L47" s="36">
        <f t="shared" si="9"/>
        <v>6960</v>
      </c>
      <c r="M47" s="36">
        <f t="shared" si="9"/>
        <v>6960</v>
      </c>
      <c r="N47" s="36">
        <f t="shared" si="9"/>
        <v>8030</v>
      </c>
      <c r="O47" s="37"/>
      <c r="P47" s="42">
        <f t="shared" si="18"/>
        <v>10170</v>
      </c>
      <c r="Q47" s="36">
        <f t="shared" si="18"/>
        <v>13915</v>
      </c>
      <c r="R47" s="36">
        <f t="shared" si="18"/>
        <v>13915</v>
      </c>
      <c r="S47" s="43">
        <f t="shared" si="18"/>
        <v>16055</v>
      </c>
      <c r="T47" s="37"/>
      <c r="U47" s="42">
        <f t="shared" si="19"/>
        <v>15250</v>
      </c>
      <c r="V47" s="36">
        <f t="shared" si="19"/>
        <v>20870</v>
      </c>
      <c r="W47" s="36">
        <f t="shared" si="19"/>
        <v>20870</v>
      </c>
      <c r="X47" s="43">
        <f t="shared" si="19"/>
        <v>24080</v>
      </c>
      <c r="Y47" s="37"/>
      <c r="Z47" s="36">
        <f t="shared" si="12"/>
        <v>8470</v>
      </c>
      <c r="AA47" s="36">
        <f t="shared" si="12"/>
        <v>11600</v>
      </c>
      <c r="AB47" s="36">
        <f t="shared" si="12"/>
        <v>11600</v>
      </c>
      <c r="AC47" s="36">
        <f t="shared" si="12"/>
        <v>13380</v>
      </c>
      <c r="AD47" s="34"/>
    </row>
    <row r="48" spans="1:30" s="24" customFormat="1" ht="22.5" customHeight="1" x14ac:dyDescent="0.25">
      <c r="A48" s="24">
        <v>28</v>
      </c>
      <c r="B48" s="33">
        <f t="shared" si="20"/>
        <v>2430</v>
      </c>
      <c r="C48" s="33">
        <f t="shared" si="21"/>
        <v>2829.99</v>
      </c>
      <c r="D48" s="24" t="str">
        <f t="shared" si="13"/>
        <v>$2430 - $2829.99</v>
      </c>
      <c r="E48" s="34">
        <f t="shared" si="14"/>
        <v>2629.9949999999999</v>
      </c>
      <c r="F48" s="34">
        <f t="shared" si="17"/>
        <v>31559.94</v>
      </c>
      <c r="G48" s="34">
        <f t="shared" si="17"/>
        <v>63119.88</v>
      </c>
      <c r="H48" s="34">
        <f t="shared" si="17"/>
        <v>94679.819999999992</v>
      </c>
      <c r="I48" s="34">
        <f t="shared" si="17"/>
        <v>126239.76</v>
      </c>
      <c r="J48" s="34">
        <f t="shared" si="15"/>
        <v>52599.899999999994</v>
      </c>
      <c r="K48" s="36">
        <f t="shared" si="9"/>
        <v>5995</v>
      </c>
      <c r="L48" s="36">
        <f t="shared" si="9"/>
        <v>8205</v>
      </c>
      <c r="M48" s="36">
        <f t="shared" si="9"/>
        <v>8205</v>
      </c>
      <c r="N48" s="36">
        <f t="shared" si="9"/>
        <v>9470</v>
      </c>
      <c r="O48" s="37"/>
      <c r="P48" s="42">
        <f t="shared" si="18"/>
        <v>11995</v>
      </c>
      <c r="Q48" s="36">
        <f t="shared" si="18"/>
        <v>16410</v>
      </c>
      <c r="R48" s="36">
        <f t="shared" si="18"/>
        <v>16410</v>
      </c>
      <c r="S48" s="43">
        <f t="shared" si="18"/>
        <v>18935</v>
      </c>
      <c r="T48" s="37"/>
      <c r="U48" s="42">
        <f t="shared" si="19"/>
        <v>17990</v>
      </c>
      <c r="V48" s="36">
        <f t="shared" si="19"/>
        <v>24620</v>
      </c>
      <c r="W48" s="36">
        <f t="shared" si="19"/>
        <v>24620</v>
      </c>
      <c r="X48" s="43">
        <f t="shared" si="19"/>
        <v>28400</v>
      </c>
      <c r="Y48" s="37"/>
      <c r="Z48" s="36">
        <f t="shared" si="12"/>
        <v>9990</v>
      </c>
      <c r="AA48" s="36">
        <f t="shared" si="12"/>
        <v>13680</v>
      </c>
      <c r="AB48" s="36">
        <f t="shared" si="12"/>
        <v>13680</v>
      </c>
      <c r="AC48" s="36">
        <f t="shared" si="12"/>
        <v>15780</v>
      </c>
      <c r="AD48" s="34"/>
    </row>
    <row r="49" spans="1:30" s="24" customFormat="1" ht="22.5" customHeight="1" x14ac:dyDescent="0.25">
      <c r="A49" s="24">
        <v>29</v>
      </c>
      <c r="B49" s="33">
        <f t="shared" si="20"/>
        <v>2830</v>
      </c>
      <c r="C49" s="33">
        <f t="shared" si="21"/>
        <v>3229.99</v>
      </c>
      <c r="D49" s="24" t="str">
        <f t="shared" si="13"/>
        <v>$2830 - $3229.99</v>
      </c>
      <c r="E49" s="34">
        <f t="shared" si="14"/>
        <v>3029.9949999999999</v>
      </c>
      <c r="F49" s="34">
        <f t="shared" si="17"/>
        <v>36359.94</v>
      </c>
      <c r="G49" s="34">
        <f t="shared" si="17"/>
        <v>72719.88</v>
      </c>
      <c r="H49" s="34">
        <f t="shared" si="17"/>
        <v>109079.81999999999</v>
      </c>
      <c r="I49" s="34">
        <f t="shared" si="17"/>
        <v>145439.76</v>
      </c>
      <c r="J49" s="34">
        <f t="shared" si="15"/>
        <v>60599.899999999994</v>
      </c>
      <c r="K49" s="36">
        <f t="shared" si="9"/>
        <v>6910</v>
      </c>
      <c r="L49" s="36">
        <f t="shared" si="9"/>
        <v>9455</v>
      </c>
      <c r="M49" s="36">
        <f t="shared" si="9"/>
        <v>9455</v>
      </c>
      <c r="N49" s="36">
        <f t="shared" si="9"/>
        <v>10910</v>
      </c>
      <c r="O49" s="37"/>
      <c r="P49" s="42">
        <f t="shared" si="18"/>
        <v>13815</v>
      </c>
      <c r="Q49" s="36">
        <f t="shared" si="18"/>
        <v>18905</v>
      </c>
      <c r="R49" s="36">
        <f t="shared" si="18"/>
        <v>18905</v>
      </c>
      <c r="S49" s="43">
        <f t="shared" si="18"/>
        <v>21815</v>
      </c>
      <c r="T49" s="37"/>
      <c r="U49" s="42">
        <f t="shared" si="19"/>
        <v>20730</v>
      </c>
      <c r="V49" s="36">
        <f t="shared" si="19"/>
        <v>28360</v>
      </c>
      <c r="W49" s="36">
        <f t="shared" si="19"/>
        <v>28360</v>
      </c>
      <c r="X49" s="43">
        <f t="shared" si="19"/>
        <v>32720</v>
      </c>
      <c r="Y49" s="37"/>
      <c r="Z49" s="36">
        <f t="shared" si="12"/>
        <v>11510</v>
      </c>
      <c r="AA49" s="36">
        <f t="shared" si="12"/>
        <v>15760</v>
      </c>
      <c r="AB49" s="36">
        <f t="shared" si="12"/>
        <v>15760</v>
      </c>
      <c r="AC49" s="36">
        <f t="shared" si="12"/>
        <v>18180</v>
      </c>
      <c r="AD49" s="34"/>
    </row>
    <row r="50" spans="1:30" s="24" customFormat="1" ht="22.5" customHeight="1" x14ac:dyDescent="0.25">
      <c r="A50" s="24">
        <v>30</v>
      </c>
      <c r="B50" s="33">
        <f t="shared" si="20"/>
        <v>3230</v>
      </c>
      <c r="C50" s="33">
        <f t="shared" si="21"/>
        <v>3629.99</v>
      </c>
      <c r="D50" s="24" t="str">
        <f t="shared" si="13"/>
        <v>$3230 - $3629.99</v>
      </c>
      <c r="E50" s="34">
        <f t="shared" si="14"/>
        <v>3429.9949999999999</v>
      </c>
      <c r="F50" s="34">
        <f t="shared" si="17"/>
        <v>41159.94</v>
      </c>
      <c r="G50" s="34">
        <f t="shared" si="17"/>
        <v>82319.88</v>
      </c>
      <c r="H50" s="34">
        <f t="shared" si="17"/>
        <v>123479.81999999999</v>
      </c>
      <c r="I50" s="34">
        <f t="shared" si="17"/>
        <v>164639.76</v>
      </c>
      <c r="J50" s="34">
        <f t="shared" si="15"/>
        <v>68599.899999999994</v>
      </c>
      <c r="K50" s="36">
        <f t="shared" si="9"/>
        <v>7820</v>
      </c>
      <c r="L50" s="36">
        <f t="shared" si="9"/>
        <v>10700</v>
      </c>
      <c r="M50" s="36">
        <f t="shared" si="9"/>
        <v>10700</v>
      </c>
      <c r="N50" s="36">
        <f t="shared" si="9"/>
        <v>12350</v>
      </c>
      <c r="O50" s="37"/>
      <c r="P50" s="42">
        <f t="shared" si="18"/>
        <v>15640</v>
      </c>
      <c r="Q50" s="36">
        <f t="shared" si="18"/>
        <v>21405</v>
      </c>
      <c r="R50" s="36">
        <f t="shared" si="18"/>
        <v>21405</v>
      </c>
      <c r="S50" s="43">
        <f t="shared" si="18"/>
        <v>24695</v>
      </c>
      <c r="T50" s="37"/>
      <c r="U50" s="42">
        <f t="shared" si="19"/>
        <v>23460</v>
      </c>
      <c r="V50" s="36">
        <f t="shared" si="19"/>
        <v>32100</v>
      </c>
      <c r="W50" s="36">
        <f t="shared" si="19"/>
        <v>32100</v>
      </c>
      <c r="X50" s="43">
        <f t="shared" si="19"/>
        <v>37040</v>
      </c>
      <c r="Y50" s="37"/>
      <c r="Z50" s="36">
        <f t="shared" si="12"/>
        <v>13030</v>
      </c>
      <c r="AA50" s="36">
        <f t="shared" si="12"/>
        <v>17840</v>
      </c>
      <c r="AB50" s="36">
        <f t="shared" si="12"/>
        <v>17840</v>
      </c>
      <c r="AC50" s="36">
        <f t="shared" si="12"/>
        <v>20580</v>
      </c>
      <c r="AD50" s="34"/>
    </row>
    <row r="51" spans="1:30" s="24" customFormat="1" ht="22.5" customHeight="1" x14ac:dyDescent="0.25">
      <c r="A51" s="24">
        <v>31</v>
      </c>
      <c r="B51" s="33">
        <f t="shared" si="20"/>
        <v>3630</v>
      </c>
      <c r="C51" s="33">
        <f t="shared" si="21"/>
        <v>4029.99</v>
      </c>
      <c r="D51" s="24" t="str">
        <f t="shared" si="13"/>
        <v>$3630 - $4029.99</v>
      </c>
      <c r="E51" s="34">
        <f t="shared" si="14"/>
        <v>3829.9949999999999</v>
      </c>
      <c r="F51" s="34">
        <f t="shared" si="17"/>
        <v>45959.94</v>
      </c>
      <c r="G51" s="34">
        <f t="shared" si="17"/>
        <v>91919.88</v>
      </c>
      <c r="H51" s="34">
        <f t="shared" si="17"/>
        <v>137879.82</v>
      </c>
      <c r="I51" s="34">
        <f t="shared" si="17"/>
        <v>183839.76</v>
      </c>
      <c r="J51" s="34">
        <f t="shared" si="15"/>
        <v>76599.899999999994</v>
      </c>
      <c r="K51" s="36">
        <f t="shared" si="9"/>
        <v>8730</v>
      </c>
      <c r="L51" s="36">
        <f t="shared" si="9"/>
        <v>11950</v>
      </c>
      <c r="M51" s="36">
        <f t="shared" si="9"/>
        <v>11950</v>
      </c>
      <c r="N51" s="36">
        <f t="shared" si="9"/>
        <v>13790</v>
      </c>
      <c r="O51" s="37"/>
      <c r="P51" s="42">
        <f t="shared" si="18"/>
        <v>17465</v>
      </c>
      <c r="Q51" s="36">
        <f t="shared" si="18"/>
        <v>23900</v>
      </c>
      <c r="R51" s="36">
        <f t="shared" si="18"/>
        <v>23900</v>
      </c>
      <c r="S51" s="43">
        <f t="shared" si="18"/>
        <v>27575</v>
      </c>
      <c r="T51" s="37"/>
      <c r="U51" s="42">
        <f t="shared" si="19"/>
        <v>26200</v>
      </c>
      <c r="V51" s="36">
        <f t="shared" si="19"/>
        <v>35850</v>
      </c>
      <c r="W51" s="36">
        <f t="shared" si="19"/>
        <v>35850</v>
      </c>
      <c r="X51" s="43">
        <f t="shared" si="19"/>
        <v>41360</v>
      </c>
      <c r="Y51" s="37"/>
      <c r="Z51" s="36">
        <f t="shared" si="12"/>
        <v>14550</v>
      </c>
      <c r="AA51" s="36">
        <f t="shared" si="12"/>
        <v>19920</v>
      </c>
      <c r="AB51" s="36">
        <f t="shared" si="12"/>
        <v>19920</v>
      </c>
      <c r="AC51" s="36">
        <f t="shared" si="12"/>
        <v>22980</v>
      </c>
      <c r="AD51" s="34"/>
    </row>
    <row r="52" spans="1:30" s="24" customFormat="1" ht="22.5" customHeight="1" thickBot="1" x14ac:dyDescent="0.3">
      <c r="A52" s="24">
        <v>32</v>
      </c>
      <c r="B52" s="33">
        <f t="shared" si="20"/>
        <v>4030</v>
      </c>
      <c r="C52" s="33">
        <f t="shared" si="21"/>
        <v>4429.99</v>
      </c>
      <c r="D52" s="24" t="str">
        <f t="shared" si="13"/>
        <v>$4030 - $4429.99</v>
      </c>
      <c r="E52" s="34">
        <f t="shared" si="14"/>
        <v>4229.9949999999999</v>
      </c>
      <c r="F52" s="34">
        <f t="shared" si="17"/>
        <v>50759.94</v>
      </c>
      <c r="G52" s="34">
        <f t="shared" si="17"/>
        <v>101519.88</v>
      </c>
      <c r="H52" s="34">
        <f t="shared" si="17"/>
        <v>152279.82</v>
      </c>
      <c r="I52" s="34">
        <f t="shared" si="17"/>
        <v>203039.76</v>
      </c>
      <c r="J52" s="34">
        <f t="shared" si="15"/>
        <v>84599.9</v>
      </c>
      <c r="K52" s="36">
        <f t="shared" si="9"/>
        <v>9645</v>
      </c>
      <c r="L52" s="36">
        <f t="shared" si="9"/>
        <v>13200</v>
      </c>
      <c r="M52" s="36">
        <f t="shared" si="9"/>
        <v>13200</v>
      </c>
      <c r="N52" s="36">
        <f t="shared" si="9"/>
        <v>15230</v>
      </c>
      <c r="O52" s="37"/>
      <c r="P52" s="44">
        <f t="shared" si="18"/>
        <v>19290</v>
      </c>
      <c r="Q52" s="45">
        <f t="shared" si="18"/>
        <v>26395</v>
      </c>
      <c r="R52" s="45">
        <f t="shared" si="18"/>
        <v>26395</v>
      </c>
      <c r="S52" s="46">
        <f t="shared" si="18"/>
        <v>30455</v>
      </c>
      <c r="T52" s="37"/>
      <c r="U52" s="44">
        <f t="shared" si="19"/>
        <v>28930</v>
      </c>
      <c r="V52" s="45">
        <f t="shared" si="19"/>
        <v>39590</v>
      </c>
      <c r="W52" s="45">
        <f t="shared" si="19"/>
        <v>39590</v>
      </c>
      <c r="X52" s="46">
        <f t="shared" si="19"/>
        <v>45680</v>
      </c>
      <c r="Y52" s="37"/>
      <c r="Z52" s="36">
        <f t="shared" si="12"/>
        <v>16070</v>
      </c>
      <c r="AA52" s="36">
        <f t="shared" si="12"/>
        <v>22000</v>
      </c>
      <c r="AB52" s="36">
        <f t="shared" si="12"/>
        <v>22000</v>
      </c>
      <c r="AC52" s="36">
        <f t="shared" si="12"/>
        <v>25380</v>
      </c>
      <c r="AD52" s="34"/>
    </row>
    <row r="53" spans="1:30" ht="15.75" thickTop="1" x14ac:dyDescent="0.25"/>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0.23</v>
      </c>
      <c r="C4" s="31">
        <v>0.28000000000000003</v>
      </c>
      <c r="D4" s="31">
        <v>0.32</v>
      </c>
      <c r="E4" s="31">
        <v>0.37</v>
      </c>
    </row>
    <row r="5" spans="1:33" x14ac:dyDescent="0.25">
      <c r="B5" s="1"/>
      <c r="E5" s="26"/>
      <c r="F5" s="28">
        <v>1</v>
      </c>
      <c r="G5" s="27">
        <v>2</v>
      </c>
      <c r="H5" s="27">
        <f>+G5+1</f>
        <v>3</v>
      </c>
      <c r="I5" s="27">
        <f t="shared" ref="I5:X11"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1" si="1">+X5+1</f>
        <v>20</v>
      </c>
      <c r="Z5" s="28">
        <f t="shared" si="1"/>
        <v>21</v>
      </c>
      <c r="AA5" s="28">
        <f t="shared" si="1"/>
        <v>22</v>
      </c>
      <c r="AB5" s="28">
        <f t="shared" si="1"/>
        <v>23</v>
      </c>
      <c r="AC5" s="28">
        <f t="shared" si="1"/>
        <v>24</v>
      </c>
      <c r="AD5" s="27">
        <f t="shared" si="1"/>
        <v>25</v>
      </c>
      <c r="AE5" s="27">
        <f t="shared" si="1"/>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1"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v>1</v>
      </c>
      <c r="K11" s="27">
        <f t="shared" si="2"/>
        <v>2</v>
      </c>
      <c r="L11" s="27">
        <f t="shared" si="2"/>
        <v>3</v>
      </c>
      <c r="M11" s="27">
        <f t="shared" si="2"/>
        <v>4</v>
      </c>
      <c r="N11" s="27">
        <f t="shared" si="2"/>
        <v>5</v>
      </c>
      <c r="O11" s="27">
        <f t="shared" si="2"/>
        <v>6</v>
      </c>
      <c r="P11" s="27">
        <f t="shared" si="2"/>
        <v>7</v>
      </c>
      <c r="Q11" s="27">
        <f t="shared" si="2"/>
        <v>8</v>
      </c>
      <c r="R11" s="27">
        <f t="shared" si="2"/>
        <v>9</v>
      </c>
      <c r="S11" s="27">
        <f t="shared" si="2"/>
        <v>10</v>
      </c>
      <c r="T11" s="27">
        <f t="shared" si="2"/>
        <v>11</v>
      </c>
      <c r="U11" s="27">
        <f t="shared" si="2"/>
        <v>12</v>
      </c>
      <c r="V11" s="27">
        <f t="shared" si="2"/>
        <v>13</v>
      </c>
      <c r="W11" s="27">
        <f t="shared" si="2"/>
        <v>14</v>
      </c>
      <c r="X11" s="27">
        <f t="shared" si="0"/>
        <v>15</v>
      </c>
      <c r="Y11" s="27">
        <f t="shared" si="1"/>
        <v>16</v>
      </c>
      <c r="Z11" s="27">
        <f t="shared" si="1"/>
        <v>17</v>
      </c>
      <c r="AA11" s="27">
        <f t="shared" si="1"/>
        <v>18</v>
      </c>
      <c r="AB11" s="27">
        <f t="shared" si="1"/>
        <v>19</v>
      </c>
      <c r="AC11" s="27">
        <f t="shared" si="1"/>
        <v>20</v>
      </c>
      <c r="AD11" s="27">
        <f t="shared" si="1"/>
        <v>21</v>
      </c>
      <c r="AE11" s="27">
        <f t="shared" si="1"/>
        <v>22</v>
      </c>
      <c r="AF11" s="27">
        <f t="shared" si="1"/>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0.23</v>
      </c>
      <c r="L18" s="20">
        <f>$C$4</f>
        <v>0.28000000000000003</v>
      </c>
      <c r="M18" s="20">
        <f>$D$4</f>
        <v>0.32</v>
      </c>
      <c r="N18" s="20">
        <f>$E$4</f>
        <v>0.37</v>
      </c>
      <c r="O18" s="20"/>
      <c r="P18" s="20">
        <f>$B$4</f>
        <v>0.23</v>
      </c>
      <c r="Q18" s="20">
        <f>$C$4</f>
        <v>0.28000000000000003</v>
      </c>
      <c r="R18" s="20">
        <f>$D$4</f>
        <v>0.32</v>
      </c>
      <c r="S18" s="20">
        <f>$E$4</f>
        <v>0.37</v>
      </c>
      <c r="T18" s="20"/>
      <c r="U18" s="20">
        <f>$B$4</f>
        <v>0.23</v>
      </c>
      <c r="V18" s="20">
        <f>$C$4</f>
        <v>0.28000000000000003</v>
      </c>
      <c r="W18" s="20">
        <f>$D$4</f>
        <v>0.32</v>
      </c>
      <c r="X18" s="20">
        <f>$E$4</f>
        <v>0.37</v>
      </c>
      <c r="Y18" s="20"/>
      <c r="Z18" s="20">
        <f>$B$4</f>
        <v>0.23</v>
      </c>
      <c r="AA18" s="20">
        <f>$C$4</f>
        <v>0.28000000000000003</v>
      </c>
      <c r="AB18" s="20">
        <f>$D$4</f>
        <v>0.32</v>
      </c>
      <c r="AC18" s="20">
        <f>$E$4</f>
        <v>0.37</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4">ROUND(($J21*AA$18)/10,0)*10</f>
        <v>0</v>
      </c>
      <c r="AB21" s="36">
        <f t="shared" si="4"/>
        <v>0</v>
      </c>
      <c r="AC21" s="36">
        <f t="shared" si="4"/>
        <v>0</v>
      </c>
      <c r="AD21" s="34"/>
      <c r="AE21" s="24">
        <v>0</v>
      </c>
      <c r="AF21" s="24">
        <v>0</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v>0</v>
      </c>
      <c r="K22" s="36">
        <f t="shared" ref="K22:N52" si="6">ROUND(($F22*K$18)/5,0)*5</f>
        <v>0</v>
      </c>
      <c r="L22" s="36">
        <f t="shared" si="6"/>
        <v>0</v>
      </c>
      <c r="M22" s="36">
        <f t="shared" si="6"/>
        <v>0</v>
      </c>
      <c r="N22" s="36">
        <f t="shared" si="6"/>
        <v>0</v>
      </c>
      <c r="O22" s="37"/>
      <c r="P22" s="38">
        <f t="shared" ref="P22:S38" si="7">ROUND(($G22*P$18)/5,0)*5</f>
        <v>0</v>
      </c>
      <c r="Q22" s="38">
        <f t="shared" si="7"/>
        <v>0</v>
      </c>
      <c r="R22" s="38">
        <f t="shared" si="7"/>
        <v>0</v>
      </c>
      <c r="S22" s="38">
        <f t="shared" si="7"/>
        <v>0</v>
      </c>
      <c r="T22" s="37"/>
      <c r="U22" s="38">
        <f t="shared" ref="U22:X38" si="8">ROUND(($H22*U$18)/10,0)*10</f>
        <v>0</v>
      </c>
      <c r="V22" s="38">
        <f t="shared" si="8"/>
        <v>0</v>
      </c>
      <c r="W22" s="38">
        <f t="shared" si="8"/>
        <v>0</v>
      </c>
      <c r="X22" s="38">
        <f t="shared" si="8"/>
        <v>0</v>
      </c>
      <c r="Y22" s="37"/>
      <c r="Z22" s="36">
        <f t="shared" ref="Z22:AC52" si="9">ROUND(($J22*Z$18)/10,0)*10</f>
        <v>0</v>
      </c>
      <c r="AA22" s="36">
        <f t="shared" si="4"/>
        <v>0</v>
      </c>
      <c r="AB22" s="36">
        <f t="shared" si="4"/>
        <v>0</v>
      </c>
      <c r="AC22" s="36">
        <f t="shared" si="4"/>
        <v>0</v>
      </c>
      <c r="AD22" s="34"/>
      <c r="AE22" s="24">
        <v>24</v>
      </c>
      <c r="AF22" s="24">
        <v>24</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+$E23*J$17</f>
        <v>499.9</v>
      </c>
      <c r="K23" s="36">
        <f t="shared" si="6"/>
        <v>70</v>
      </c>
      <c r="L23" s="36">
        <f t="shared" si="6"/>
        <v>85</v>
      </c>
      <c r="M23" s="36">
        <f t="shared" si="6"/>
        <v>95</v>
      </c>
      <c r="N23" s="36">
        <f t="shared" si="6"/>
        <v>110</v>
      </c>
      <c r="O23" s="37"/>
      <c r="P23" s="39">
        <f t="shared" si="7"/>
        <v>140</v>
      </c>
      <c r="Q23" s="40">
        <f t="shared" si="7"/>
        <v>170</v>
      </c>
      <c r="R23" s="40">
        <f t="shared" si="7"/>
        <v>190</v>
      </c>
      <c r="S23" s="41">
        <f t="shared" si="7"/>
        <v>220</v>
      </c>
      <c r="T23" s="37"/>
      <c r="U23" s="39">
        <f t="shared" si="8"/>
        <v>210</v>
      </c>
      <c r="V23" s="40">
        <f t="shared" si="8"/>
        <v>250</v>
      </c>
      <c r="W23" s="40">
        <f t="shared" si="8"/>
        <v>290</v>
      </c>
      <c r="X23" s="41">
        <f t="shared" si="8"/>
        <v>330</v>
      </c>
      <c r="Y23" s="37"/>
      <c r="Z23" s="36">
        <f t="shared" si="9"/>
        <v>110</v>
      </c>
      <c r="AA23" s="36">
        <f t="shared" si="4"/>
        <v>140</v>
      </c>
      <c r="AB23" s="36">
        <f t="shared" si="4"/>
        <v>160</v>
      </c>
      <c r="AC23" s="36">
        <f t="shared" si="4"/>
        <v>180</v>
      </c>
      <c r="AD23" s="34"/>
      <c r="AE23" s="24">
        <v>36</v>
      </c>
      <c r="AF23" s="24">
        <v>36</v>
      </c>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ref="J24:J52" si="12">+$E24*J$17</f>
        <v>624.9</v>
      </c>
      <c r="K24" s="36">
        <f t="shared" si="6"/>
        <v>85</v>
      </c>
      <c r="L24" s="36">
        <f t="shared" si="6"/>
        <v>105</v>
      </c>
      <c r="M24" s="36">
        <f t="shared" si="6"/>
        <v>120</v>
      </c>
      <c r="N24" s="36">
        <f t="shared" si="6"/>
        <v>140</v>
      </c>
      <c r="O24" s="37"/>
      <c r="P24" s="42">
        <f t="shared" si="7"/>
        <v>170</v>
      </c>
      <c r="Q24" s="36">
        <f t="shared" si="7"/>
        <v>210</v>
      </c>
      <c r="R24" s="36">
        <f t="shared" si="7"/>
        <v>240</v>
      </c>
      <c r="S24" s="43">
        <f t="shared" si="7"/>
        <v>275</v>
      </c>
      <c r="T24" s="37"/>
      <c r="U24" s="42">
        <f t="shared" si="8"/>
        <v>260</v>
      </c>
      <c r="V24" s="36">
        <f t="shared" si="8"/>
        <v>310</v>
      </c>
      <c r="W24" s="36">
        <f t="shared" si="8"/>
        <v>360</v>
      </c>
      <c r="X24" s="43">
        <f t="shared" si="8"/>
        <v>420</v>
      </c>
      <c r="Y24" s="37"/>
      <c r="Z24" s="36">
        <f t="shared" si="9"/>
        <v>140</v>
      </c>
      <c r="AA24" s="36">
        <f t="shared" si="4"/>
        <v>170</v>
      </c>
      <c r="AB24" s="36">
        <f t="shared" si="4"/>
        <v>200</v>
      </c>
      <c r="AC24" s="36">
        <f t="shared" si="4"/>
        <v>230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12"/>
        <v>674.90000000000009</v>
      </c>
      <c r="K25" s="36">
        <f t="shared" si="6"/>
        <v>95</v>
      </c>
      <c r="L25" s="36">
        <f t="shared" si="6"/>
        <v>115</v>
      </c>
      <c r="M25" s="36">
        <f t="shared" si="6"/>
        <v>130</v>
      </c>
      <c r="N25" s="36">
        <f t="shared" si="6"/>
        <v>150</v>
      </c>
      <c r="O25" s="37"/>
      <c r="P25" s="42">
        <f t="shared" si="7"/>
        <v>185</v>
      </c>
      <c r="Q25" s="36">
        <f t="shared" si="7"/>
        <v>225</v>
      </c>
      <c r="R25" s="36">
        <f t="shared" si="7"/>
        <v>260</v>
      </c>
      <c r="S25" s="43">
        <f t="shared" si="7"/>
        <v>300</v>
      </c>
      <c r="T25" s="37"/>
      <c r="U25" s="42">
        <f t="shared" si="8"/>
        <v>280</v>
      </c>
      <c r="V25" s="36">
        <f t="shared" si="8"/>
        <v>340</v>
      </c>
      <c r="W25" s="36">
        <f t="shared" si="8"/>
        <v>390</v>
      </c>
      <c r="X25" s="43">
        <f t="shared" si="8"/>
        <v>450</v>
      </c>
      <c r="Y25" s="37"/>
      <c r="Z25" s="36">
        <f t="shared" si="9"/>
        <v>160</v>
      </c>
      <c r="AA25" s="36">
        <f t="shared" si="4"/>
        <v>190</v>
      </c>
      <c r="AB25" s="36">
        <f t="shared" si="4"/>
        <v>220</v>
      </c>
      <c r="AC25" s="36">
        <f t="shared" si="4"/>
        <v>250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12"/>
        <v>724.90000000000009</v>
      </c>
      <c r="K26" s="36">
        <f t="shared" si="6"/>
        <v>100</v>
      </c>
      <c r="L26" s="36">
        <f t="shared" si="6"/>
        <v>120</v>
      </c>
      <c r="M26" s="36">
        <f t="shared" si="6"/>
        <v>140</v>
      </c>
      <c r="N26" s="36">
        <f t="shared" si="6"/>
        <v>160</v>
      </c>
      <c r="O26" s="37"/>
      <c r="P26" s="42">
        <f t="shared" si="7"/>
        <v>200</v>
      </c>
      <c r="Q26" s="36">
        <f t="shared" si="7"/>
        <v>245</v>
      </c>
      <c r="R26" s="36">
        <f t="shared" si="7"/>
        <v>280</v>
      </c>
      <c r="S26" s="43">
        <f t="shared" si="7"/>
        <v>320</v>
      </c>
      <c r="T26" s="37"/>
      <c r="U26" s="42">
        <f t="shared" si="8"/>
        <v>300</v>
      </c>
      <c r="V26" s="36">
        <f t="shared" si="8"/>
        <v>370</v>
      </c>
      <c r="W26" s="36">
        <f t="shared" si="8"/>
        <v>420</v>
      </c>
      <c r="X26" s="43">
        <f t="shared" si="8"/>
        <v>480</v>
      </c>
      <c r="Y26" s="37"/>
      <c r="Z26" s="36">
        <f t="shared" si="9"/>
        <v>170</v>
      </c>
      <c r="AA26" s="36">
        <f t="shared" si="4"/>
        <v>200</v>
      </c>
      <c r="AB26" s="36">
        <f t="shared" si="4"/>
        <v>230</v>
      </c>
      <c r="AC26" s="36">
        <f t="shared" si="4"/>
        <v>270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12"/>
        <v>774.90000000000009</v>
      </c>
      <c r="K27" s="36">
        <f t="shared" si="6"/>
        <v>105</v>
      </c>
      <c r="L27" s="36">
        <f t="shared" si="6"/>
        <v>130</v>
      </c>
      <c r="M27" s="36">
        <f t="shared" si="6"/>
        <v>150</v>
      </c>
      <c r="N27" s="36">
        <f t="shared" si="6"/>
        <v>170</v>
      </c>
      <c r="O27" s="37"/>
      <c r="P27" s="42">
        <f t="shared" si="7"/>
        <v>215</v>
      </c>
      <c r="Q27" s="36">
        <f t="shared" si="7"/>
        <v>260</v>
      </c>
      <c r="R27" s="36">
        <f t="shared" si="7"/>
        <v>300</v>
      </c>
      <c r="S27" s="43">
        <f t="shared" si="7"/>
        <v>345</v>
      </c>
      <c r="T27" s="37"/>
      <c r="U27" s="42">
        <f t="shared" si="8"/>
        <v>320</v>
      </c>
      <c r="V27" s="36">
        <f t="shared" si="8"/>
        <v>390</v>
      </c>
      <c r="W27" s="36">
        <f t="shared" si="8"/>
        <v>450</v>
      </c>
      <c r="X27" s="43">
        <f t="shared" si="8"/>
        <v>520</v>
      </c>
      <c r="Y27" s="37"/>
      <c r="Z27" s="36">
        <f t="shared" si="9"/>
        <v>180</v>
      </c>
      <c r="AA27" s="36">
        <f t="shared" si="4"/>
        <v>220</v>
      </c>
      <c r="AB27" s="36">
        <f t="shared" si="4"/>
        <v>250</v>
      </c>
      <c r="AC27" s="36">
        <f t="shared" si="4"/>
        <v>290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12"/>
        <v>824.90000000000009</v>
      </c>
      <c r="K28" s="36">
        <f t="shared" si="6"/>
        <v>115</v>
      </c>
      <c r="L28" s="36">
        <f t="shared" si="6"/>
        <v>140</v>
      </c>
      <c r="M28" s="36">
        <f t="shared" si="6"/>
        <v>160</v>
      </c>
      <c r="N28" s="36">
        <f t="shared" si="6"/>
        <v>185</v>
      </c>
      <c r="O28" s="37"/>
      <c r="P28" s="42">
        <f t="shared" si="7"/>
        <v>230</v>
      </c>
      <c r="Q28" s="36">
        <f t="shared" si="7"/>
        <v>275</v>
      </c>
      <c r="R28" s="36">
        <f t="shared" si="7"/>
        <v>315</v>
      </c>
      <c r="S28" s="43">
        <f t="shared" si="7"/>
        <v>365</v>
      </c>
      <c r="T28" s="37"/>
      <c r="U28" s="42">
        <f t="shared" si="8"/>
        <v>340</v>
      </c>
      <c r="V28" s="36">
        <f t="shared" si="8"/>
        <v>420</v>
      </c>
      <c r="W28" s="36">
        <f t="shared" si="8"/>
        <v>480</v>
      </c>
      <c r="X28" s="43">
        <f t="shared" si="8"/>
        <v>550</v>
      </c>
      <c r="Y28" s="37"/>
      <c r="Z28" s="36">
        <f t="shared" si="9"/>
        <v>190</v>
      </c>
      <c r="AA28" s="36">
        <f t="shared" si="4"/>
        <v>230</v>
      </c>
      <c r="AB28" s="36">
        <f t="shared" si="4"/>
        <v>260</v>
      </c>
      <c r="AC28" s="36">
        <f t="shared" si="4"/>
        <v>310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12"/>
        <v>874.90000000000009</v>
      </c>
      <c r="K29" s="36">
        <f t="shared" si="6"/>
        <v>120</v>
      </c>
      <c r="L29" s="36">
        <f t="shared" si="6"/>
        <v>145</v>
      </c>
      <c r="M29" s="36">
        <f t="shared" si="6"/>
        <v>170</v>
      </c>
      <c r="N29" s="36">
        <f t="shared" si="6"/>
        <v>195</v>
      </c>
      <c r="O29" s="37"/>
      <c r="P29" s="42">
        <f t="shared" si="7"/>
        <v>240</v>
      </c>
      <c r="Q29" s="36">
        <f t="shared" si="7"/>
        <v>295</v>
      </c>
      <c r="R29" s="36">
        <f t="shared" si="7"/>
        <v>335</v>
      </c>
      <c r="S29" s="43">
        <f t="shared" si="7"/>
        <v>390</v>
      </c>
      <c r="T29" s="37"/>
      <c r="U29" s="42">
        <f t="shared" si="8"/>
        <v>360</v>
      </c>
      <c r="V29" s="36">
        <f t="shared" si="8"/>
        <v>440</v>
      </c>
      <c r="W29" s="36">
        <f t="shared" si="8"/>
        <v>500</v>
      </c>
      <c r="X29" s="43">
        <f t="shared" si="8"/>
        <v>580</v>
      </c>
      <c r="Y29" s="37"/>
      <c r="Z29" s="36">
        <f t="shared" si="9"/>
        <v>200</v>
      </c>
      <c r="AA29" s="36">
        <f t="shared" si="4"/>
        <v>240</v>
      </c>
      <c r="AB29" s="36">
        <f t="shared" si="4"/>
        <v>280</v>
      </c>
      <c r="AC29" s="36">
        <f t="shared" si="4"/>
        <v>320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12"/>
        <v>924.90000000000009</v>
      </c>
      <c r="K30" s="36">
        <f t="shared" si="6"/>
        <v>130</v>
      </c>
      <c r="L30" s="36">
        <f t="shared" si="6"/>
        <v>155</v>
      </c>
      <c r="M30" s="36">
        <f t="shared" si="6"/>
        <v>180</v>
      </c>
      <c r="N30" s="36">
        <f t="shared" si="6"/>
        <v>205</v>
      </c>
      <c r="O30" s="37"/>
      <c r="P30" s="42">
        <f t="shared" si="7"/>
        <v>255</v>
      </c>
      <c r="Q30" s="36">
        <f t="shared" si="7"/>
        <v>310</v>
      </c>
      <c r="R30" s="36">
        <f t="shared" si="7"/>
        <v>355</v>
      </c>
      <c r="S30" s="43">
        <f t="shared" si="7"/>
        <v>410</v>
      </c>
      <c r="T30" s="37"/>
      <c r="U30" s="42">
        <f t="shared" si="8"/>
        <v>380</v>
      </c>
      <c r="V30" s="36">
        <f t="shared" si="8"/>
        <v>470</v>
      </c>
      <c r="W30" s="36">
        <f t="shared" si="8"/>
        <v>530</v>
      </c>
      <c r="X30" s="43">
        <f t="shared" si="8"/>
        <v>620</v>
      </c>
      <c r="Y30" s="37"/>
      <c r="Z30" s="36">
        <f t="shared" si="9"/>
        <v>210</v>
      </c>
      <c r="AA30" s="36">
        <f t="shared" si="4"/>
        <v>260</v>
      </c>
      <c r="AB30" s="36">
        <f t="shared" si="4"/>
        <v>300</v>
      </c>
      <c r="AC30" s="36">
        <f t="shared" si="4"/>
        <v>340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12"/>
        <v>1024.9000000000001</v>
      </c>
      <c r="K31" s="36">
        <f t="shared" si="6"/>
        <v>140</v>
      </c>
      <c r="L31" s="36">
        <f t="shared" si="6"/>
        <v>170</v>
      </c>
      <c r="M31" s="36">
        <f t="shared" si="6"/>
        <v>195</v>
      </c>
      <c r="N31" s="36">
        <f t="shared" si="6"/>
        <v>230</v>
      </c>
      <c r="O31" s="37"/>
      <c r="P31" s="42">
        <f t="shared" si="7"/>
        <v>285</v>
      </c>
      <c r="Q31" s="36">
        <f t="shared" si="7"/>
        <v>345</v>
      </c>
      <c r="R31" s="36">
        <f t="shared" si="7"/>
        <v>395</v>
      </c>
      <c r="S31" s="43">
        <f t="shared" si="7"/>
        <v>455</v>
      </c>
      <c r="T31" s="37"/>
      <c r="U31" s="42">
        <f t="shared" si="8"/>
        <v>420</v>
      </c>
      <c r="V31" s="36">
        <f t="shared" si="8"/>
        <v>520</v>
      </c>
      <c r="W31" s="36">
        <f t="shared" si="8"/>
        <v>590</v>
      </c>
      <c r="X31" s="43">
        <f t="shared" si="8"/>
        <v>680</v>
      </c>
      <c r="Y31" s="37"/>
      <c r="Z31" s="36">
        <f t="shared" si="9"/>
        <v>240</v>
      </c>
      <c r="AA31" s="36">
        <f t="shared" si="4"/>
        <v>290</v>
      </c>
      <c r="AB31" s="36">
        <f t="shared" si="4"/>
        <v>330</v>
      </c>
      <c r="AC31" s="36">
        <f t="shared" si="4"/>
        <v>380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12"/>
        <v>1149.9000000000001</v>
      </c>
      <c r="K32" s="36">
        <f t="shared" si="6"/>
        <v>160</v>
      </c>
      <c r="L32" s="36">
        <f t="shared" si="6"/>
        <v>195</v>
      </c>
      <c r="M32" s="36">
        <f t="shared" si="6"/>
        <v>220</v>
      </c>
      <c r="N32" s="36">
        <f t="shared" si="6"/>
        <v>255</v>
      </c>
      <c r="O32" s="37"/>
      <c r="P32" s="42">
        <f t="shared" si="7"/>
        <v>315</v>
      </c>
      <c r="Q32" s="36">
        <f t="shared" si="7"/>
        <v>385</v>
      </c>
      <c r="R32" s="36">
        <f t="shared" si="7"/>
        <v>440</v>
      </c>
      <c r="S32" s="43">
        <f t="shared" si="7"/>
        <v>510</v>
      </c>
      <c r="T32" s="37"/>
      <c r="U32" s="42">
        <f t="shared" si="8"/>
        <v>480</v>
      </c>
      <c r="V32" s="36">
        <f t="shared" si="8"/>
        <v>580</v>
      </c>
      <c r="W32" s="36">
        <f t="shared" si="8"/>
        <v>660</v>
      </c>
      <c r="X32" s="43">
        <f t="shared" si="8"/>
        <v>770</v>
      </c>
      <c r="Y32" s="37"/>
      <c r="Z32" s="36">
        <f t="shared" si="9"/>
        <v>260</v>
      </c>
      <c r="AA32" s="36">
        <f t="shared" si="4"/>
        <v>320</v>
      </c>
      <c r="AB32" s="36">
        <f t="shared" si="4"/>
        <v>370</v>
      </c>
      <c r="AC32" s="36">
        <f t="shared" si="4"/>
        <v>430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12"/>
        <v>1299.9000000000001</v>
      </c>
      <c r="K33" s="36">
        <f t="shared" si="6"/>
        <v>180</v>
      </c>
      <c r="L33" s="36">
        <f t="shared" si="6"/>
        <v>220</v>
      </c>
      <c r="M33" s="36">
        <f t="shared" si="6"/>
        <v>250</v>
      </c>
      <c r="N33" s="36">
        <f t="shared" si="6"/>
        <v>290</v>
      </c>
      <c r="O33" s="37"/>
      <c r="P33" s="42">
        <f t="shared" si="7"/>
        <v>360</v>
      </c>
      <c r="Q33" s="36">
        <f t="shared" si="7"/>
        <v>435</v>
      </c>
      <c r="R33" s="36">
        <f t="shared" si="7"/>
        <v>500</v>
      </c>
      <c r="S33" s="43">
        <f t="shared" si="7"/>
        <v>575</v>
      </c>
      <c r="T33" s="37"/>
      <c r="U33" s="42">
        <f t="shared" si="8"/>
        <v>540</v>
      </c>
      <c r="V33" s="36">
        <f t="shared" si="8"/>
        <v>660</v>
      </c>
      <c r="W33" s="36">
        <f t="shared" si="8"/>
        <v>750</v>
      </c>
      <c r="X33" s="43">
        <f t="shared" si="8"/>
        <v>870</v>
      </c>
      <c r="Y33" s="37"/>
      <c r="Z33" s="36">
        <f t="shared" si="9"/>
        <v>300</v>
      </c>
      <c r="AA33" s="36">
        <f t="shared" si="4"/>
        <v>360</v>
      </c>
      <c r="AB33" s="36">
        <f t="shared" si="4"/>
        <v>420</v>
      </c>
      <c r="AC33" s="36">
        <f t="shared" si="4"/>
        <v>480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12"/>
        <v>1499.9</v>
      </c>
      <c r="K34" s="36">
        <f t="shared" si="6"/>
        <v>205</v>
      </c>
      <c r="L34" s="36">
        <f t="shared" si="6"/>
        <v>250</v>
      </c>
      <c r="M34" s="36">
        <f t="shared" si="6"/>
        <v>290</v>
      </c>
      <c r="N34" s="36">
        <f t="shared" si="6"/>
        <v>335</v>
      </c>
      <c r="O34" s="37"/>
      <c r="P34" s="42">
        <f t="shared" si="7"/>
        <v>415</v>
      </c>
      <c r="Q34" s="36">
        <f t="shared" si="7"/>
        <v>505</v>
      </c>
      <c r="R34" s="36">
        <f t="shared" si="7"/>
        <v>575</v>
      </c>
      <c r="S34" s="43">
        <f t="shared" si="7"/>
        <v>665</v>
      </c>
      <c r="T34" s="37"/>
      <c r="U34" s="42">
        <f t="shared" si="8"/>
        <v>620</v>
      </c>
      <c r="V34" s="36">
        <f t="shared" si="8"/>
        <v>760</v>
      </c>
      <c r="W34" s="36">
        <f t="shared" si="8"/>
        <v>860</v>
      </c>
      <c r="X34" s="43">
        <f t="shared" si="8"/>
        <v>1000</v>
      </c>
      <c r="Y34" s="37"/>
      <c r="Z34" s="36">
        <f t="shared" si="9"/>
        <v>340</v>
      </c>
      <c r="AA34" s="36">
        <f t="shared" si="4"/>
        <v>420</v>
      </c>
      <c r="AB34" s="36">
        <f t="shared" si="4"/>
        <v>480</v>
      </c>
      <c r="AC34" s="36">
        <f t="shared" si="4"/>
        <v>550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12"/>
        <v>2099.9</v>
      </c>
      <c r="K35" s="36">
        <f t="shared" si="6"/>
        <v>290</v>
      </c>
      <c r="L35" s="36">
        <f t="shared" si="6"/>
        <v>355</v>
      </c>
      <c r="M35" s="36">
        <f t="shared" si="6"/>
        <v>405</v>
      </c>
      <c r="N35" s="36">
        <f t="shared" si="6"/>
        <v>465</v>
      </c>
      <c r="O35" s="37"/>
      <c r="P35" s="42">
        <f t="shared" si="7"/>
        <v>580</v>
      </c>
      <c r="Q35" s="36">
        <f t="shared" si="7"/>
        <v>705</v>
      </c>
      <c r="R35" s="36">
        <f t="shared" si="7"/>
        <v>805</v>
      </c>
      <c r="S35" s="43">
        <f t="shared" si="7"/>
        <v>930</v>
      </c>
      <c r="T35" s="37"/>
      <c r="U35" s="42">
        <f t="shared" si="8"/>
        <v>870</v>
      </c>
      <c r="V35" s="36">
        <f t="shared" si="8"/>
        <v>1060</v>
      </c>
      <c r="W35" s="36">
        <f t="shared" si="8"/>
        <v>1210</v>
      </c>
      <c r="X35" s="43">
        <f t="shared" si="8"/>
        <v>1400</v>
      </c>
      <c r="Y35" s="37"/>
      <c r="Z35" s="36">
        <f t="shared" si="9"/>
        <v>480</v>
      </c>
      <c r="AA35" s="36">
        <f t="shared" si="4"/>
        <v>590</v>
      </c>
      <c r="AB35" s="36">
        <f t="shared" si="4"/>
        <v>670</v>
      </c>
      <c r="AC35" s="36">
        <f t="shared" si="4"/>
        <v>780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12"/>
        <v>3349.9</v>
      </c>
      <c r="K36" s="36">
        <f t="shared" si="6"/>
        <v>460</v>
      </c>
      <c r="L36" s="36">
        <f t="shared" si="6"/>
        <v>565</v>
      </c>
      <c r="M36" s="36">
        <f t="shared" si="6"/>
        <v>645</v>
      </c>
      <c r="N36" s="36">
        <f t="shared" si="6"/>
        <v>745</v>
      </c>
      <c r="O36" s="37"/>
      <c r="P36" s="42">
        <f t="shared" si="7"/>
        <v>925</v>
      </c>
      <c r="Q36" s="36">
        <f t="shared" si="7"/>
        <v>1125</v>
      </c>
      <c r="R36" s="36">
        <f t="shared" si="7"/>
        <v>1285</v>
      </c>
      <c r="S36" s="43">
        <f t="shared" si="7"/>
        <v>1485</v>
      </c>
      <c r="T36" s="37"/>
      <c r="U36" s="42">
        <f t="shared" si="8"/>
        <v>1390</v>
      </c>
      <c r="V36" s="36">
        <f t="shared" si="8"/>
        <v>1690</v>
      </c>
      <c r="W36" s="36">
        <f t="shared" si="8"/>
        <v>1930</v>
      </c>
      <c r="X36" s="43">
        <f t="shared" si="8"/>
        <v>2230</v>
      </c>
      <c r="Y36" s="37"/>
      <c r="Z36" s="36">
        <f t="shared" si="9"/>
        <v>770</v>
      </c>
      <c r="AA36" s="36">
        <f t="shared" si="4"/>
        <v>940</v>
      </c>
      <c r="AB36" s="36">
        <f t="shared" si="4"/>
        <v>1070</v>
      </c>
      <c r="AC36" s="36">
        <f t="shared" si="4"/>
        <v>1240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12"/>
        <v>4849.8999999999996</v>
      </c>
      <c r="K37" s="36">
        <f t="shared" si="6"/>
        <v>670</v>
      </c>
      <c r="L37" s="36">
        <f t="shared" si="6"/>
        <v>815</v>
      </c>
      <c r="M37" s="36">
        <f t="shared" si="6"/>
        <v>930</v>
      </c>
      <c r="N37" s="36">
        <f t="shared" si="6"/>
        <v>1075</v>
      </c>
      <c r="O37" s="37"/>
      <c r="P37" s="42">
        <f t="shared" si="7"/>
        <v>1340</v>
      </c>
      <c r="Q37" s="36">
        <f t="shared" si="7"/>
        <v>1630</v>
      </c>
      <c r="R37" s="36">
        <f t="shared" si="7"/>
        <v>1860</v>
      </c>
      <c r="S37" s="43">
        <f t="shared" si="7"/>
        <v>2155</v>
      </c>
      <c r="T37" s="37"/>
      <c r="U37" s="42">
        <f t="shared" si="8"/>
        <v>2010</v>
      </c>
      <c r="V37" s="36">
        <f t="shared" si="8"/>
        <v>2440</v>
      </c>
      <c r="W37" s="36">
        <f t="shared" si="8"/>
        <v>2790</v>
      </c>
      <c r="X37" s="43">
        <f t="shared" si="8"/>
        <v>3230</v>
      </c>
      <c r="Y37" s="37"/>
      <c r="Z37" s="36">
        <f t="shared" si="9"/>
        <v>1120</v>
      </c>
      <c r="AA37" s="36">
        <f t="shared" si="9"/>
        <v>1360</v>
      </c>
      <c r="AB37" s="36">
        <f t="shared" si="9"/>
        <v>1550</v>
      </c>
      <c r="AC37" s="36">
        <f t="shared" si="9"/>
        <v>1790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12"/>
        <v>6099.9</v>
      </c>
      <c r="K38" s="36">
        <f t="shared" si="6"/>
        <v>840</v>
      </c>
      <c r="L38" s="36">
        <f t="shared" si="6"/>
        <v>1025</v>
      </c>
      <c r="M38" s="36">
        <f t="shared" si="6"/>
        <v>1170</v>
      </c>
      <c r="N38" s="36">
        <f t="shared" si="6"/>
        <v>1355</v>
      </c>
      <c r="O38" s="37"/>
      <c r="P38" s="42">
        <f t="shared" si="7"/>
        <v>1685</v>
      </c>
      <c r="Q38" s="36">
        <f t="shared" si="7"/>
        <v>2050</v>
      </c>
      <c r="R38" s="36">
        <f t="shared" si="7"/>
        <v>2340</v>
      </c>
      <c r="S38" s="43">
        <f t="shared" si="7"/>
        <v>2710</v>
      </c>
      <c r="T38" s="37"/>
      <c r="U38" s="42">
        <f t="shared" si="8"/>
        <v>2530</v>
      </c>
      <c r="V38" s="36">
        <f t="shared" si="8"/>
        <v>3070</v>
      </c>
      <c r="W38" s="36">
        <f t="shared" si="8"/>
        <v>3510</v>
      </c>
      <c r="X38" s="43">
        <f t="shared" si="8"/>
        <v>4060</v>
      </c>
      <c r="Y38" s="37"/>
      <c r="Z38" s="36">
        <f t="shared" si="9"/>
        <v>1400</v>
      </c>
      <c r="AA38" s="36">
        <f t="shared" si="9"/>
        <v>1710</v>
      </c>
      <c r="AB38" s="36">
        <f t="shared" si="9"/>
        <v>1950</v>
      </c>
      <c r="AC38" s="36">
        <f t="shared" si="9"/>
        <v>2260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12"/>
        <v>7099.9</v>
      </c>
      <c r="K39" s="36">
        <f t="shared" si="6"/>
        <v>980</v>
      </c>
      <c r="L39" s="36">
        <f t="shared" si="6"/>
        <v>1195</v>
      </c>
      <c r="M39" s="36">
        <f t="shared" si="6"/>
        <v>1365</v>
      </c>
      <c r="N39" s="36">
        <f t="shared" si="6"/>
        <v>1575</v>
      </c>
      <c r="O39" s="37"/>
      <c r="P39" s="42">
        <f t="shared" ref="P39:S52" si="16">ROUND(($G39*P$18)/5,0)*5</f>
        <v>1960</v>
      </c>
      <c r="Q39" s="36">
        <f t="shared" si="16"/>
        <v>2385</v>
      </c>
      <c r="R39" s="36">
        <f t="shared" si="16"/>
        <v>2725</v>
      </c>
      <c r="S39" s="43">
        <f t="shared" si="16"/>
        <v>3150</v>
      </c>
      <c r="T39" s="37"/>
      <c r="U39" s="42">
        <f t="shared" ref="U39:X52" si="17">ROUND(($H39*U$18)/10,0)*10</f>
        <v>2940</v>
      </c>
      <c r="V39" s="36">
        <f t="shared" si="17"/>
        <v>3580</v>
      </c>
      <c r="W39" s="167">
        <f t="shared" si="17"/>
        <v>4090</v>
      </c>
      <c r="X39" s="43">
        <f t="shared" si="17"/>
        <v>4730</v>
      </c>
      <c r="Y39" s="37"/>
      <c r="Z39" s="36">
        <f t="shared" si="9"/>
        <v>1630</v>
      </c>
      <c r="AA39" s="36">
        <f t="shared" si="9"/>
        <v>1990</v>
      </c>
      <c r="AB39" s="36">
        <f t="shared" si="9"/>
        <v>2270</v>
      </c>
      <c r="AC39" s="36">
        <f t="shared" si="9"/>
        <v>2630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12"/>
        <v>8599.9</v>
      </c>
      <c r="K40" s="36">
        <f t="shared" si="6"/>
        <v>1185</v>
      </c>
      <c r="L40" s="36">
        <f t="shared" si="6"/>
        <v>1445</v>
      </c>
      <c r="M40" s="36">
        <f t="shared" si="6"/>
        <v>1650</v>
      </c>
      <c r="N40" s="36">
        <f t="shared" si="6"/>
        <v>1910</v>
      </c>
      <c r="O40" s="37"/>
      <c r="P40" s="42">
        <f t="shared" si="16"/>
        <v>2375</v>
      </c>
      <c r="Q40" s="36">
        <f t="shared" si="16"/>
        <v>2890</v>
      </c>
      <c r="R40" s="36">
        <f t="shared" si="16"/>
        <v>3300</v>
      </c>
      <c r="S40" s="43">
        <f t="shared" si="16"/>
        <v>3820</v>
      </c>
      <c r="T40" s="37"/>
      <c r="U40" s="42">
        <f t="shared" si="17"/>
        <v>3560</v>
      </c>
      <c r="V40" s="36">
        <f t="shared" si="17"/>
        <v>4330</v>
      </c>
      <c r="W40" s="36">
        <f t="shared" si="17"/>
        <v>4950</v>
      </c>
      <c r="X40" s="43">
        <f t="shared" si="17"/>
        <v>5730</v>
      </c>
      <c r="Y40" s="37"/>
      <c r="Z40" s="36">
        <f t="shared" si="9"/>
        <v>1980</v>
      </c>
      <c r="AA40" s="36">
        <f t="shared" si="9"/>
        <v>2410</v>
      </c>
      <c r="AB40" s="36">
        <f t="shared" si="9"/>
        <v>2750</v>
      </c>
      <c r="AC40" s="36">
        <f t="shared" si="9"/>
        <v>3180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12"/>
        <v>10599.9</v>
      </c>
      <c r="K41" s="36">
        <f t="shared" si="6"/>
        <v>1465</v>
      </c>
      <c r="L41" s="36">
        <f t="shared" si="6"/>
        <v>1780</v>
      </c>
      <c r="M41" s="36">
        <f t="shared" si="6"/>
        <v>2035</v>
      </c>
      <c r="N41" s="36">
        <f t="shared" si="6"/>
        <v>2355</v>
      </c>
      <c r="O41" s="37"/>
      <c r="P41" s="42">
        <f t="shared" si="16"/>
        <v>2925</v>
      </c>
      <c r="Q41" s="36">
        <f t="shared" si="16"/>
        <v>3560</v>
      </c>
      <c r="R41" s="36">
        <f t="shared" si="16"/>
        <v>4070</v>
      </c>
      <c r="S41" s="43">
        <f t="shared" si="16"/>
        <v>4705</v>
      </c>
      <c r="T41" s="37"/>
      <c r="U41" s="42">
        <f t="shared" si="17"/>
        <v>4390</v>
      </c>
      <c r="V41" s="36">
        <f t="shared" si="17"/>
        <v>5340</v>
      </c>
      <c r="W41" s="36">
        <f t="shared" si="17"/>
        <v>6110</v>
      </c>
      <c r="X41" s="43">
        <f t="shared" si="17"/>
        <v>7060</v>
      </c>
      <c r="Y41" s="37"/>
      <c r="Z41" s="36">
        <f t="shared" si="9"/>
        <v>2440</v>
      </c>
      <c r="AA41" s="36">
        <f t="shared" si="9"/>
        <v>2970</v>
      </c>
      <c r="AB41" s="36">
        <f t="shared" si="9"/>
        <v>3390</v>
      </c>
      <c r="AC41" s="36">
        <f t="shared" si="9"/>
        <v>3920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12"/>
        <v>13599.9</v>
      </c>
      <c r="K42" s="36">
        <f t="shared" si="6"/>
        <v>1875</v>
      </c>
      <c r="L42" s="36">
        <f t="shared" si="6"/>
        <v>2285</v>
      </c>
      <c r="M42" s="36">
        <f t="shared" si="6"/>
        <v>2610</v>
      </c>
      <c r="N42" s="36">
        <f t="shared" si="6"/>
        <v>3020</v>
      </c>
      <c r="O42" s="37"/>
      <c r="P42" s="42">
        <f t="shared" si="16"/>
        <v>3755</v>
      </c>
      <c r="Q42" s="36">
        <f t="shared" si="16"/>
        <v>4570</v>
      </c>
      <c r="R42" s="36">
        <f t="shared" si="16"/>
        <v>5220</v>
      </c>
      <c r="S42" s="43">
        <f t="shared" si="16"/>
        <v>6040</v>
      </c>
      <c r="T42" s="37"/>
      <c r="U42" s="42">
        <f t="shared" si="17"/>
        <v>5630</v>
      </c>
      <c r="V42" s="36">
        <f t="shared" si="17"/>
        <v>6850</v>
      </c>
      <c r="W42" s="36">
        <f t="shared" si="17"/>
        <v>7830</v>
      </c>
      <c r="X42" s="43">
        <f t="shared" si="17"/>
        <v>9060</v>
      </c>
      <c r="Y42" s="37"/>
      <c r="Z42" s="36">
        <f t="shared" si="9"/>
        <v>3130</v>
      </c>
      <c r="AA42" s="36">
        <f t="shared" si="9"/>
        <v>3810</v>
      </c>
      <c r="AB42" s="36">
        <f t="shared" si="9"/>
        <v>4350</v>
      </c>
      <c r="AC42" s="36">
        <f t="shared" si="9"/>
        <v>5030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12"/>
        <v>17599.900000000001</v>
      </c>
      <c r="K43" s="36">
        <f t="shared" si="6"/>
        <v>2430</v>
      </c>
      <c r="L43" s="36">
        <f t="shared" si="6"/>
        <v>2955</v>
      </c>
      <c r="M43" s="36">
        <f t="shared" si="6"/>
        <v>3380</v>
      </c>
      <c r="N43" s="36">
        <f t="shared" si="6"/>
        <v>3905</v>
      </c>
      <c r="O43" s="37"/>
      <c r="P43" s="42">
        <f t="shared" si="16"/>
        <v>4860</v>
      </c>
      <c r="Q43" s="36">
        <f t="shared" si="16"/>
        <v>5915</v>
      </c>
      <c r="R43" s="36">
        <f t="shared" si="16"/>
        <v>6760</v>
      </c>
      <c r="S43" s="43">
        <f t="shared" si="16"/>
        <v>7815</v>
      </c>
      <c r="T43" s="37"/>
      <c r="U43" s="42">
        <f t="shared" si="17"/>
        <v>7290</v>
      </c>
      <c r="V43" s="36">
        <f t="shared" si="17"/>
        <v>8870</v>
      </c>
      <c r="W43" s="36">
        <f t="shared" si="17"/>
        <v>10140</v>
      </c>
      <c r="X43" s="43">
        <f t="shared" si="17"/>
        <v>11720</v>
      </c>
      <c r="Y43" s="37"/>
      <c r="Z43" s="36">
        <f t="shared" si="9"/>
        <v>4050</v>
      </c>
      <c r="AA43" s="36">
        <f t="shared" si="9"/>
        <v>4930</v>
      </c>
      <c r="AB43" s="36">
        <f t="shared" si="9"/>
        <v>5630</v>
      </c>
      <c r="AC43" s="36">
        <f t="shared" si="9"/>
        <v>6510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12"/>
        <v>22099.899999999998</v>
      </c>
      <c r="K44" s="36">
        <f t="shared" si="6"/>
        <v>3050</v>
      </c>
      <c r="L44" s="36">
        <f t="shared" si="6"/>
        <v>3715</v>
      </c>
      <c r="M44" s="36">
        <f t="shared" si="6"/>
        <v>4245</v>
      </c>
      <c r="N44" s="36">
        <f t="shared" si="6"/>
        <v>4905</v>
      </c>
      <c r="O44" s="37"/>
      <c r="P44" s="42">
        <f t="shared" si="16"/>
        <v>6100</v>
      </c>
      <c r="Q44" s="36">
        <f t="shared" si="16"/>
        <v>7425</v>
      </c>
      <c r="R44" s="36">
        <f t="shared" si="16"/>
        <v>8485</v>
      </c>
      <c r="S44" s="43">
        <f t="shared" si="16"/>
        <v>9810</v>
      </c>
      <c r="T44" s="37"/>
      <c r="U44" s="42">
        <f t="shared" si="17"/>
        <v>9150</v>
      </c>
      <c r="V44" s="36">
        <f t="shared" si="17"/>
        <v>11140</v>
      </c>
      <c r="W44" s="36">
        <f t="shared" si="17"/>
        <v>12730</v>
      </c>
      <c r="X44" s="43">
        <f t="shared" si="17"/>
        <v>14720</v>
      </c>
      <c r="Y44" s="37"/>
      <c r="Z44" s="36">
        <f t="shared" si="9"/>
        <v>5080</v>
      </c>
      <c r="AA44" s="36">
        <f t="shared" si="9"/>
        <v>6190</v>
      </c>
      <c r="AB44" s="36">
        <f t="shared" si="9"/>
        <v>7070</v>
      </c>
      <c r="AC44" s="36">
        <f t="shared" si="9"/>
        <v>8180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12"/>
        <v>28599.899999999998</v>
      </c>
      <c r="K45" s="36">
        <f t="shared" si="6"/>
        <v>3945</v>
      </c>
      <c r="L45" s="36">
        <f t="shared" si="6"/>
        <v>4805</v>
      </c>
      <c r="M45" s="36">
        <f t="shared" si="6"/>
        <v>5490</v>
      </c>
      <c r="N45" s="36">
        <f t="shared" si="6"/>
        <v>6350</v>
      </c>
      <c r="O45" s="37"/>
      <c r="P45" s="42">
        <f t="shared" si="16"/>
        <v>7895</v>
      </c>
      <c r="Q45" s="36">
        <f t="shared" si="16"/>
        <v>9610</v>
      </c>
      <c r="R45" s="36">
        <f t="shared" si="16"/>
        <v>10980</v>
      </c>
      <c r="S45" s="43">
        <f t="shared" si="16"/>
        <v>12700</v>
      </c>
      <c r="T45" s="37"/>
      <c r="U45" s="42">
        <f t="shared" si="17"/>
        <v>11840</v>
      </c>
      <c r="V45" s="36">
        <f t="shared" si="17"/>
        <v>14410</v>
      </c>
      <c r="W45" s="36">
        <f t="shared" si="17"/>
        <v>16470</v>
      </c>
      <c r="X45" s="43">
        <f t="shared" si="17"/>
        <v>19050</v>
      </c>
      <c r="Y45" s="37"/>
      <c r="Z45" s="36">
        <f t="shared" si="9"/>
        <v>6580</v>
      </c>
      <c r="AA45" s="36">
        <f t="shared" si="9"/>
        <v>8010</v>
      </c>
      <c r="AB45" s="36">
        <f t="shared" si="9"/>
        <v>9150</v>
      </c>
      <c r="AC45" s="36">
        <f t="shared" si="9"/>
        <v>10580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12"/>
        <v>36599.899999999994</v>
      </c>
      <c r="K46" s="36">
        <f t="shared" si="6"/>
        <v>5050</v>
      </c>
      <c r="L46" s="36">
        <f t="shared" si="6"/>
        <v>6150</v>
      </c>
      <c r="M46" s="36">
        <f t="shared" si="6"/>
        <v>7025</v>
      </c>
      <c r="N46" s="36">
        <f t="shared" si="6"/>
        <v>8125</v>
      </c>
      <c r="O46" s="37"/>
      <c r="P46" s="42">
        <f t="shared" si="16"/>
        <v>10100</v>
      </c>
      <c r="Q46" s="36">
        <f t="shared" si="16"/>
        <v>12300</v>
      </c>
      <c r="R46" s="36">
        <f t="shared" si="16"/>
        <v>14055</v>
      </c>
      <c r="S46" s="43">
        <f t="shared" si="16"/>
        <v>16250</v>
      </c>
      <c r="T46" s="37"/>
      <c r="U46" s="42">
        <f t="shared" si="17"/>
        <v>15150</v>
      </c>
      <c r="V46" s="36">
        <f t="shared" si="17"/>
        <v>18450</v>
      </c>
      <c r="W46" s="36">
        <f t="shared" si="17"/>
        <v>21080</v>
      </c>
      <c r="X46" s="43">
        <f t="shared" si="17"/>
        <v>24380</v>
      </c>
      <c r="Y46" s="37"/>
      <c r="Z46" s="36">
        <f t="shared" si="9"/>
        <v>8420</v>
      </c>
      <c r="AA46" s="36">
        <f t="shared" si="9"/>
        <v>10250</v>
      </c>
      <c r="AB46" s="36">
        <f t="shared" si="9"/>
        <v>11710</v>
      </c>
      <c r="AC46" s="36">
        <f t="shared" si="9"/>
        <v>13540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12"/>
        <v>44599.899999999994</v>
      </c>
      <c r="K47" s="36">
        <f t="shared" si="6"/>
        <v>6155</v>
      </c>
      <c r="L47" s="36">
        <f t="shared" si="6"/>
        <v>7495</v>
      </c>
      <c r="M47" s="36">
        <f t="shared" si="6"/>
        <v>8565</v>
      </c>
      <c r="N47" s="36">
        <f t="shared" si="6"/>
        <v>9900</v>
      </c>
      <c r="O47" s="37"/>
      <c r="P47" s="42">
        <f t="shared" si="16"/>
        <v>12310</v>
      </c>
      <c r="Q47" s="36">
        <f t="shared" si="16"/>
        <v>14985</v>
      </c>
      <c r="R47" s="36">
        <f t="shared" si="16"/>
        <v>17125</v>
      </c>
      <c r="S47" s="43">
        <f t="shared" si="16"/>
        <v>19800</v>
      </c>
      <c r="T47" s="37"/>
      <c r="U47" s="42">
        <f t="shared" si="17"/>
        <v>18460</v>
      </c>
      <c r="V47" s="36">
        <f t="shared" si="17"/>
        <v>22480</v>
      </c>
      <c r="W47" s="36">
        <f t="shared" si="17"/>
        <v>25690</v>
      </c>
      <c r="X47" s="43">
        <f t="shared" si="17"/>
        <v>29700</v>
      </c>
      <c r="Y47" s="37"/>
      <c r="Z47" s="36">
        <f t="shared" si="9"/>
        <v>10260</v>
      </c>
      <c r="AA47" s="36">
        <f t="shared" si="9"/>
        <v>12490</v>
      </c>
      <c r="AB47" s="36">
        <f t="shared" si="9"/>
        <v>14270</v>
      </c>
      <c r="AC47" s="36">
        <f t="shared" si="9"/>
        <v>16500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12"/>
        <v>52599.899999999994</v>
      </c>
      <c r="K48" s="36">
        <f t="shared" si="6"/>
        <v>7260</v>
      </c>
      <c r="L48" s="36">
        <f t="shared" si="6"/>
        <v>8835</v>
      </c>
      <c r="M48" s="36">
        <f t="shared" si="6"/>
        <v>10100</v>
      </c>
      <c r="N48" s="36">
        <f t="shared" si="6"/>
        <v>11675</v>
      </c>
      <c r="O48" s="37"/>
      <c r="P48" s="42">
        <f t="shared" si="16"/>
        <v>14520</v>
      </c>
      <c r="Q48" s="36">
        <f t="shared" si="16"/>
        <v>17675</v>
      </c>
      <c r="R48" s="36">
        <f t="shared" si="16"/>
        <v>20200</v>
      </c>
      <c r="S48" s="43">
        <f t="shared" si="16"/>
        <v>23355</v>
      </c>
      <c r="T48" s="37"/>
      <c r="U48" s="42">
        <f t="shared" si="17"/>
        <v>21780</v>
      </c>
      <c r="V48" s="36">
        <f t="shared" si="17"/>
        <v>26510</v>
      </c>
      <c r="W48" s="36">
        <f t="shared" si="17"/>
        <v>30300</v>
      </c>
      <c r="X48" s="43">
        <f t="shared" si="17"/>
        <v>35030</v>
      </c>
      <c r="Y48" s="37"/>
      <c r="Z48" s="36">
        <f t="shared" si="9"/>
        <v>12100</v>
      </c>
      <c r="AA48" s="36">
        <f t="shared" si="9"/>
        <v>14730</v>
      </c>
      <c r="AB48" s="36">
        <f t="shared" si="9"/>
        <v>16830</v>
      </c>
      <c r="AC48" s="36">
        <f t="shared" si="9"/>
        <v>19460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12"/>
        <v>60599.899999999994</v>
      </c>
      <c r="K49" s="36">
        <f t="shared" si="6"/>
        <v>8365</v>
      </c>
      <c r="L49" s="36">
        <f t="shared" si="6"/>
        <v>10180</v>
      </c>
      <c r="M49" s="36">
        <f t="shared" si="6"/>
        <v>11635</v>
      </c>
      <c r="N49" s="36">
        <f t="shared" si="6"/>
        <v>13455</v>
      </c>
      <c r="O49" s="37"/>
      <c r="P49" s="42">
        <f t="shared" si="16"/>
        <v>16725</v>
      </c>
      <c r="Q49" s="36">
        <f t="shared" si="16"/>
        <v>20360</v>
      </c>
      <c r="R49" s="36">
        <f t="shared" si="16"/>
        <v>23270</v>
      </c>
      <c r="S49" s="43">
        <f t="shared" si="16"/>
        <v>26905</v>
      </c>
      <c r="T49" s="37"/>
      <c r="U49" s="42">
        <f t="shared" si="17"/>
        <v>25090</v>
      </c>
      <c r="V49" s="36">
        <f t="shared" si="17"/>
        <v>30540</v>
      </c>
      <c r="W49" s="36">
        <f t="shared" si="17"/>
        <v>34910</v>
      </c>
      <c r="X49" s="43">
        <f t="shared" si="17"/>
        <v>40360</v>
      </c>
      <c r="Y49" s="37"/>
      <c r="Z49" s="36">
        <f t="shared" si="9"/>
        <v>13940</v>
      </c>
      <c r="AA49" s="36">
        <f t="shared" si="9"/>
        <v>16970</v>
      </c>
      <c r="AB49" s="36">
        <f t="shared" si="9"/>
        <v>19390</v>
      </c>
      <c r="AC49" s="36">
        <f t="shared" si="9"/>
        <v>22420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12"/>
        <v>68599.899999999994</v>
      </c>
      <c r="K50" s="36">
        <f t="shared" si="6"/>
        <v>9465</v>
      </c>
      <c r="L50" s="36">
        <f t="shared" si="6"/>
        <v>11525</v>
      </c>
      <c r="M50" s="36">
        <f t="shared" si="6"/>
        <v>13170</v>
      </c>
      <c r="N50" s="36">
        <f t="shared" si="6"/>
        <v>15230</v>
      </c>
      <c r="O50" s="37"/>
      <c r="P50" s="42">
        <f t="shared" si="16"/>
        <v>18935</v>
      </c>
      <c r="Q50" s="36">
        <f t="shared" si="16"/>
        <v>23050</v>
      </c>
      <c r="R50" s="36">
        <f t="shared" si="16"/>
        <v>26340</v>
      </c>
      <c r="S50" s="43">
        <f t="shared" si="16"/>
        <v>30460</v>
      </c>
      <c r="T50" s="37"/>
      <c r="U50" s="42">
        <f t="shared" si="17"/>
        <v>28400</v>
      </c>
      <c r="V50" s="36">
        <f t="shared" si="17"/>
        <v>34570</v>
      </c>
      <c r="W50" s="36">
        <f t="shared" si="17"/>
        <v>39510</v>
      </c>
      <c r="X50" s="43">
        <f t="shared" si="17"/>
        <v>45690</v>
      </c>
      <c r="Y50" s="37"/>
      <c r="Z50" s="36">
        <f t="shared" si="9"/>
        <v>15780</v>
      </c>
      <c r="AA50" s="36">
        <f t="shared" si="9"/>
        <v>19210</v>
      </c>
      <c r="AB50" s="36">
        <f t="shared" si="9"/>
        <v>21950</v>
      </c>
      <c r="AC50" s="36">
        <f t="shared" si="9"/>
        <v>25380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12"/>
        <v>76599.899999999994</v>
      </c>
      <c r="K51" s="36">
        <f t="shared" si="6"/>
        <v>10570</v>
      </c>
      <c r="L51" s="36">
        <f t="shared" si="6"/>
        <v>12870</v>
      </c>
      <c r="M51" s="36">
        <f t="shared" si="6"/>
        <v>14705</v>
      </c>
      <c r="N51" s="36">
        <f t="shared" si="6"/>
        <v>17005</v>
      </c>
      <c r="O51" s="37"/>
      <c r="P51" s="42">
        <f t="shared" si="16"/>
        <v>21140</v>
      </c>
      <c r="Q51" s="36">
        <f t="shared" si="16"/>
        <v>25740</v>
      </c>
      <c r="R51" s="36">
        <f t="shared" si="16"/>
        <v>29415</v>
      </c>
      <c r="S51" s="43">
        <f t="shared" si="16"/>
        <v>34010</v>
      </c>
      <c r="T51" s="37"/>
      <c r="U51" s="42">
        <f t="shared" si="17"/>
        <v>31710</v>
      </c>
      <c r="V51" s="36">
        <f t="shared" si="17"/>
        <v>38610</v>
      </c>
      <c r="W51" s="36">
        <f t="shared" si="17"/>
        <v>44120</v>
      </c>
      <c r="X51" s="43">
        <f t="shared" si="17"/>
        <v>51020</v>
      </c>
      <c r="Y51" s="37"/>
      <c r="Z51" s="36">
        <f t="shared" si="9"/>
        <v>17620</v>
      </c>
      <c r="AA51" s="36">
        <f t="shared" si="9"/>
        <v>21450</v>
      </c>
      <c r="AB51" s="36">
        <f t="shared" si="9"/>
        <v>24510</v>
      </c>
      <c r="AC51" s="36">
        <f t="shared" si="9"/>
        <v>28340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12"/>
        <v>84599.9</v>
      </c>
      <c r="K52" s="36">
        <f t="shared" si="6"/>
        <v>11675</v>
      </c>
      <c r="L52" s="36">
        <f t="shared" si="6"/>
        <v>14215</v>
      </c>
      <c r="M52" s="36">
        <f t="shared" si="6"/>
        <v>16245</v>
      </c>
      <c r="N52" s="36">
        <f t="shared" si="6"/>
        <v>18780</v>
      </c>
      <c r="O52" s="37"/>
      <c r="P52" s="44">
        <f t="shared" si="16"/>
        <v>23350</v>
      </c>
      <c r="Q52" s="45">
        <f t="shared" si="16"/>
        <v>28425</v>
      </c>
      <c r="R52" s="45">
        <f t="shared" si="16"/>
        <v>32485</v>
      </c>
      <c r="S52" s="46">
        <f t="shared" si="16"/>
        <v>37560</v>
      </c>
      <c r="T52" s="37"/>
      <c r="U52" s="44">
        <f t="shared" si="17"/>
        <v>35020</v>
      </c>
      <c r="V52" s="45">
        <f t="shared" si="17"/>
        <v>42640</v>
      </c>
      <c r="W52" s="45">
        <f t="shared" si="17"/>
        <v>48730</v>
      </c>
      <c r="X52" s="46">
        <f t="shared" si="17"/>
        <v>56340</v>
      </c>
      <c r="Y52" s="37"/>
      <c r="Z52" s="36">
        <f t="shared" si="9"/>
        <v>19460</v>
      </c>
      <c r="AA52" s="36">
        <f t="shared" si="9"/>
        <v>23690</v>
      </c>
      <c r="AB52" s="36">
        <f t="shared" si="9"/>
        <v>27070</v>
      </c>
      <c r="AC52" s="36">
        <f t="shared" si="9"/>
        <v>31300</v>
      </c>
      <c r="AD52" s="34"/>
    </row>
    <row r="53" spans="1:30" ht="15.75" thickTop="1" x14ac:dyDescent="0.25"/>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0.31</v>
      </c>
      <c r="C4" s="31">
        <v>0.38</v>
      </c>
      <c r="D4" s="31">
        <v>0.44</v>
      </c>
      <c r="E4" s="31">
        <v>0.5</v>
      </c>
    </row>
    <row r="5" spans="1:33" x14ac:dyDescent="0.25">
      <c r="B5" s="1"/>
      <c r="E5" s="26"/>
      <c r="F5" s="28">
        <v>1</v>
      </c>
      <c r="G5" s="27">
        <v>2</v>
      </c>
      <c r="H5" s="27">
        <f>+G5+1</f>
        <v>3</v>
      </c>
      <c r="I5" s="27">
        <f t="shared" ref="I5:X11"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1" si="1">+X5+1</f>
        <v>20</v>
      </c>
      <c r="Z5" s="28">
        <f t="shared" si="1"/>
        <v>21</v>
      </c>
      <c r="AA5" s="28">
        <f t="shared" si="1"/>
        <v>22</v>
      </c>
      <c r="AB5" s="28">
        <f t="shared" si="1"/>
        <v>23</v>
      </c>
      <c r="AC5" s="28">
        <f t="shared" si="1"/>
        <v>24</v>
      </c>
      <c r="AD5" s="27">
        <f t="shared" si="1"/>
        <v>25</v>
      </c>
      <c r="AE5" s="27">
        <f t="shared" si="1"/>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1"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v>1</v>
      </c>
      <c r="K11" s="27">
        <f t="shared" si="2"/>
        <v>2</v>
      </c>
      <c r="L11" s="27">
        <f t="shared" si="2"/>
        <v>3</v>
      </c>
      <c r="M11" s="27">
        <f t="shared" si="2"/>
        <v>4</v>
      </c>
      <c r="N11" s="27">
        <f t="shared" si="2"/>
        <v>5</v>
      </c>
      <c r="O11" s="27">
        <f t="shared" si="2"/>
        <v>6</v>
      </c>
      <c r="P11" s="27">
        <f t="shared" si="2"/>
        <v>7</v>
      </c>
      <c r="Q11" s="27">
        <f t="shared" si="2"/>
        <v>8</v>
      </c>
      <c r="R11" s="27">
        <f t="shared" si="2"/>
        <v>9</v>
      </c>
      <c r="S11" s="27">
        <f t="shared" si="2"/>
        <v>10</v>
      </c>
      <c r="T11" s="27">
        <f t="shared" si="2"/>
        <v>11</v>
      </c>
      <c r="U11" s="27">
        <f t="shared" si="2"/>
        <v>12</v>
      </c>
      <c r="V11" s="27">
        <f t="shared" si="2"/>
        <v>13</v>
      </c>
      <c r="W11" s="27">
        <f t="shared" si="2"/>
        <v>14</v>
      </c>
      <c r="X11" s="27">
        <f t="shared" si="0"/>
        <v>15</v>
      </c>
      <c r="Y11" s="27">
        <f t="shared" si="1"/>
        <v>16</v>
      </c>
      <c r="Z11" s="27">
        <f t="shared" si="1"/>
        <v>17</v>
      </c>
      <c r="AA11" s="27">
        <f t="shared" si="1"/>
        <v>18</v>
      </c>
      <c r="AB11" s="27">
        <f t="shared" si="1"/>
        <v>19</v>
      </c>
      <c r="AC11" s="27">
        <f t="shared" si="1"/>
        <v>20</v>
      </c>
      <c r="AD11" s="27">
        <f t="shared" si="1"/>
        <v>21</v>
      </c>
      <c r="AE11" s="27">
        <f t="shared" si="1"/>
        <v>22</v>
      </c>
      <c r="AF11" s="27">
        <f t="shared" si="1"/>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0.31</v>
      </c>
      <c r="L18" s="20">
        <f>$C$4</f>
        <v>0.38</v>
      </c>
      <c r="M18" s="20">
        <f>$D$4</f>
        <v>0.44</v>
      </c>
      <c r="N18" s="20">
        <f>$E$4</f>
        <v>0.5</v>
      </c>
      <c r="O18" s="20"/>
      <c r="P18" s="20">
        <f>$B$4</f>
        <v>0.31</v>
      </c>
      <c r="Q18" s="20">
        <f>$C$4</f>
        <v>0.38</v>
      </c>
      <c r="R18" s="20">
        <f>$D$4</f>
        <v>0.44</v>
      </c>
      <c r="S18" s="20">
        <f>$E$4</f>
        <v>0.5</v>
      </c>
      <c r="T18" s="20"/>
      <c r="U18" s="20">
        <f>$B$4</f>
        <v>0.31</v>
      </c>
      <c r="V18" s="20">
        <f>$C$4</f>
        <v>0.38</v>
      </c>
      <c r="W18" s="20">
        <f>$D$4</f>
        <v>0.44</v>
      </c>
      <c r="X18" s="20">
        <f>$E$4</f>
        <v>0.5</v>
      </c>
      <c r="Y18" s="20"/>
      <c r="Z18" s="20">
        <f>$B$4</f>
        <v>0.31</v>
      </c>
      <c r="AA18" s="20">
        <f>$C$4</f>
        <v>0.38</v>
      </c>
      <c r="AB18" s="20">
        <f>$D$4</f>
        <v>0.44</v>
      </c>
      <c r="AC18" s="20">
        <f>$E$4</f>
        <v>0.5</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4">ROUND(($J21*AA$18)/10,0)*10</f>
        <v>0</v>
      </c>
      <c r="AB21" s="36">
        <f t="shared" si="4"/>
        <v>0</v>
      </c>
      <c r="AC21" s="36">
        <f t="shared" si="4"/>
        <v>0</v>
      </c>
      <c r="AD21" s="34"/>
      <c r="AE21" s="24">
        <v>0</v>
      </c>
      <c r="AF21" s="24">
        <v>0</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v>0</v>
      </c>
      <c r="K22" s="36">
        <f t="shared" ref="K22:N52" si="6">ROUND(($F22*K$18)/5,0)*5</f>
        <v>0</v>
      </c>
      <c r="L22" s="36">
        <f t="shared" si="6"/>
        <v>0</v>
      </c>
      <c r="M22" s="36">
        <f t="shared" si="6"/>
        <v>0</v>
      </c>
      <c r="N22" s="36">
        <f t="shared" si="6"/>
        <v>0</v>
      </c>
      <c r="O22" s="37"/>
      <c r="P22" s="38">
        <f t="shared" ref="P22:S38" si="7">ROUND(($G22*P$18)/5,0)*5</f>
        <v>0</v>
      </c>
      <c r="Q22" s="38">
        <f t="shared" si="7"/>
        <v>0</v>
      </c>
      <c r="R22" s="38">
        <f t="shared" si="7"/>
        <v>0</v>
      </c>
      <c r="S22" s="38">
        <f t="shared" si="7"/>
        <v>0</v>
      </c>
      <c r="T22" s="37"/>
      <c r="U22" s="38">
        <f t="shared" ref="U22:X38" si="8">ROUND(($H22*U$18)/10,0)*10</f>
        <v>0</v>
      </c>
      <c r="V22" s="38">
        <f t="shared" si="8"/>
        <v>0</v>
      </c>
      <c r="W22" s="38">
        <f t="shared" si="8"/>
        <v>0</v>
      </c>
      <c r="X22" s="38">
        <f t="shared" si="8"/>
        <v>0</v>
      </c>
      <c r="Y22" s="37"/>
      <c r="Z22" s="36">
        <f t="shared" ref="Z22:AC52" si="9">ROUND(($J22*Z$18)/10,0)*10</f>
        <v>0</v>
      </c>
      <c r="AA22" s="36">
        <f t="shared" si="4"/>
        <v>0</v>
      </c>
      <c r="AB22" s="36">
        <f t="shared" si="4"/>
        <v>0</v>
      </c>
      <c r="AC22" s="36">
        <f t="shared" si="4"/>
        <v>0</v>
      </c>
      <c r="AD22" s="34"/>
      <c r="AE22" s="24">
        <v>24</v>
      </c>
      <c r="AF22" s="24">
        <v>24</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+$E23*J$17</f>
        <v>499.9</v>
      </c>
      <c r="K23" s="36">
        <f t="shared" si="6"/>
        <v>95</v>
      </c>
      <c r="L23" s="36">
        <f t="shared" si="6"/>
        <v>115</v>
      </c>
      <c r="M23" s="36">
        <f t="shared" si="6"/>
        <v>130</v>
      </c>
      <c r="N23" s="36">
        <f t="shared" si="6"/>
        <v>150</v>
      </c>
      <c r="O23" s="37"/>
      <c r="P23" s="39">
        <f t="shared" si="7"/>
        <v>185</v>
      </c>
      <c r="Q23" s="40">
        <f t="shared" si="7"/>
        <v>230</v>
      </c>
      <c r="R23" s="40">
        <f t="shared" si="7"/>
        <v>265</v>
      </c>
      <c r="S23" s="41">
        <f t="shared" si="7"/>
        <v>300</v>
      </c>
      <c r="T23" s="37"/>
      <c r="U23" s="39">
        <f t="shared" si="8"/>
        <v>280</v>
      </c>
      <c r="V23" s="40">
        <f t="shared" si="8"/>
        <v>340</v>
      </c>
      <c r="W23" s="40">
        <f t="shared" si="8"/>
        <v>400</v>
      </c>
      <c r="X23" s="41">
        <f t="shared" si="8"/>
        <v>450</v>
      </c>
      <c r="Y23" s="37"/>
      <c r="Z23" s="36">
        <f t="shared" si="9"/>
        <v>150</v>
      </c>
      <c r="AA23" s="36">
        <f t="shared" si="4"/>
        <v>190</v>
      </c>
      <c r="AB23" s="36">
        <f t="shared" si="4"/>
        <v>220</v>
      </c>
      <c r="AC23" s="36">
        <f t="shared" si="4"/>
        <v>250</v>
      </c>
      <c r="AD23" s="34"/>
      <c r="AE23" s="24">
        <v>36</v>
      </c>
      <c r="AF23" s="24">
        <v>36</v>
      </c>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ref="J24:J52" si="12">+$E24*J$17</f>
        <v>624.9</v>
      </c>
      <c r="K24" s="36">
        <f t="shared" si="6"/>
        <v>115</v>
      </c>
      <c r="L24" s="36">
        <f t="shared" si="6"/>
        <v>140</v>
      </c>
      <c r="M24" s="36">
        <f t="shared" si="6"/>
        <v>165</v>
      </c>
      <c r="N24" s="36">
        <f t="shared" si="6"/>
        <v>185</v>
      </c>
      <c r="O24" s="37"/>
      <c r="P24" s="42">
        <f t="shared" si="7"/>
        <v>230</v>
      </c>
      <c r="Q24" s="36">
        <f t="shared" si="7"/>
        <v>285</v>
      </c>
      <c r="R24" s="36">
        <f t="shared" si="7"/>
        <v>330</v>
      </c>
      <c r="S24" s="43">
        <f t="shared" si="7"/>
        <v>375</v>
      </c>
      <c r="T24" s="37"/>
      <c r="U24" s="42">
        <f t="shared" si="8"/>
        <v>350</v>
      </c>
      <c r="V24" s="36">
        <f t="shared" si="8"/>
        <v>430</v>
      </c>
      <c r="W24" s="36">
        <f t="shared" si="8"/>
        <v>490</v>
      </c>
      <c r="X24" s="43">
        <f t="shared" si="8"/>
        <v>560</v>
      </c>
      <c r="Y24" s="37"/>
      <c r="Z24" s="36">
        <f t="shared" si="9"/>
        <v>190</v>
      </c>
      <c r="AA24" s="36">
        <f t="shared" si="4"/>
        <v>240</v>
      </c>
      <c r="AB24" s="36">
        <f t="shared" si="4"/>
        <v>270</v>
      </c>
      <c r="AC24" s="36">
        <f t="shared" si="4"/>
        <v>310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12"/>
        <v>674.90000000000009</v>
      </c>
      <c r="K25" s="36">
        <f t="shared" si="6"/>
        <v>125</v>
      </c>
      <c r="L25" s="36">
        <f t="shared" si="6"/>
        <v>155</v>
      </c>
      <c r="M25" s="36">
        <f t="shared" si="6"/>
        <v>180</v>
      </c>
      <c r="N25" s="36">
        <f t="shared" si="6"/>
        <v>200</v>
      </c>
      <c r="O25" s="37"/>
      <c r="P25" s="42">
        <f t="shared" si="7"/>
        <v>250</v>
      </c>
      <c r="Q25" s="36">
        <f t="shared" si="7"/>
        <v>310</v>
      </c>
      <c r="R25" s="36">
        <f t="shared" si="7"/>
        <v>355</v>
      </c>
      <c r="S25" s="43">
        <f t="shared" si="7"/>
        <v>405</v>
      </c>
      <c r="T25" s="37"/>
      <c r="U25" s="42">
        <f t="shared" si="8"/>
        <v>380</v>
      </c>
      <c r="V25" s="36">
        <f t="shared" si="8"/>
        <v>460</v>
      </c>
      <c r="W25" s="36">
        <f t="shared" si="8"/>
        <v>530</v>
      </c>
      <c r="X25" s="43">
        <f t="shared" si="8"/>
        <v>610</v>
      </c>
      <c r="Y25" s="37"/>
      <c r="Z25" s="36">
        <f t="shared" si="9"/>
        <v>210</v>
      </c>
      <c r="AA25" s="36">
        <f t="shared" si="4"/>
        <v>260</v>
      </c>
      <c r="AB25" s="36">
        <f t="shared" si="4"/>
        <v>300</v>
      </c>
      <c r="AC25" s="36">
        <f t="shared" si="4"/>
        <v>340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12"/>
        <v>724.90000000000009</v>
      </c>
      <c r="K26" s="36">
        <f t="shared" si="6"/>
        <v>135</v>
      </c>
      <c r="L26" s="36">
        <f t="shared" si="6"/>
        <v>165</v>
      </c>
      <c r="M26" s="36">
        <f t="shared" si="6"/>
        <v>190</v>
      </c>
      <c r="N26" s="36">
        <f t="shared" si="6"/>
        <v>215</v>
      </c>
      <c r="O26" s="37"/>
      <c r="P26" s="42">
        <f t="shared" si="7"/>
        <v>270</v>
      </c>
      <c r="Q26" s="36">
        <f t="shared" si="7"/>
        <v>330</v>
      </c>
      <c r="R26" s="36">
        <f t="shared" si="7"/>
        <v>385</v>
      </c>
      <c r="S26" s="43">
        <f t="shared" si="7"/>
        <v>435</v>
      </c>
      <c r="T26" s="37"/>
      <c r="U26" s="42">
        <f t="shared" si="8"/>
        <v>400</v>
      </c>
      <c r="V26" s="36">
        <f t="shared" si="8"/>
        <v>500</v>
      </c>
      <c r="W26" s="36">
        <f t="shared" si="8"/>
        <v>570</v>
      </c>
      <c r="X26" s="43">
        <f t="shared" si="8"/>
        <v>650</v>
      </c>
      <c r="Y26" s="37"/>
      <c r="Z26" s="36">
        <f t="shared" si="9"/>
        <v>220</v>
      </c>
      <c r="AA26" s="36">
        <f t="shared" si="4"/>
        <v>280</v>
      </c>
      <c r="AB26" s="36">
        <f t="shared" si="4"/>
        <v>320</v>
      </c>
      <c r="AC26" s="36">
        <f t="shared" si="4"/>
        <v>360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12"/>
        <v>774.90000000000009</v>
      </c>
      <c r="K27" s="36">
        <f t="shared" si="6"/>
        <v>145</v>
      </c>
      <c r="L27" s="36">
        <f t="shared" si="6"/>
        <v>175</v>
      </c>
      <c r="M27" s="36">
        <f t="shared" si="6"/>
        <v>205</v>
      </c>
      <c r="N27" s="36">
        <f t="shared" si="6"/>
        <v>230</v>
      </c>
      <c r="O27" s="37"/>
      <c r="P27" s="42">
        <f t="shared" si="7"/>
        <v>290</v>
      </c>
      <c r="Q27" s="36">
        <f t="shared" si="7"/>
        <v>355</v>
      </c>
      <c r="R27" s="36">
        <f t="shared" si="7"/>
        <v>410</v>
      </c>
      <c r="S27" s="43">
        <f t="shared" si="7"/>
        <v>465</v>
      </c>
      <c r="T27" s="37"/>
      <c r="U27" s="42">
        <f t="shared" si="8"/>
        <v>430</v>
      </c>
      <c r="V27" s="36">
        <f t="shared" si="8"/>
        <v>530</v>
      </c>
      <c r="W27" s="36">
        <f t="shared" si="8"/>
        <v>610</v>
      </c>
      <c r="X27" s="43">
        <f t="shared" si="8"/>
        <v>700</v>
      </c>
      <c r="Y27" s="37"/>
      <c r="Z27" s="36">
        <f t="shared" si="9"/>
        <v>240</v>
      </c>
      <c r="AA27" s="36">
        <f t="shared" si="4"/>
        <v>290</v>
      </c>
      <c r="AB27" s="36">
        <f t="shared" si="4"/>
        <v>340</v>
      </c>
      <c r="AC27" s="36">
        <f t="shared" si="4"/>
        <v>390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12"/>
        <v>824.90000000000009</v>
      </c>
      <c r="K28" s="36">
        <f t="shared" si="6"/>
        <v>155</v>
      </c>
      <c r="L28" s="36">
        <f t="shared" si="6"/>
        <v>190</v>
      </c>
      <c r="M28" s="36">
        <f t="shared" si="6"/>
        <v>220</v>
      </c>
      <c r="N28" s="36">
        <f t="shared" si="6"/>
        <v>245</v>
      </c>
      <c r="O28" s="37"/>
      <c r="P28" s="42">
        <f t="shared" si="7"/>
        <v>305</v>
      </c>
      <c r="Q28" s="36">
        <f t="shared" si="7"/>
        <v>375</v>
      </c>
      <c r="R28" s="36">
        <f t="shared" si="7"/>
        <v>435</v>
      </c>
      <c r="S28" s="43">
        <f t="shared" si="7"/>
        <v>495</v>
      </c>
      <c r="T28" s="37"/>
      <c r="U28" s="42">
        <f t="shared" si="8"/>
        <v>460</v>
      </c>
      <c r="V28" s="36">
        <f t="shared" si="8"/>
        <v>560</v>
      </c>
      <c r="W28" s="36">
        <f t="shared" si="8"/>
        <v>650</v>
      </c>
      <c r="X28" s="43">
        <f t="shared" si="8"/>
        <v>740</v>
      </c>
      <c r="Y28" s="37"/>
      <c r="Z28" s="36">
        <f t="shared" si="9"/>
        <v>260</v>
      </c>
      <c r="AA28" s="36">
        <f t="shared" si="4"/>
        <v>310</v>
      </c>
      <c r="AB28" s="36">
        <f t="shared" si="4"/>
        <v>360</v>
      </c>
      <c r="AC28" s="36">
        <f t="shared" si="4"/>
        <v>410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12"/>
        <v>874.90000000000009</v>
      </c>
      <c r="K29" s="36">
        <f t="shared" si="6"/>
        <v>165</v>
      </c>
      <c r="L29" s="36">
        <f t="shared" si="6"/>
        <v>200</v>
      </c>
      <c r="M29" s="36">
        <f t="shared" si="6"/>
        <v>230</v>
      </c>
      <c r="N29" s="36">
        <f t="shared" si="6"/>
        <v>260</v>
      </c>
      <c r="O29" s="37"/>
      <c r="P29" s="42">
        <f t="shared" si="7"/>
        <v>325</v>
      </c>
      <c r="Q29" s="36">
        <f t="shared" si="7"/>
        <v>400</v>
      </c>
      <c r="R29" s="36">
        <f t="shared" si="7"/>
        <v>460</v>
      </c>
      <c r="S29" s="43">
        <f t="shared" si="7"/>
        <v>525</v>
      </c>
      <c r="T29" s="37"/>
      <c r="U29" s="42">
        <f t="shared" si="8"/>
        <v>490</v>
      </c>
      <c r="V29" s="36">
        <f t="shared" si="8"/>
        <v>600</v>
      </c>
      <c r="W29" s="36">
        <f t="shared" si="8"/>
        <v>690</v>
      </c>
      <c r="X29" s="43">
        <f t="shared" si="8"/>
        <v>790</v>
      </c>
      <c r="Y29" s="37"/>
      <c r="Z29" s="36">
        <f t="shared" si="9"/>
        <v>270</v>
      </c>
      <c r="AA29" s="36">
        <f t="shared" si="4"/>
        <v>330</v>
      </c>
      <c r="AB29" s="36">
        <f t="shared" si="4"/>
        <v>380</v>
      </c>
      <c r="AC29" s="36">
        <f t="shared" si="4"/>
        <v>440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12"/>
        <v>924.90000000000009</v>
      </c>
      <c r="K30" s="36">
        <f t="shared" si="6"/>
        <v>170</v>
      </c>
      <c r="L30" s="36">
        <f t="shared" si="6"/>
        <v>210</v>
      </c>
      <c r="M30" s="36">
        <f t="shared" si="6"/>
        <v>245</v>
      </c>
      <c r="N30" s="36">
        <f t="shared" si="6"/>
        <v>275</v>
      </c>
      <c r="O30" s="37"/>
      <c r="P30" s="42">
        <f t="shared" si="7"/>
        <v>345</v>
      </c>
      <c r="Q30" s="36">
        <f t="shared" si="7"/>
        <v>420</v>
      </c>
      <c r="R30" s="36">
        <f t="shared" si="7"/>
        <v>490</v>
      </c>
      <c r="S30" s="43">
        <f t="shared" si="7"/>
        <v>555</v>
      </c>
      <c r="T30" s="37"/>
      <c r="U30" s="42">
        <f t="shared" si="8"/>
        <v>520</v>
      </c>
      <c r="V30" s="36">
        <f t="shared" si="8"/>
        <v>630</v>
      </c>
      <c r="W30" s="36">
        <f t="shared" si="8"/>
        <v>730</v>
      </c>
      <c r="X30" s="43">
        <f t="shared" si="8"/>
        <v>830</v>
      </c>
      <c r="Y30" s="37"/>
      <c r="Z30" s="36">
        <f t="shared" si="9"/>
        <v>290</v>
      </c>
      <c r="AA30" s="36">
        <f t="shared" si="4"/>
        <v>350</v>
      </c>
      <c r="AB30" s="36">
        <f t="shared" si="4"/>
        <v>410</v>
      </c>
      <c r="AC30" s="36">
        <f t="shared" si="4"/>
        <v>460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12"/>
        <v>1024.9000000000001</v>
      </c>
      <c r="K31" s="36">
        <f t="shared" si="6"/>
        <v>190</v>
      </c>
      <c r="L31" s="36">
        <f t="shared" si="6"/>
        <v>235</v>
      </c>
      <c r="M31" s="36">
        <f t="shared" si="6"/>
        <v>270</v>
      </c>
      <c r="N31" s="36">
        <f t="shared" si="6"/>
        <v>305</v>
      </c>
      <c r="O31" s="37"/>
      <c r="P31" s="42">
        <f t="shared" si="7"/>
        <v>380</v>
      </c>
      <c r="Q31" s="36">
        <f t="shared" si="7"/>
        <v>465</v>
      </c>
      <c r="R31" s="36">
        <f t="shared" si="7"/>
        <v>540</v>
      </c>
      <c r="S31" s="43">
        <f t="shared" si="7"/>
        <v>615</v>
      </c>
      <c r="T31" s="37"/>
      <c r="U31" s="42">
        <f t="shared" si="8"/>
        <v>570</v>
      </c>
      <c r="V31" s="36">
        <f t="shared" si="8"/>
        <v>700</v>
      </c>
      <c r="W31" s="36">
        <f t="shared" si="8"/>
        <v>810</v>
      </c>
      <c r="X31" s="43">
        <f t="shared" si="8"/>
        <v>920</v>
      </c>
      <c r="Y31" s="37"/>
      <c r="Z31" s="36">
        <f t="shared" si="9"/>
        <v>320</v>
      </c>
      <c r="AA31" s="36">
        <f t="shared" si="4"/>
        <v>390</v>
      </c>
      <c r="AB31" s="36">
        <f t="shared" si="4"/>
        <v>450</v>
      </c>
      <c r="AC31" s="36">
        <f t="shared" si="4"/>
        <v>510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12"/>
        <v>1149.9000000000001</v>
      </c>
      <c r="K32" s="36">
        <f t="shared" si="6"/>
        <v>215</v>
      </c>
      <c r="L32" s="36">
        <f t="shared" si="6"/>
        <v>260</v>
      </c>
      <c r="M32" s="36">
        <f t="shared" si="6"/>
        <v>305</v>
      </c>
      <c r="N32" s="36">
        <f t="shared" si="6"/>
        <v>345</v>
      </c>
      <c r="O32" s="37"/>
      <c r="P32" s="42">
        <f t="shared" si="7"/>
        <v>430</v>
      </c>
      <c r="Q32" s="36">
        <f t="shared" si="7"/>
        <v>525</v>
      </c>
      <c r="R32" s="36">
        <f t="shared" si="7"/>
        <v>605</v>
      </c>
      <c r="S32" s="43">
        <f t="shared" si="7"/>
        <v>690</v>
      </c>
      <c r="T32" s="37"/>
      <c r="U32" s="42">
        <f t="shared" si="8"/>
        <v>640</v>
      </c>
      <c r="V32" s="36">
        <f t="shared" si="8"/>
        <v>790</v>
      </c>
      <c r="W32" s="36">
        <f t="shared" si="8"/>
        <v>910</v>
      </c>
      <c r="X32" s="43">
        <f t="shared" si="8"/>
        <v>1030</v>
      </c>
      <c r="Y32" s="37"/>
      <c r="Z32" s="36">
        <f t="shared" si="9"/>
        <v>360</v>
      </c>
      <c r="AA32" s="36">
        <f t="shared" si="4"/>
        <v>440</v>
      </c>
      <c r="AB32" s="36">
        <f t="shared" si="4"/>
        <v>510</v>
      </c>
      <c r="AC32" s="36">
        <f t="shared" si="4"/>
        <v>570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12"/>
        <v>1299.9000000000001</v>
      </c>
      <c r="K33" s="36">
        <f t="shared" si="6"/>
        <v>240</v>
      </c>
      <c r="L33" s="36">
        <f t="shared" si="6"/>
        <v>295</v>
      </c>
      <c r="M33" s="36">
        <f t="shared" si="6"/>
        <v>345</v>
      </c>
      <c r="N33" s="36">
        <f t="shared" si="6"/>
        <v>390</v>
      </c>
      <c r="O33" s="37"/>
      <c r="P33" s="42">
        <f t="shared" si="7"/>
        <v>485</v>
      </c>
      <c r="Q33" s="36">
        <f t="shared" si="7"/>
        <v>595</v>
      </c>
      <c r="R33" s="36">
        <f t="shared" si="7"/>
        <v>685</v>
      </c>
      <c r="S33" s="43">
        <f t="shared" si="7"/>
        <v>780</v>
      </c>
      <c r="T33" s="37"/>
      <c r="U33" s="42">
        <f t="shared" si="8"/>
        <v>730</v>
      </c>
      <c r="V33" s="36">
        <f t="shared" si="8"/>
        <v>890</v>
      </c>
      <c r="W33" s="36">
        <f t="shared" si="8"/>
        <v>1030</v>
      </c>
      <c r="X33" s="43">
        <f t="shared" si="8"/>
        <v>1170</v>
      </c>
      <c r="Y33" s="37"/>
      <c r="Z33" s="36">
        <f t="shared" si="9"/>
        <v>400</v>
      </c>
      <c r="AA33" s="36">
        <f t="shared" si="4"/>
        <v>490</v>
      </c>
      <c r="AB33" s="36">
        <f t="shared" si="4"/>
        <v>570</v>
      </c>
      <c r="AC33" s="36">
        <f t="shared" si="4"/>
        <v>650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12"/>
        <v>1499.9</v>
      </c>
      <c r="K34" s="36">
        <f t="shared" si="6"/>
        <v>280</v>
      </c>
      <c r="L34" s="36">
        <f t="shared" si="6"/>
        <v>340</v>
      </c>
      <c r="M34" s="36">
        <f t="shared" si="6"/>
        <v>395</v>
      </c>
      <c r="N34" s="36">
        <f t="shared" si="6"/>
        <v>450</v>
      </c>
      <c r="O34" s="37"/>
      <c r="P34" s="42">
        <f t="shared" si="7"/>
        <v>560</v>
      </c>
      <c r="Q34" s="36">
        <f t="shared" si="7"/>
        <v>685</v>
      </c>
      <c r="R34" s="36">
        <f t="shared" si="7"/>
        <v>790</v>
      </c>
      <c r="S34" s="43">
        <f t="shared" si="7"/>
        <v>900</v>
      </c>
      <c r="T34" s="37"/>
      <c r="U34" s="42">
        <f t="shared" si="8"/>
        <v>840</v>
      </c>
      <c r="V34" s="36">
        <f t="shared" si="8"/>
        <v>1030</v>
      </c>
      <c r="W34" s="36">
        <f t="shared" si="8"/>
        <v>1190</v>
      </c>
      <c r="X34" s="43">
        <f t="shared" si="8"/>
        <v>1350</v>
      </c>
      <c r="Y34" s="37"/>
      <c r="Z34" s="36">
        <f t="shared" si="9"/>
        <v>460</v>
      </c>
      <c r="AA34" s="36">
        <f t="shared" si="4"/>
        <v>570</v>
      </c>
      <c r="AB34" s="36">
        <f t="shared" si="4"/>
        <v>660</v>
      </c>
      <c r="AC34" s="36">
        <f t="shared" si="4"/>
        <v>750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12"/>
        <v>2099.9</v>
      </c>
      <c r="K35" s="36">
        <f t="shared" si="6"/>
        <v>390</v>
      </c>
      <c r="L35" s="36">
        <f t="shared" si="6"/>
        <v>480</v>
      </c>
      <c r="M35" s="36">
        <f t="shared" si="6"/>
        <v>555</v>
      </c>
      <c r="N35" s="36">
        <f t="shared" si="6"/>
        <v>630</v>
      </c>
      <c r="O35" s="37"/>
      <c r="P35" s="42">
        <f t="shared" si="7"/>
        <v>780</v>
      </c>
      <c r="Q35" s="36">
        <f t="shared" si="7"/>
        <v>960</v>
      </c>
      <c r="R35" s="36">
        <f t="shared" si="7"/>
        <v>1110</v>
      </c>
      <c r="S35" s="43">
        <f t="shared" si="7"/>
        <v>1260</v>
      </c>
      <c r="T35" s="37"/>
      <c r="U35" s="42">
        <f t="shared" si="8"/>
        <v>1170</v>
      </c>
      <c r="V35" s="36">
        <f t="shared" si="8"/>
        <v>1440</v>
      </c>
      <c r="W35" s="36">
        <f t="shared" si="8"/>
        <v>1660</v>
      </c>
      <c r="X35" s="43">
        <f t="shared" si="8"/>
        <v>1890</v>
      </c>
      <c r="Y35" s="37"/>
      <c r="Z35" s="36">
        <f t="shared" si="9"/>
        <v>650</v>
      </c>
      <c r="AA35" s="36">
        <f t="shared" si="4"/>
        <v>800</v>
      </c>
      <c r="AB35" s="36">
        <f t="shared" si="4"/>
        <v>920</v>
      </c>
      <c r="AC35" s="36">
        <f t="shared" si="4"/>
        <v>1050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12"/>
        <v>3349.9</v>
      </c>
      <c r="K36" s="36">
        <f t="shared" si="6"/>
        <v>625</v>
      </c>
      <c r="L36" s="36">
        <f t="shared" si="6"/>
        <v>765</v>
      </c>
      <c r="M36" s="36">
        <f t="shared" si="6"/>
        <v>885</v>
      </c>
      <c r="N36" s="36">
        <f t="shared" si="6"/>
        <v>1005</v>
      </c>
      <c r="O36" s="37"/>
      <c r="P36" s="42">
        <f t="shared" si="7"/>
        <v>1245</v>
      </c>
      <c r="Q36" s="36">
        <f t="shared" si="7"/>
        <v>1530</v>
      </c>
      <c r="R36" s="36">
        <f t="shared" si="7"/>
        <v>1770</v>
      </c>
      <c r="S36" s="43">
        <f t="shared" si="7"/>
        <v>2010</v>
      </c>
      <c r="T36" s="37"/>
      <c r="U36" s="42">
        <f t="shared" si="8"/>
        <v>1870</v>
      </c>
      <c r="V36" s="36">
        <f t="shared" si="8"/>
        <v>2290</v>
      </c>
      <c r="W36" s="36">
        <f t="shared" si="8"/>
        <v>2650</v>
      </c>
      <c r="X36" s="43">
        <f t="shared" si="8"/>
        <v>3010</v>
      </c>
      <c r="Y36" s="37"/>
      <c r="Z36" s="36">
        <f t="shared" si="9"/>
        <v>1040</v>
      </c>
      <c r="AA36" s="36">
        <f t="shared" si="4"/>
        <v>1270</v>
      </c>
      <c r="AB36" s="36">
        <f t="shared" si="4"/>
        <v>1470</v>
      </c>
      <c r="AC36" s="36">
        <f t="shared" si="4"/>
        <v>1670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12"/>
        <v>4849.8999999999996</v>
      </c>
      <c r="K37" s="36">
        <f t="shared" si="6"/>
        <v>900</v>
      </c>
      <c r="L37" s="36">
        <f t="shared" si="6"/>
        <v>1105</v>
      </c>
      <c r="M37" s="36">
        <f t="shared" si="6"/>
        <v>1280</v>
      </c>
      <c r="N37" s="36">
        <f t="shared" si="6"/>
        <v>1455</v>
      </c>
      <c r="O37" s="37"/>
      <c r="P37" s="42">
        <f t="shared" si="7"/>
        <v>1805</v>
      </c>
      <c r="Q37" s="36">
        <f t="shared" si="7"/>
        <v>2210</v>
      </c>
      <c r="R37" s="36">
        <f t="shared" si="7"/>
        <v>2560</v>
      </c>
      <c r="S37" s="43">
        <f t="shared" si="7"/>
        <v>2910</v>
      </c>
      <c r="T37" s="37"/>
      <c r="U37" s="42">
        <f t="shared" si="8"/>
        <v>2710</v>
      </c>
      <c r="V37" s="36">
        <f t="shared" si="8"/>
        <v>3320</v>
      </c>
      <c r="W37" s="36">
        <f t="shared" si="8"/>
        <v>3840</v>
      </c>
      <c r="X37" s="43">
        <f t="shared" si="8"/>
        <v>4360</v>
      </c>
      <c r="Y37" s="37"/>
      <c r="Z37" s="36">
        <f t="shared" si="9"/>
        <v>1500</v>
      </c>
      <c r="AA37" s="36">
        <f t="shared" si="9"/>
        <v>1840</v>
      </c>
      <c r="AB37" s="36">
        <f t="shared" si="9"/>
        <v>2130</v>
      </c>
      <c r="AC37" s="36">
        <f t="shared" si="9"/>
        <v>2420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12"/>
        <v>6099.9</v>
      </c>
      <c r="K38" s="36">
        <f t="shared" si="6"/>
        <v>1135</v>
      </c>
      <c r="L38" s="36">
        <f t="shared" si="6"/>
        <v>1390</v>
      </c>
      <c r="M38" s="36">
        <f t="shared" si="6"/>
        <v>1610</v>
      </c>
      <c r="N38" s="36">
        <f t="shared" si="6"/>
        <v>1830</v>
      </c>
      <c r="O38" s="37"/>
      <c r="P38" s="42">
        <f t="shared" si="7"/>
        <v>2270</v>
      </c>
      <c r="Q38" s="36">
        <f t="shared" si="7"/>
        <v>2780</v>
      </c>
      <c r="R38" s="36">
        <f t="shared" si="7"/>
        <v>3220</v>
      </c>
      <c r="S38" s="43">
        <f t="shared" si="7"/>
        <v>3660</v>
      </c>
      <c r="T38" s="37"/>
      <c r="U38" s="42">
        <f t="shared" si="8"/>
        <v>3400</v>
      </c>
      <c r="V38" s="36">
        <f t="shared" si="8"/>
        <v>4170</v>
      </c>
      <c r="W38" s="36">
        <f t="shared" si="8"/>
        <v>4830</v>
      </c>
      <c r="X38" s="43">
        <f t="shared" si="8"/>
        <v>5490</v>
      </c>
      <c r="Y38" s="37"/>
      <c r="Z38" s="36">
        <f t="shared" si="9"/>
        <v>1890</v>
      </c>
      <c r="AA38" s="36">
        <f t="shared" si="9"/>
        <v>2320</v>
      </c>
      <c r="AB38" s="36">
        <f t="shared" si="9"/>
        <v>2680</v>
      </c>
      <c r="AC38" s="36">
        <f t="shared" si="9"/>
        <v>3050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12"/>
        <v>7099.9</v>
      </c>
      <c r="K39" s="36">
        <f t="shared" si="6"/>
        <v>1320</v>
      </c>
      <c r="L39" s="36">
        <f t="shared" si="6"/>
        <v>1620</v>
      </c>
      <c r="M39" s="36">
        <f t="shared" si="6"/>
        <v>1875</v>
      </c>
      <c r="N39" s="36">
        <f t="shared" si="6"/>
        <v>2130</v>
      </c>
      <c r="O39" s="37"/>
      <c r="P39" s="42">
        <f t="shared" ref="P39:S52" si="16">ROUND(($G39*P$18)/5,0)*5</f>
        <v>2640</v>
      </c>
      <c r="Q39" s="36">
        <f t="shared" si="16"/>
        <v>3240</v>
      </c>
      <c r="R39" s="36">
        <f t="shared" si="16"/>
        <v>3750</v>
      </c>
      <c r="S39" s="43">
        <f t="shared" si="16"/>
        <v>4260</v>
      </c>
      <c r="T39" s="37"/>
      <c r="U39" s="42">
        <f t="shared" ref="U39:X52" si="17">ROUND(($H39*U$18)/10,0)*10</f>
        <v>3960</v>
      </c>
      <c r="V39" s="36">
        <f t="shared" si="17"/>
        <v>4860</v>
      </c>
      <c r="W39" s="167">
        <f t="shared" si="17"/>
        <v>5620</v>
      </c>
      <c r="X39" s="43">
        <f t="shared" si="17"/>
        <v>6390</v>
      </c>
      <c r="Y39" s="37"/>
      <c r="Z39" s="36">
        <f t="shared" si="9"/>
        <v>2200</v>
      </c>
      <c r="AA39" s="36">
        <f t="shared" si="9"/>
        <v>2700</v>
      </c>
      <c r="AB39" s="36">
        <f t="shared" si="9"/>
        <v>3120</v>
      </c>
      <c r="AC39" s="36">
        <f t="shared" si="9"/>
        <v>3550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12"/>
        <v>8599.9</v>
      </c>
      <c r="K40" s="36">
        <f t="shared" si="6"/>
        <v>1600</v>
      </c>
      <c r="L40" s="36">
        <f t="shared" si="6"/>
        <v>1960</v>
      </c>
      <c r="M40" s="36">
        <f t="shared" si="6"/>
        <v>2270</v>
      </c>
      <c r="N40" s="36">
        <f t="shared" si="6"/>
        <v>2580</v>
      </c>
      <c r="O40" s="37"/>
      <c r="P40" s="42">
        <f t="shared" si="16"/>
        <v>3200</v>
      </c>
      <c r="Q40" s="36">
        <f t="shared" si="16"/>
        <v>3920</v>
      </c>
      <c r="R40" s="36">
        <f t="shared" si="16"/>
        <v>4540</v>
      </c>
      <c r="S40" s="43">
        <f t="shared" si="16"/>
        <v>5160</v>
      </c>
      <c r="T40" s="37"/>
      <c r="U40" s="42">
        <f t="shared" si="17"/>
        <v>4800</v>
      </c>
      <c r="V40" s="36">
        <f t="shared" si="17"/>
        <v>5880</v>
      </c>
      <c r="W40" s="36">
        <f t="shared" si="17"/>
        <v>6810</v>
      </c>
      <c r="X40" s="43">
        <f t="shared" si="17"/>
        <v>7740</v>
      </c>
      <c r="Y40" s="37"/>
      <c r="Z40" s="36">
        <f t="shared" si="9"/>
        <v>2670</v>
      </c>
      <c r="AA40" s="36">
        <f t="shared" si="9"/>
        <v>3270</v>
      </c>
      <c r="AB40" s="36">
        <f t="shared" si="9"/>
        <v>3780</v>
      </c>
      <c r="AC40" s="36">
        <f t="shared" si="9"/>
        <v>4300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12"/>
        <v>10599.9</v>
      </c>
      <c r="K41" s="36">
        <f t="shared" si="6"/>
        <v>1970</v>
      </c>
      <c r="L41" s="36">
        <f t="shared" si="6"/>
        <v>2415</v>
      </c>
      <c r="M41" s="36">
        <f t="shared" si="6"/>
        <v>2800</v>
      </c>
      <c r="N41" s="36">
        <f t="shared" si="6"/>
        <v>3180</v>
      </c>
      <c r="O41" s="37"/>
      <c r="P41" s="42">
        <f t="shared" si="16"/>
        <v>3945</v>
      </c>
      <c r="Q41" s="36">
        <f t="shared" si="16"/>
        <v>4835</v>
      </c>
      <c r="R41" s="36">
        <f t="shared" si="16"/>
        <v>5595</v>
      </c>
      <c r="S41" s="43">
        <f t="shared" si="16"/>
        <v>6360</v>
      </c>
      <c r="T41" s="37"/>
      <c r="U41" s="42">
        <f t="shared" si="17"/>
        <v>5910</v>
      </c>
      <c r="V41" s="36">
        <f t="shared" si="17"/>
        <v>7250</v>
      </c>
      <c r="W41" s="36">
        <f t="shared" si="17"/>
        <v>8400</v>
      </c>
      <c r="X41" s="43">
        <f t="shared" si="17"/>
        <v>9540</v>
      </c>
      <c r="Y41" s="37"/>
      <c r="Z41" s="36">
        <f t="shared" si="9"/>
        <v>3290</v>
      </c>
      <c r="AA41" s="36">
        <f t="shared" si="9"/>
        <v>4030</v>
      </c>
      <c r="AB41" s="36">
        <f t="shared" si="9"/>
        <v>4660</v>
      </c>
      <c r="AC41" s="36">
        <f t="shared" si="9"/>
        <v>5300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12"/>
        <v>13599.9</v>
      </c>
      <c r="K42" s="36">
        <f t="shared" si="6"/>
        <v>2530</v>
      </c>
      <c r="L42" s="36">
        <f t="shared" si="6"/>
        <v>3100</v>
      </c>
      <c r="M42" s="36">
        <f t="shared" si="6"/>
        <v>3590</v>
      </c>
      <c r="N42" s="36">
        <f t="shared" si="6"/>
        <v>4080</v>
      </c>
      <c r="O42" s="37"/>
      <c r="P42" s="42">
        <f t="shared" si="16"/>
        <v>5060</v>
      </c>
      <c r="Q42" s="36">
        <f t="shared" si="16"/>
        <v>6200</v>
      </c>
      <c r="R42" s="36">
        <f t="shared" si="16"/>
        <v>7180</v>
      </c>
      <c r="S42" s="43">
        <f t="shared" si="16"/>
        <v>8160</v>
      </c>
      <c r="T42" s="37"/>
      <c r="U42" s="42">
        <f t="shared" si="17"/>
        <v>7590</v>
      </c>
      <c r="V42" s="36">
        <f t="shared" si="17"/>
        <v>9300</v>
      </c>
      <c r="W42" s="36">
        <f t="shared" si="17"/>
        <v>10770</v>
      </c>
      <c r="X42" s="43">
        <f t="shared" si="17"/>
        <v>12240</v>
      </c>
      <c r="Y42" s="37"/>
      <c r="Z42" s="36">
        <f t="shared" si="9"/>
        <v>4220</v>
      </c>
      <c r="AA42" s="36">
        <f t="shared" si="9"/>
        <v>5170</v>
      </c>
      <c r="AB42" s="36">
        <f t="shared" si="9"/>
        <v>5980</v>
      </c>
      <c r="AC42" s="36">
        <f t="shared" si="9"/>
        <v>6800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12"/>
        <v>17599.900000000001</v>
      </c>
      <c r="K43" s="36">
        <f t="shared" si="6"/>
        <v>3275</v>
      </c>
      <c r="L43" s="36">
        <f t="shared" si="6"/>
        <v>4015</v>
      </c>
      <c r="M43" s="36">
        <f t="shared" si="6"/>
        <v>4645</v>
      </c>
      <c r="N43" s="36">
        <f t="shared" si="6"/>
        <v>5280</v>
      </c>
      <c r="O43" s="37"/>
      <c r="P43" s="42">
        <f t="shared" si="16"/>
        <v>6545</v>
      </c>
      <c r="Q43" s="36">
        <f t="shared" si="16"/>
        <v>8025</v>
      </c>
      <c r="R43" s="36">
        <f t="shared" si="16"/>
        <v>9295</v>
      </c>
      <c r="S43" s="43">
        <f t="shared" si="16"/>
        <v>10560</v>
      </c>
      <c r="T43" s="37"/>
      <c r="U43" s="42">
        <f t="shared" si="17"/>
        <v>9820</v>
      </c>
      <c r="V43" s="36">
        <f t="shared" si="17"/>
        <v>12040</v>
      </c>
      <c r="W43" s="36">
        <f t="shared" si="17"/>
        <v>13940</v>
      </c>
      <c r="X43" s="43">
        <f t="shared" si="17"/>
        <v>15840</v>
      </c>
      <c r="Y43" s="37"/>
      <c r="Z43" s="36">
        <f t="shared" si="9"/>
        <v>5460</v>
      </c>
      <c r="AA43" s="36">
        <f t="shared" si="9"/>
        <v>6690</v>
      </c>
      <c r="AB43" s="36">
        <f t="shared" si="9"/>
        <v>7740</v>
      </c>
      <c r="AC43" s="36">
        <f t="shared" si="9"/>
        <v>8800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12"/>
        <v>22099.899999999998</v>
      </c>
      <c r="K44" s="36">
        <f t="shared" si="6"/>
        <v>4110</v>
      </c>
      <c r="L44" s="36">
        <f t="shared" si="6"/>
        <v>5040</v>
      </c>
      <c r="M44" s="36">
        <f t="shared" si="6"/>
        <v>5835</v>
      </c>
      <c r="N44" s="36">
        <f t="shared" si="6"/>
        <v>6630</v>
      </c>
      <c r="O44" s="37"/>
      <c r="P44" s="42">
        <f t="shared" si="16"/>
        <v>8220</v>
      </c>
      <c r="Q44" s="36">
        <f t="shared" si="16"/>
        <v>10080</v>
      </c>
      <c r="R44" s="36">
        <f t="shared" si="16"/>
        <v>11670</v>
      </c>
      <c r="S44" s="43">
        <f t="shared" si="16"/>
        <v>13260</v>
      </c>
      <c r="T44" s="37"/>
      <c r="U44" s="42">
        <f t="shared" si="17"/>
        <v>12330</v>
      </c>
      <c r="V44" s="36">
        <f t="shared" si="17"/>
        <v>15120</v>
      </c>
      <c r="W44" s="36">
        <f t="shared" si="17"/>
        <v>17500</v>
      </c>
      <c r="X44" s="43">
        <f t="shared" si="17"/>
        <v>19890</v>
      </c>
      <c r="Y44" s="37"/>
      <c r="Z44" s="36">
        <f t="shared" si="9"/>
        <v>6850</v>
      </c>
      <c r="AA44" s="36">
        <f t="shared" si="9"/>
        <v>8400</v>
      </c>
      <c r="AB44" s="36">
        <f t="shared" si="9"/>
        <v>9720</v>
      </c>
      <c r="AC44" s="36">
        <f t="shared" si="9"/>
        <v>11050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12"/>
        <v>28599.899999999998</v>
      </c>
      <c r="K45" s="36">
        <f t="shared" si="6"/>
        <v>5320</v>
      </c>
      <c r="L45" s="36">
        <f t="shared" si="6"/>
        <v>6520</v>
      </c>
      <c r="M45" s="36">
        <f t="shared" si="6"/>
        <v>7550</v>
      </c>
      <c r="N45" s="36">
        <f t="shared" si="6"/>
        <v>8580</v>
      </c>
      <c r="O45" s="37"/>
      <c r="P45" s="42">
        <f t="shared" si="16"/>
        <v>10640</v>
      </c>
      <c r="Q45" s="36">
        <f t="shared" si="16"/>
        <v>13040</v>
      </c>
      <c r="R45" s="36">
        <f t="shared" si="16"/>
        <v>15100</v>
      </c>
      <c r="S45" s="43">
        <f t="shared" si="16"/>
        <v>17160</v>
      </c>
      <c r="T45" s="37"/>
      <c r="U45" s="42">
        <f t="shared" si="17"/>
        <v>15960</v>
      </c>
      <c r="V45" s="36">
        <f t="shared" si="17"/>
        <v>19560</v>
      </c>
      <c r="W45" s="36">
        <f t="shared" si="17"/>
        <v>22650</v>
      </c>
      <c r="X45" s="43">
        <f t="shared" si="17"/>
        <v>25740</v>
      </c>
      <c r="Y45" s="37"/>
      <c r="Z45" s="36">
        <f t="shared" si="9"/>
        <v>8870</v>
      </c>
      <c r="AA45" s="36">
        <f t="shared" si="9"/>
        <v>10870</v>
      </c>
      <c r="AB45" s="36">
        <f t="shared" si="9"/>
        <v>12580</v>
      </c>
      <c r="AC45" s="36">
        <f t="shared" si="9"/>
        <v>14300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12"/>
        <v>36599.899999999994</v>
      </c>
      <c r="K46" s="36">
        <f t="shared" si="6"/>
        <v>6810</v>
      </c>
      <c r="L46" s="36">
        <f t="shared" si="6"/>
        <v>8345</v>
      </c>
      <c r="M46" s="36">
        <f t="shared" si="6"/>
        <v>9660</v>
      </c>
      <c r="N46" s="36">
        <f t="shared" si="6"/>
        <v>10980</v>
      </c>
      <c r="O46" s="37"/>
      <c r="P46" s="42">
        <f t="shared" si="16"/>
        <v>13615</v>
      </c>
      <c r="Q46" s="36">
        <f t="shared" si="16"/>
        <v>16690</v>
      </c>
      <c r="R46" s="36">
        <f t="shared" si="16"/>
        <v>19325</v>
      </c>
      <c r="S46" s="43">
        <f t="shared" si="16"/>
        <v>21960</v>
      </c>
      <c r="T46" s="37"/>
      <c r="U46" s="42">
        <f t="shared" si="17"/>
        <v>20420</v>
      </c>
      <c r="V46" s="36">
        <f t="shared" si="17"/>
        <v>25030</v>
      </c>
      <c r="W46" s="36">
        <f t="shared" si="17"/>
        <v>28990</v>
      </c>
      <c r="X46" s="43">
        <f t="shared" si="17"/>
        <v>32940</v>
      </c>
      <c r="Y46" s="37"/>
      <c r="Z46" s="36">
        <f t="shared" si="9"/>
        <v>11350</v>
      </c>
      <c r="AA46" s="36">
        <f t="shared" si="9"/>
        <v>13910</v>
      </c>
      <c r="AB46" s="36">
        <f t="shared" si="9"/>
        <v>16100</v>
      </c>
      <c r="AC46" s="36">
        <f t="shared" si="9"/>
        <v>18300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12"/>
        <v>44599.899999999994</v>
      </c>
      <c r="K47" s="36">
        <f t="shared" si="6"/>
        <v>8295</v>
      </c>
      <c r="L47" s="36">
        <f t="shared" si="6"/>
        <v>10170</v>
      </c>
      <c r="M47" s="36">
        <f t="shared" si="6"/>
        <v>11775</v>
      </c>
      <c r="N47" s="36">
        <f t="shared" si="6"/>
        <v>13380</v>
      </c>
      <c r="O47" s="37"/>
      <c r="P47" s="42">
        <f t="shared" si="16"/>
        <v>16590</v>
      </c>
      <c r="Q47" s="36">
        <f t="shared" si="16"/>
        <v>20340</v>
      </c>
      <c r="R47" s="36">
        <f t="shared" si="16"/>
        <v>23550</v>
      </c>
      <c r="S47" s="43">
        <f t="shared" si="16"/>
        <v>26760</v>
      </c>
      <c r="T47" s="37"/>
      <c r="U47" s="42">
        <f t="shared" si="17"/>
        <v>24890</v>
      </c>
      <c r="V47" s="36">
        <f t="shared" si="17"/>
        <v>30510</v>
      </c>
      <c r="W47" s="36">
        <f t="shared" si="17"/>
        <v>35320</v>
      </c>
      <c r="X47" s="43">
        <f t="shared" si="17"/>
        <v>40140</v>
      </c>
      <c r="Y47" s="37"/>
      <c r="Z47" s="36">
        <f t="shared" si="9"/>
        <v>13830</v>
      </c>
      <c r="AA47" s="36">
        <f t="shared" si="9"/>
        <v>16950</v>
      </c>
      <c r="AB47" s="36">
        <f t="shared" si="9"/>
        <v>19620</v>
      </c>
      <c r="AC47" s="36">
        <f t="shared" si="9"/>
        <v>22300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12"/>
        <v>52599.899999999994</v>
      </c>
      <c r="K48" s="36">
        <f t="shared" si="6"/>
        <v>9785</v>
      </c>
      <c r="L48" s="36">
        <f t="shared" si="6"/>
        <v>11995</v>
      </c>
      <c r="M48" s="36">
        <f t="shared" si="6"/>
        <v>13885</v>
      </c>
      <c r="N48" s="36">
        <f t="shared" si="6"/>
        <v>15780</v>
      </c>
      <c r="O48" s="37"/>
      <c r="P48" s="42">
        <f t="shared" si="16"/>
        <v>19565</v>
      </c>
      <c r="Q48" s="36">
        <f t="shared" si="16"/>
        <v>23985</v>
      </c>
      <c r="R48" s="36">
        <f t="shared" si="16"/>
        <v>27775</v>
      </c>
      <c r="S48" s="43">
        <f t="shared" si="16"/>
        <v>31560</v>
      </c>
      <c r="T48" s="37"/>
      <c r="U48" s="42">
        <f t="shared" si="17"/>
        <v>29350</v>
      </c>
      <c r="V48" s="36">
        <f t="shared" si="17"/>
        <v>35980</v>
      </c>
      <c r="W48" s="36">
        <f t="shared" si="17"/>
        <v>41660</v>
      </c>
      <c r="X48" s="43">
        <f t="shared" si="17"/>
        <v>47340</v>
      </c>
      <c r="Y48" s="37"/>
      <c r="Z48" s="36">
        <f t="shared" si="9"/>
        <v>16310</v>
      </c>
      <c r="AA48" s="36">
        <f t="shared" si="9"/>
        <v>19990</v>
      </c>
      <c r="AB48" s="36">
        <f t="shared" si="9"/>
        <v>23140</v>
      </c>
      <c r="AC48" s="36">
        <f t="shared" si="9"/>
        <v>26300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12"/>
        <v>60599.899999999994</v>
      </c>
      <c r="K49" s="36">
        <f t="shared" si="6"/>
        <v>11270</v>
      </c>
      <c r="L49" s="36">
        <f t="shared" si="6"/>
        <v>13815</v>
      </c>
      <c r="M49" s="36">
        <f t="shared" si="6"/>
        <v>16000</v>
      </c>
      <c r="N49" s="36">
        <f t="shared" si="6"/>
        <v>18180</v>
      </c>
      <c r="O49" s="37"/>
      <c r="P49" s="42">
        <f t="shared" si="16"/>
        <v>22545</v>
      </c>
      <c r="Q49" s="36">
        <f t="shared" si="16"/>
        <v>27635</v>
      </c>
      <c r="R49" s="36">
        <f t="shared" si="16"/>
        <v>31995</v>
      </c>
      <c r="S49" s="43">
        <f t="shared" si="16"/>
        <v>36360</v>
      </c>
      <c r="T49" s="37"/>
      <c r="U49" s="42">
        <f t="shared" si="17"/>
        <v>33810</v>
      </c>
      <c r="V49" s="36">
        <f t="shared" si="17"/>
        <v>41450</v>
      </c>
      <c r="W49" s="36">
        <f t="shared" si="17"/>
        <v>48000</v>
      </c>
      <c r="X49" s="43">
        <f t="shared" si="17"/>
        <v>54540</v>
      </c>
      <c r="Y49" s="37"/>
      <c r="Z49" s="36">
        <f t="shared" si="9"/>
        <v>18790</v>
      </c>
      <c r="AA49" s="36">
        <f t="shared" si="9"/>
        <v>23030</v>
      </c>
      <c r="AB49" s="36">
        <f t="shared" si="9"/>
        <v>26660</v>
      </c>
      <c r="AC49" s="36">
        <f t="shared" si="9"/>
        <v>30300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12"/>
        <v>68599.899999999994</v>
      </c>
      <c r="K50" s="36">
        <f t="shared" si="6"/>
        <v>12760</v>
      </c>
      <c r="L50" s="36">
        <f t="shared" si="6"/>
        <v>15640</v>
      </c>
      <c r="M50" s="36">
        <f t="shared" si="6"/>
        <v>18110</v>
      </c>
      <c r="N50" s="36">
        <f t="shared" si="6"/>
        <v>20580</v>
      </c>
      <c r="O50" s="37"/>
      <c r="P50" s="42">
        <f t="shared" si="16"/>
        <v>25520</v>
      </c>
      <c r="Q50" s="36">
        <f t="shared" si="16"/>
        <v>31280</v>
      </c>
      <c r="R50" s="36">
        <f t="shared" si="16"/>
        <v>36220</v>
      </c>
      <c r="S50" s="43">
        <f t="shared" si="16"/>
        <v>41160</v>
      </c>
      <c r="T50" s="37"/>
      <c r="U50" s="42">
        <f t="shared" si="17"/>
        <v>38280</v>
      </c>
      <c r="V50" s="36">
        <f t="shared" si="17"/>
        <v>46920</v>
      </c>
      <c r="W50" s="36">
        <f t="shared" si="17"/>
        <v>54330</v>
      </c>
      <c r="X50" s="43">
        <f t="shared" si="17"/>
        <v>61740</v>
      </c>
      <c r="Y50" s="37"/>
      <c r="Z50" s="36">
        <f t="shared" si="9"/>
        <v>21270</v>
      </c>
      <c r="AA50" s="36">
        <f t="shared" si="9"/>
        <v>26070</v>
      </c>
      <c r="AB50" s="36">
        <f t="shared" si="9"/>
        <v>30180</v>
      </c>
      <c r="AC50" s="36">
        <f t="shared" si="9"/>
        <v>34300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12"/>
        <v>76599.899999999994</v>
      </c>
      <c r="K51" s="36">
        <f t="shared" si="6"/>
        <v>14250</v>
      </c>
      <c r="L51" s="36">
        <f t="shared" si="6"/>
        <v>17465</v>
      </c>
      <c r="M51" s="36">
        <f t="shared" si="6"/>
        <v>20220</v>
      </c>
      <c r="N51" s="36">
        <f t="shared" si="6"/>
        <v>22980</v>
      </c>
      <c r="O51" s="37"/>
      <c r="P51" s="42">
        <f t="shared" si="16"/>
        <v>28495</v>
      </c>
      <c r="Q51" s="36">
        <f t="shared" si="16"/>
        <v>34930</v>
      </c>
      <c r="R51" s="36">
        <f t="shared" si="16"/>
        <v>40445</v>
      </c>
      <c r="S51" s="43">
        <f t="shared" si="16"/>
        <v>45960</v>
      </c>
      <c r="T51" s="37"/>
      <c r="U51" s="42">
        <f t="shared" si="17"/>
        <v>42740</v>
      </c>
      <c r="V51" s="36">
        <f t="shared" si="17"/>
        <v>52390</v>
      </c>
      <c r="W51" s="36">
        <f t="shared" si="17"/>
        <v>60670</v>
      </c>
      <c r="X51" s="43">
        <f t="shared" si="17"/>
        <v>68940</v>
      </c>
      <c r="Y51" s="37"/>
      <c r="Z51" s="36">
        <f t="shared" si="9"/>
        <v>23750</v>
      </c>
      <c r="AA51" s="36">
        <f t="shared" si="9"/>
        <v>29110</v>
      </c>
      <c r="AB51" s="36">
        <f t="shared" si="9"/>
        <v>33700</v>
      </c>
      <c r="AC51" s="36">
        <f t="shared" si="9"/>
        <v>38300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12"/>
        <v>84599.9</v>
      </c>
      <c r="K52" s="36">
        <f t="shared" si="6"/>
        <v>15735</v>
      </c>
      <c r="L52" s="36">
        <f t="shared" si="6"/>
        <v>19290</v>
      </c>
      <c r="M52" s="36">
        <f t="shared" si="6"/>
        <v>22335</v>
      </c>
      <c r="N52" s="36">
        <f t="shared" si="6"/>
        <v>25380</v>
      </c>
      <c r="O52" s="37"/>
      <c r="P52" s="44">
        <f t="shared" si="16"/>
        <v>31470</v>
      </c>
      <c r="Q52" s="45">
        <f t="shared" si="16"/>
        <v>38580</v>
      </c>
      <c r="R52" s="45">
        <f t="shared" si="16"/>
        <v>44670</v>
      </c>
      <c r="S52" s="46">
        <f t="shared" si="16"/>
        <v>50760</v>
      </c>
      <c r="T52" s="37"/>
      <c r="U52" s="44">
        <f t="shared" si="17"/>
        <v>47210</v>
      </c>
      <c r="V52" s="45">
        <f t="shared" si="17"/>
        <v>57870</v>
      </c>
      <c r="W52" s="45">
        <f t="shared" si="17"/>
        <v>67000</v>
      </c>
      <c r="X52" s="46">
        <f t="shared" si="17"/>
        <v>76140</v>
      </c>
      <c r="Y52" s="37"/>
      <c r="Z52" s="36">
        <f t="shared" si="9"/>
        <v>26230</v>
      </c>
      <c r="AA52" s="36">
        <f t="shared" si="9"/>
        <v>32150</v>
      </c>
      <c r="AB52" s="36">
        <f t="shared" si="9"/>
        <v>37220</v>
      </c>
      <c r="AC52" s="36">
        <f t="shared" si="9"/>
        <v>42300</v>
      </c>
      <c r="AD52" s="34"/>
    </row>
    <row r="53" spans="1:30" ht="15.75" thickTop="1" x14ac:dyDescent="0.25"/>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0.32</v>
      </c>
      <c r="C4" s="31">
        <v>0.39</v>
      </c>
      <c r="D4" s="31">
        <v>0.45</v>
      </c>
      <c r="E4" s="31">
        <v>0.52</v>
      </c>
    </row>
    <row r="5" spans="1:33" x14ac:dyDescent="0.25">
      <c r="B5" s="1"/>
      <c r="E5" s="26"/>
      <c r="F5" s="28">
        <v>1</v>
      </c>
      <c r="G5" s="27">
        <v>2</v>
      </c>
      <c r="H5" s="27">
        <f>+G5+1</f>
        <v>3</v>
      </c>
      <c r="I5" s="27">
        <f t="shared" ref="I5:X11"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1" si="1">+X5+1</f>
        <v>20</v>
      </c>
      <c r="Z5" s="28">
        <f t="shared" si="1"/>
        <v>21</v>
      </c>
      <c r="AA5" s="28">
        <f t="shared" si="1"/>
        <v>22</v>
      </c>
      <c r="AB5" s="28">
        <f t="shared" si="1"/>
        <v>23</v>
      </c>
      <c r="AC5" s="28">
        <f t="shared" si="1"/>
        <v>24</v>
      </c>
      <c r="AD5" s="27">
        <f t="shared" si="1"/>
        <v>25</v>
      </c>
      <c r="AE5" s="27">
        <f t="shared" si="1"/>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1"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v>1</v>
      </c>
      <c r="K11" s="27">
        <f t="shared" si="2"/>
        <v>2</v>
      </c>
      <c r="L11" s="27">
        <f t="shared" si="2"/>
        <v>3</v>
      </c>
      <c r="M11" s="27">
        <f t="shared" si="2"/>
        <v>4</v>
      </c>
      <c r="N11" s="27">
        <f t="shared" si="2"/>
        <v>5</v>
      </c>
      <c r="O11" s="27">
        <f t="shared" si="2"/>
        <v>6</v>
      </c>
      <c r="P11" s="27">
        <f t="shared" si="2"/>
        <v>7</v>
      </c>
      <c r="Q11" s="27">
        <f t="shared" si="2"/>
        <v>8</v>
      </c>
      <c r="R11" s="27">
        <f t="shared" si="2"/>
        <v>9</v>
      </c>
      <c r="S11" s="27">
        <f t="shared" si="2"/>
        <v>10</v>
      </c>
      <c r="T11" s="27">
        <f t="shared" si="2"/>
        <v>11</v>
      </c>
      <c r="U11" s="27">
        <f t="shared" si="2"/>
        <v>12</v>
      </c>
      <c r="V11" s="27">
        <f t="shared" si="2"/>
        <v>13</v>
      </c>
      <c r="W11" s="27">
        <f t="shared" si="2"/>
        <v>14</v>
      </c>
      <c r="X11" s="27">
        <f t="shared" si="0"/>
        <v>15</v>
      </c>
      <c r="Y11" s="27">
        <f t="shared" si="1"/>
        <v>16</v>
      </c>
      <c r="Z11" s="27">
        <f t="shared" si="1"/>
        <v>17</v>
      </c>
      <c r="AA11" s="27">
        <f t="shared" si="1"/>
        <v>18</v>
      </c>
      <c r="AB11" s="27">
        <f t="shared" si="1"/>
        <v>19</v>
      </c>
      <c r="AC11" s="27">
        <f t="shared" si="1"/>
        <v>20</v>
      </c>
      <c r="AD11" s="27">
        <f t="shared" si="1"/>
        <v>21</v>
      </c>
      <c r="AE11" s="27">
        <f t="shared" si="1"/>
        <v>22</v>
      </c>
      <c r="AF11" s="27">
        <f t="shared" si="1"/>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0.32</v>
      </c>
      <c r="L18" s="20">
        <f>$C$4</f>
        <v>0.39</v>
      </c>
      <c r="M18" s="20">
        <f>$D$4</f>
        <v>0.45</v>
      </c>
      <c r="N18" s="20">
        <f>$E$4</f>
        <v>0.52</v>
      </c>
      <c r="O18" s="20"/>
      <c r="P18" s="20">
        <f>$B$4</f>
        <v>0.32</v>
      </c>
      <c r="Q18" s="20">
        <f>$C$4</f>
        <v>0.39</v>
      </c>
      <c r="R18" s="20">
        <f>$D$4</f>
        <v>0.45</v>
      </c>
      <c r="S18" s="20">
        <f>$E$4</f>
        <v>0.52</v>
      </c>
      <c r="T18" s="20"/>
      <c r="U18" s="20">
        <f>$B$4</f>
        <v>0.32</v>
      </c>
      <c r="V18" s="20">
        <f>$C$4</f>
        <v>0.39</v>
      </c>
      <c r="W18" s="20">
        <f>$D$4</f>
        <v>0.45</v>
      </c>
      <c r="X18" s="20">
        <f>$E$4</f>
        <v>0.52</v>
      </c>
      <c r="Y18" s="20"/>
      <c r="Z18" s="20">
        <f>$B$4</f>
        <v>0.32</v>
      </c>
      <c r="AA18" s="20">
        <f>$C$4</f>
        <v>0.39</v>
      </c>
      <c r="AB18" s="20">
        <f>$D$4</f>
        <v>0.45</v>
      </c>
      <c r="AC18" s="20">
        <f>$E$4</f>
        <v>0.52</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4">ROUND(($J21*AA$18)/10,0)*10</f>
        <v>0</v>
      </c>
      <c r="AB21" s="36">
        <f t="shared" si="4"/>
        <v>0</v>
      </c>
      <c r="AC21" s="36">
        <f t="shared" si="4"/>
        <v>0</v>
      </c>
      <c r="AD21" s="34"/>
      <c r="AE21" s="24">
        <v>0</v>
      </c>
      <c r="AF21" s="24">
        <v>0</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v>0</v>
      </c>
      <c r="K22" s="36">
        <f t="shared" ref="K22:N52" si="6">ROUND(($F22*K$18)/5,0)*5</f>
        <v>0</v>
      </c>
      <c r="L22" s="36">
        <f t="shared" si="6"/>
        <v>0</v>
      </c>
      <c r="M22" s="36">
        <f t="shared" si="6"/>
        <v>0</v>
      </c>
      <c r="N22" s="36">
        <f t="shared" si="6"/>
        <v>0</v>
      </c>
      <c r="O22" s="37"/>
      <c r="P22" s="38">
        <f t="shared" ref="P22:S38" si="7">ROUND(($G22*P$18)/5,0)*5</f>
        <v>0</v>
      </c>
      <c r="Q22" s="38">
        <f t="shared" si="7"/>
        <v>0</v>
      </c>
      <c r="R22" s="38">
        <f t="shared" si="7"/>
        <v>0</v>
      </c>
      <c r="S22" s="38">
        <f t="shared" si="7"/>
        <v>0</v>
      </c>
      <c r="T22" s="37"/>
      <c r="U22" s="38">
        <f t="shared" ref="U22:X38" si="8">ROUND(($H22*U$18)/10,0)*10</f>
        <v>0</v>
      </c>
      <c r="V22" s="38">
        <f t="shared" si="8"/>
        <v>0</v>
      </c>
      <c r="W22" s="38">
        <f t="shared" si="8"/>
        <v>0</v>
      </c>
      <c r="X22" s="38">
        <f t="shared" si="8"/>
        <v>0</v>
      </c>
      <c r="Y22" s="37"/>
      <c r="Z22" s="36">
        <f t="shared" ref="Z22:AC52" si="9">ROUND(($J22*Z$18)/10,0)*10</f>
        <v>0</v>
      </c>
      <c r="AA22" s="36">
        <f t="shared" si="4"/>
        <v>0</v>
      </c>
      <c r="AB22" s="36">
        <f t="shared" si="4"/>
        <v>0</v>
      </c>
      <c r="AC22" s="36">
        <f t="shared" si="4"/>
        <v>0</v>
      </c>
      <c r="AD22" s="34"/>
      <c r="AE22" s="24">
        <v>24</v>
      </c>
      <c r="AF22" s="24">
        <v>24</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+$E23*J$17</f>
        <v>499.9</v>
      </c>
      <c r="K23" s="36">
        <f t="shared" si="6"/>
        <v>95</v>
      </c>
      <c r="L23" s="36">
        <f t="shared" si="6"/>
        <v>115</v>
      </c>
      <c r="M23" s="36">
        <f t="shared" si="6"/>
        <v>135</v>
      </c>
      <c r="N23" s="36">
        <f t="shared" si="6"/>
        <v>155</v>
      </c>
      <c r="O23" s="37"/>
      <c r="P23" s="39">
        <f t="shared" si="7"/>
        <v>190</v>
      </c>
      <c r="Q23" s="40">
        <f t="shared" si="7"/>
        <v>235</v>
      </c>
      <c r="R23" s="40">
        <f t="shared" si="7"/>
        <v>270</v>
      </c>
      <c r="S23" s="41">
        <f t="shared" si="7"/>
        <v>310</v>
      </c>
      <c r="T23" s="37"/>
      <c r="U23" s="39">
        <f t="shared" si="8"/>
        <v>290</v>
      </c>
      <c r="V23" s="40">
        <f t="shared" si="8"/>
        <v>350</v>
      </c>
      <c r="W23" s="40">
        <f t="shared" si="8"/>
        <v>400</v>
      </c>
      <c r="X23" s="41">
        <f t="shared" si="8"/>
        <v>470</v>
      </c>
      <c r="Y23" s="37"/>
      <c r="Z23" s="36">
        <f t="shared" si="9"/>
        <v>160</v>
      </c>
      <c r="AA23" s="36">
        <f t="shared" si="4"/>
        <v>190</v>
      </c>
      <c r="AB23" s="36">
        <f t="shared" si="4"/>
        <v>220</v>
      </c>
      <c r="AC23" s="36">
        <f t="shared" si="4"/>
        <v>260</v>
      </c>
      <c r="AD23" s="34"/>
      <c r="AE23" s="24">
        <v>36</v>
      </c>
      <c r="AF23" s="24">
        <v>36</v>
      </c>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ref="J24:J52" si="12">+$E24*J$17</f>
        <v>624.9</v>
      </c>
      <c r="K24" s="36">
        <f t="shared" si="6"/>
        <v>120</v>
      </c>
      <c r="L24" s="36">
        <f t="shared" si="6"/>
        <v>145</v>
      </c>
      <c r="M24" s="36">
        <f t="shared" si="6"/>
        <v>170</v>
      </c>
      <c r="N24" s="36">
        <f t="shared" si="6"/>
        <v>195</v>
      </c>
      <c r="O24" s="37"/>
      <c r="P24" s="42">
        <f t="shared" si="7"/>
        <v>240</v>
      </c>
      <c r="Q24" s="36">
        <f t="shared" si="7"/>
        <v>290</v>
      </c>
      <c r="R24" s="36">
        <f t="shared" si="7"/>
        <v>335</v>
      </c>
      <c r="S24" s="43">
        <f t="shared" si="7"/>
        <v>390</v>
      </c>
      <c r="T24" s="37"/>
      <c r="U24" s="42">
        <f t="shared" si="8"/>
        <v>360</v>
      </c>
      <c r="V24" s="36">
        <f t="shared" si="8"/>
        <v>440</v>
      </c>
      <c r="W24" s="36">
        <f t="shared" si="8"/>
        <v>510</v>
      </c>
      <c r="X24" s="43">
        <f t="shared" si="8"/>
        <v>580</v>
      </c>
      <c r="Y24" s="37"/>
      <c r="Z24" s="36">
        <f t="shared" si="9"/>
        <v>200</v>
      </c>
      <c r="AA24" s="36">
        <f t="shared" si="4"/>
        <v>240</v>
      </c>
      <c r="AB24" s="36">
        <f t="shared" si="4"/>
        <v>280</v>
      </c>
      <c r="AC24" s="36">
        <f t="shared" si="4"/>
        <v>320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12"/>
        <v>674.90000000000009</v>
      </c>
      <c r="K25" s="36">
        <f t="shared" si="6"/>
        <v>130</v>
      </c>
      <c r="L25" s="36">
        <f t="shared" si="6"/>
        <v>160</v>
      </c>
      <c r="M25" s="36">
        <f t="shared" si="6"/>
        <v>180</v>
      </c>
      <c r="N25" s="36">
        <f t="shared" si="6"/>
        <v>210</v>
      </c>
      <c r="O25" s="37"/>
      <c r="P25" s="42">
        <f t="shared" si="7"/>
        <v>260</v>
      </c>
      <c r="Q25" s="36">
        <f t="shared" si="7"/>
        <v>315</v>
      </c>
      <c r="R25" s="36">
        <f t="shared" si="7"/>
        <v>365</v>
      </c>
      <c r="S25" s="43">
        <f t="shared" si="7"/>
        <v>420</v>
      </c>
      <c r="T25" s="37"/>
      <c r="U25" s="42">
        <f t="shared" si="8"/>
        <v>390</v>
      </c>
      <c r="V25" s="36">
        <f t="shared" si="8"/>
        <v>470</v>
      </c>
      <c r="W25" s="36">
        <f t="shared" si="8"/>
        <v>550</v>
      </c>
      <c r="X25" s="43">
        <f t="shared" si="8"/>
        <v>630</v>
      </c>
      <c r="Y25" s="37"/>
      <c r="Z25" s="36">
        <f t="shared" si="9"/>
        <v>220</v>
      </c>
      <c r="AA25" s="36">
        <f t="shared" si="4"/>
        <v>260</v>
      </c>
      <c r="AB25" s="36">
        <f t="shared" si="4"/>
        <v>300</v>
      </c>
      <c r="AC25" s="36">
        <f t="shared" si="4"/>
        <v>350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12"/>
        <v>724.90000000000009</v>
      </c>
      <c r="K26" s="36">
        <f t="shared" si="6"/>
        <v>140</v>
      </c>
      <c r="L26" s="36">
        <f t="shared" si="6"/>
        <v>170</v>
      </c>
      <c r="M26" s="36">
        <f t="shared" si="6"/>
        <v>195</v>
      </c>
      <c r="N26" s="36">
        <f t="shared" si="6"/>
        <v>225</v>
      </c>
      <c r="O26" s="37"/>
      <c r="P26" s="42">
        <f t="shared" si="7"/>
        <v>280</v>
      </c>
      <c r="Q26" s="36">
        <f t="shared" si="7"/>
        <v>340</v>
      </c>
      <c r="R26" s="36">
        <f t="shared" si="7"/>
        <v>390</v>
      </c>
      <c r="S26" s="43">
        <f t="shared" si="7"/>
        <v>450</v>
      </c>
      <c r="T26" s="37"/>
      <c r="U26" s="42">
        <f t="shared" si="8"/>
        <v>420</v>
      </c>
      <c r="V26" s="36">
        <f t="shared" si="8"/>
        <v>510</v>
      </c>
      <c r="W26" s="36">
        <f t="shared" si="8"/>
        <v>590</v>
      </c>
      <c r="X26" s="43">
        <f t="shared" si="8"/>
        <v>680</v>
      </c>
      <c r="Y26" s="37"/>
      <c r="Z26" s="36">
        <f t="shared" si="9"/>
        <v>230</v>
      </c>
      <c r="AA26" s="36">
        <f t="shared" si="4"/>
        <v>280</v>
      </c>
      <c r="AB26" s="36">
        <f t="shared" si="4"/>
        <v>330</v>
      </c>
      <c r="AC26" s="36">
        <f t="shared" si="4"/>
        <v>380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12"/>
        <v>774.90000000000009</v>
      </c>
      <c r="K27" s="36">
        <f t="shared" si="6"/>
        <v>150</v>
      </c>
      <c r="L27" s="36">
        <f t="shared" si="6"/>
        <v>180</v>
      </c>
      <c r="M27" s="36">
        <f t="shared" si="6"/>
        <v>210</v>
      </c>
      <c r="N27" s="36">
        <f t="shared" si="6"/>
        <v>240</v>
      </c>
      <c r="O27" s="37"/>
      <c r="P27" s="42">
        <f t="shared" si="7"/>
        <v>300</v>
      </c>
      <c r="Q27" s="36">
        <f t="shared" si="7"/>
        <v>365</v>
      </c>
      <c r="R27" s="36">
        <f t="shared" si="7"/>
        <v>420</v>
      </c>
      <c r="S27" s="43">
        <f t="shared" si="7"/>
        <v>485</v>
      </c>
      <c r="T27" s="37"/>
      <c r="U27" s="42">
        <f t="shared" si="8"/>
        <v>450</v>
      </c>
      <c r="V27" s="36">
        <f t="shared" si="8"/>
        <v>540</v>
      </c>
      <c r="W27" s="36">
        <f t="shared" si="8"/>
        <v>630</v>
      </c>
      <c r="X27" s="43">
        <f t="shared" si="8"/>
        <v>730</v>
      </c>
      <c r="Y27" s="37"/>
      <c r="Z27" s="36">
        <f t="shared" si="9"/>
        <v>250</v>
      </c>
      <c r="AA27" s="36">
        <f t="shared" si="4"/>
        <v>300</v>
      </c>
      <c r="AB27" s="36">
        <f t="shared" si="4"/>
        <v>350</v>
      </c>
      <c r="AC27" s="36">
        <f t="shared" si="4"/>
        <v>400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12"/>
        <v>824.90000000000009</v>
      </c>
      <c r="K28" s="36">
        <f t="shared" si="6"/>
        <v>160</v>
      </c>
      <c r="L28" s="36">
        <f t="shared" si="6"/>
        <v>195</v>
      </c>
      <c r="M28" s="36">
        <f t="shared" si="6"/>
        <v>225</v>
      </c>
      <c r="N28" s="36">
        <f t="shared" si="6"/>
        <v>255</v>
      </c>
      <c r="O28" s="37"/>
      <c r="P28" s="42">
        <f t="shared" si="7"/>
        <v>315</v>
      </c>
      <c r="Q28" s="36">
        <f t="shared" si="7"/>
        <v>385</v>
      </c>
      <c r="R28" s="36">
        <f t="shared" si="7"/>
        <v>445</v>
      </c>
      <c r="S28" s="43">
        <f t="shared" si="7"/>
        <v>515</v>
      </c>
      <c r="T28" s="37"/>
      <c r="U28" s="42">
        <f t="shared" si="8"/>
        <v>480</v>
      </c>
      <c r="V28" s="36">
        <f t="shared" si="8"/>
        <v>580</v>
      </c>
      <c r="W28" s="36">
        <f t="shared" si="8"/>
        <v>670</v>
      </c>
      <c r="X28" s="43">
        <f t="shared" si="8"/>
        <v>770</v>
      </c>
      <c r="Y28" s="37"/>
      <c r="Z28" s="36">
        <f t="shared" si="9"/>
        <v>260</v>
      </c>
      <c r="AA28" s="36">
        <f t="shared" si="4"/>
        <v>320</v>
      </c>
      <c r="AB28" s="36">
        <f t="shared" si="4"/>
        <v>370</v>
      </c>
      <c r="AC28" s="36">
        <f t="shared" si="4"/>
        <v>430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12"/>
        <v>874.90000000000009</v>
      </c>
      <c r="K29" s="36">
        <f t="shared" si="6"/>
        <v>170</v>
      </c>
      <c r="L29" s="36">
        <f t="shared" si="6"/>
        <v>205</v>
      </c>
      <c r="M29" s="36">
        <f t="shared" si="6"/>
        <v>235</v>
      </c>
      <c r="N29" s="36">
        <f t="shared" si="6"/>
        <v>275</v>
      </c>
      <c r="O29" s="37"/>
      <c r="P29" s="42">
        <f t="shared" si="7"/>
        <v>335</v>
      </c>
      <c r="Q29" s="36">
        <f t="shared" si="7"/>
        <v>410</v>
      </c>
      <c r="R29" s="36">
        <f t="shared" si="7"/>
        <v>470</v>
      </c>
      <c r="S29" s="43">
        <f t="shared" si="7"/>
        <v>545</v>
      </c>
      <c r="T29" s="37"/>
      <c r="U29" s="42">
        <f t="shared" si="8"/>
        <v>500</v>
      </c>
      <c r="V29" s="36">
        <f t="shared" si="8"/>
        <v>610</v>
      </c>
      <c r="W29" s="36">
        <f t="shared" si="8"/>
        <v>710</v>
      </c>
      <c r="X29" s="43">
        <f t="shared" si="8"/>
        <v>820</v>
      </c>
      <c r="Y29" s="37"/>
      <c r="Z29" s="36">
        <f t="shared" si="9"/>
        <v>280</v>
      </c>
      <c r="AA29" s="36">
        <f t="shared" si="4"/>
        <v>340</v>
      </c>
      <c r="AB29" s="36">
        <f t="shared" si="4"/>
        <v>390</v>
      </c>
      <c r="AC29" s="36">
        <f t="shared" si="4"/>
        <v>450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12"/>
        <v>924.90000000000009</v>
      </c>
      <c r="K30" s="36">
        <f t="shared" si="6"/>
        <v>180</v>
      </c>
      <c r="L30" s="36">
        <f t="shared" si="6"/>
        <v>215</v>
      </c>
      <c r="M30" s="36">
        <f t="shared" si="6"/>
        <v>250</v>
      </c>
      <c r="N30" s="36">
        <f t="shared" si="6"/>
        <v>290</v>
      </c>
      <c r="O30" s="37"/>
      <c r="P30" s="42">
        <f t="shared" si="7"/>
        <v>355</v>
      </c>
      <c r="Q30" s="36">
        <f t="shared" si="7"/>
        <v>435</v>
      </c>
      <c r="R30" s="36">
        <f t="shared" si="7"/>
        <v>500</v>
      </c>
      <c r="S30" s="43">
        <f t="shared" si="7"/>
        <v>575</v>
      </c>
      <c r="T30" s="37"/>
      <c r="U30" s="42">
        <f t="shared" si="8"/>
        <v>530</v>
      </c>
      <c r="V30" s="36">
        <f t="shared" si="8"/>
        <v>650</v>
      </c>
      <c r="W30" s="36">
        <f t="shared" si="8"/>
        <v>750</v>
      </c>
      <c r="X30" s="43">
        <f t="shared" si="8"/>
        <v>870</v>
      </c>
      <c r="Y30" s="37"/>
      <c r="Z30" s="36">
        <f t="shared" si="9"/>
        <v>300</v>
      </c>
      <c r="AA30" s="36">
        <f t="shared" si="4"/>
        <v>360</v>
      </c>
      <c r="AB30" s="36">
        <f t="shared" si="4"/>
        <v>420</v>
      </c>
      <c r="AC30" s="36">
        <f t="shared" si="4"/>
        <v>480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12"/>
        <v>1024.9000000000001</v>
      </c>
      <c r="K31" s="36">
        <f t="shared" si="6"/>
        <v>195</v>
      </c>
      <c r="L31" s="36">
        <f t="shared" si="6"/>
        <v>240</v>
      </c>
      <c r="M31" s="36">
        <f t="shared" si="6"/>
        <v>275</v>
      </c>
      <c r="N31" s="36">
        <f t="shared" si="6"/>
        <v>320</v>
      </c>
      <c r="O31" s="37"/>
      <c r="P31" s="42">
        <f t="shared" si="7"/>
        <v>395</v>
      </c>
      <c r="Q31" s="36">
        <f t="shared" si="7"/>
        <v>480</v>
      </c>
      <c r="R31" s="36">
        <f t="shared" si="7"/>
        <v>555</v>
      </c>
      <c r="S31" s="43">
        <f t="shared" si="7"/>
        <v>640</v>
      </c>
      <c r="T31" s="37"/>
      <c r="U31" s="42">
        <f t="shared" si="8"/>
        <v>590</v>
      </c>
      <c r="V31" s="36">
        <f t="shared" si="8"/>
        <v>720</v>
      </c>
      <c r="W31" s="36">
        <f t="shared" si="8"/>
        <v>830</v>
      </c>
      <c r="X31" s="43">
        <f t="shared" si="8"/>
        <v>960</v>
      </c>
      <c r="Y31" s="37"/>
      <c r="Z31" s="36">
        <f t="shared" si="9"/>
        <v>330</v>
      </c>
      <c r="AA31" s="36">
        <f t="shared" si="4"/>
        <v>400</v>
      </c>
      <c r="AB31" s="36">
        <f t="shared" si="4"/>
        <v>460</v>
      </c>
      <c r="AC31" s="36">
        <f t="shared" si="4"/>
        <v>530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12"/>
        <v>1149.9000000000001</v>
      </c>
      <c r="K32" s="36">
        <f t="shared" si="6"/>
        <v>220</v>
      </c>
      <c r="L32" s="36">
        <f t="shared" si="6"/>
        <v>270</v>
      </c>
      <c r="M32" s="36">
        <f t="shared" si="6"/>
        <v>310</v>
      </c>
      <c r="N32" s="36">
        <f t="shared" si="6"/>
        <v>360</v>
      </c>
      <c r="O32" s="37"/>
      <c r="P32" s="42">
        <f t="shared" si="7"/>
        <v>440</v>
      </c>
      <c r="Q32" s="36">
        <f t="shared" si="7"/>
        <v>540</v>
      </c>
      <c r="R32" s="36">
        <f t="shared" si="7"/>
        <v>620</v>
      </c>
      <c r="S32" s="43">
        <f t="shared" si="7"/>
        <v>720</v>
      </c>
      <c r="T32" s="37"/>
      <c r="U32" s="42">
        <f t="shared" si="8"/>
        <v>660</v>
      </c>
      <c r="V32" s="36">
        <f t="shared" si="8"/>
        <v>810</v>
      </c>
      <c r="W32" s="36">
        <f t="shared" si="8"/>
        <v>930</v>
      </c>
      <c r="X32" s="43">
        <f t="shared" si="8"/>
        <v>1080</v>
      </c>
      <c r="Y32" s="37"/>
      <c r="Z32" s="36">
        <f t="shared" si="9"/>
        <v>370</v>
      </c>
      <c r="AA32" s="36">
        <f t="shared" si="4"/>
        <v>450</v>
      </c>
      <c r="AB32" s="36">
        <f t="shared" si="4"/>
        <v>520</v>
      </c>
      <c r="AC32" s="36">
        <f t="shared" si="4"/>
        <v>600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12"/>
        <v>1299.9000000000001</v>
      </c>
      <c r="K33" s="36">
        <f t="shared" si="6"/>
        <v>250</v>
      </c>
      <c r="L33" s="36">
        <f t="shared" si="6"/>
        <v>305</v>
      </c>
      <c r="M33" s="36">
        <f t="shared" si="6"/>
        <v>350</v>
      </c>
      <c r="N33" s="36">
        <f t="shared" si="6"/>
        <v>405</v>
      </c>
      <c r="O33" s="37"/>
      <c r="P33" s="42">
        <f t="shared" si="7"/>
        <v>500</v>
      </c>
      <c r="Q33" s="36">
        <f t="shared" si="7"/>
        <v>610</v>
      </c>
      <c r="R33" s="36">
        <f t="shared" si="7"/>
        <v>700</v>
      </c>
      <c r="S33" s="43">
        <f t="shared" si="7"/>
        <v>810</v>
      </c>
      <c r="T33" s="37"/>
      <c r="U33" s="42">
        <f t="shared" si="8"/>
        <v>750</v>
      </c>
      <c r="V33" s="36">
        <f t="shared" si="8"/>
        <v>910</v>
      </c>
      <c r="W33" s="36">
        <f t="shared" si="8"/>
        <v>1050</v>
      </c>
      <c r="X33" s="43">
        <f t="shared" si="8"/>
        <v>1220</v>
      </c>
      <c r="Y33" s="37"/>
      <c r="Z33" s="36">
        <f t="shared" si="9"/>
        <v>420</v>
      </c>
      <c r="AA33" s="36">
        <f t="shared" si="4"/>
        <v>510</v>
      </c>
      <c r="AB33" s="36">
        <f t="shared" si="4"/>
        <v>580</v>
      </c>
      <c r="AC33" s="36">
        <f t="shared" si="4"/>
        <v>680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12"/>
        <v>1499.9</v>
      </c>
      <c r="K34" s="36">
        <f t="shared" si="6"/>
        <v>290</v>
      </c>
      <c r="L34" s="36">
        <f t="shared" si="6"/>
        <v>350</v>
      </c>
      <c r="M34" s="36">
        <f t="shared" si="6"/>
        <v>405</v>
      </c>
      <c r="N34" s="36">
        <f t="shared" si="6"/>
        <v>470</v>
      </c>
      <c r="O34" s="37"/>
      <c r="P34" s="42">
        <f t="shared" si="7"/>
        <v>575</v>
      </c>
      <c r="Q34" s="36">
        <f t="shared" si="7"/>
        <v>700</v>
      </c>
      <c r="R34" s="36">
        <f t="shared" si="7"/>
        <v>810</v>
      </c>
      <c r="S34" s="43">
        <f t="shared" si="7"/>
        <v>935</v>
      </c>
      <c r="T34" s="37"/>
      <c r="U34" s="42">
        <f t="shared" si="8"/>
        <v>860</v>
      </c>
      <c r="V34" s="36">
        <f t="shared" si="8"/>
        <v>1050</v>
      </c>
      <c r="W34" s="36">
        <f t="shared" si="8"/>
        <v>1210</v>
      </c>
      <c r="X34" s="43">
        <f t="shared" si="8"/>
        <v>1400</v>
      </c>
      <c r="Y34" s="37"/>
      <c r="Z34" s="36">
        <f t="shared" si="9"/>
        <v>480</v>
      </c>
      <c r="AA34" s="36">
        <f t="shared" si="4"/>
        <v>580</v>
      </c>
      <c r="AB34" s="36">
        <f t="shared" si="4"/>
        <v>670</v>
      </c>
      <c r="AC34" s="36">
        <f t="shared" si="4"/>
        <v>780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12"/>
        <v>2099.9</v>
      </c>
      <c r="K35" s="36">
        <f t="shared" si="6"/>
        <v>405</v>
      </c>
      <c r="L35" s="36">
        <f t="shared" si="6"/>
        <v>490</v>
      </c>
      <c r="M35" s="36">
        <f t="shared" si="6"/>
        <v>565</v>
      </c>
      <c r="N35" s="36">
        <f t="shared" si="6"/>
        <v>655</v>
      </c>
      <c r="O35" s="37"/>
      <c r="P35" s="42">
        <f t="shared" si="7"/>
        <v>805</v>
      </c>
      <c r="Q35" s="36">
        <f t="shared" si="7"/>
        <v>985</v>
      </c>
      <c r="R35" s="36">
        <f t="shared" si="7"/>
        <v>1135</v>
      </c>
      <c r="S35" s="43">
        <f t="shared" si="7"/>
        <v>1310</v>
      </c>
      <c r="T35" s="37"/>
      <c r="U35" s="42">
        <f t="shared" si="8"/>
        <v>1210</v>
      </c>
      <c r="V35" s="36">
        <f t="shared" si="8"/>
        <v>1470</v>
      </c>
      <c r="W35" s="36">
        <f t="shared" si="8"/>
        <v>1700</v>
      </c>
      <c r="X35" s="43">
        <f t="shared" si="8"/>
        <v>1970</v>
      </c>
      <c r="Y35" s="37"/>
      <c r="Z35" s="36">
        <f t="shared" si="9"/>
        <v>670</v>
      </c>
      <c r="AA35" s="36">
        <f t="shared" si="4"/>
        <v>820</v>
      </c>
      <c r="AB35" s="36">
        <f t="shared" si="4"/>
        <v>940</v>
      </c>
      <c r="AC35" s="36">
        <f t="shared" si="4"/>
        <v>1090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12"/>
        <v>3349.9</v>
      </c>
      <c r="K36" s="36">
        <f t="shared" si="6"/>
        <v>645</v>
      </c>
      <c r="L36" s="36">
        <f t="shared" si="6"/>
        <v>785</v>
      </c>
      <c r="M36" s="36">
        <f t="shared" si="6"/>
        <v>905</v>
      </c>
      <c r="N36" s="36">
        <f t="shared" si="6"/>
        <v>1045</v>
      </c>
      <c r="O36" s="37"/>
      <c r="P36" s="42">
        <f t="shared" si="7"/>
        <v>1285</v>
      </c>
      <c r="Q36" s="36">
        <f t="shared" si="7"/>
        <v>1570</v>
      </c>
      <c r="R36" s="36">
        <f t="shared" si="7"/>
        <v>1810</v>
      </c>
      <c r="S36" s="43">
        <f t="shared" si="7"/>
        <v>2090</v>
      </c>
      <c r="T36" s="37"/>
      <c r="U36" s="42">
        <f t="shared" si="8"/>
        <v>1930</v>
      </c>
      <c r="V36" s="36">
        <f t="shared" si="8"/>
        <v>2350</v>
      </c>
      <c r="W36" s="36">
        <f t="shared" si="8"/>
        <v>2710</v>
      </c>
      <c r="X36" s="43">
        <f t="shared" si="8"/>
        <v>3140</v>
      </c>
      <c r="Y36" s="37"/>
      <c r="Z36" s="36">
        <f t="shared" si="9"/>
        <v>1070</v>
      </c>
      <c r="AA36" s="36">
        <f t="shared" si="4"/>
        <v>1310</v>
      </c>
      <c r="AB36" s="36">
        <f t="shared" si="4"/>
        <v>1510</v>
      </c>
      <c r="AC36" s="36">
        <f t="shared" si="4"/>
        <v>1740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12"/>
        <v>4849.8999999999996</v>
      </c>
      <c r="K37" s="36">
        <f t="shared" si="6"/>
        <v>930</v>
      </c>
      <c r="L37" s="36">
        <f t="shared" si="6"/>
        <v>1135</v>
      </c>
      <c r="M37" s="36">
        <f t="shared" si="6"/>
        <v>1310</v>
      </c>
      <c r="N37" s="36">
        <f t="shared" si="6"/>
        <v>1515</v>
      </c>
      <c r="O37" s="37"/>
      <c r="P37" s="42">
        <f t="shared" si="7"/>
        <v>1860</v>
      </c>
      <c r="Q37" s="36">
        <f t="shared" si="7"/>
        <v>2270</v>
      </c>
      <c r="R37" s="36">
        <f t="shared" si="7"/>
        <v>2620</v>
      </c>
      <c r="S37" s="43">
        <f t="shared" si="7"/>
        <v>3025</v>
      </c>
      <c r="T37" s="37"/>
      <c r="U37" s="42">
        <f t="shared" si="8"/>
        <v>2790</v>
      </c>
      <c r="V37" s="36">
        <f t="shared" si="8"/>
        <v>3400</v>
      </c>
      <c r="W37" s="36">
        <f t="shared" si="8"/>
        <v>3930</v>
      </c>
      <c r="X37" s="43">
        <f t="shared" si="8"/>
        <v>4540</v>
      </c>
      <c r="Y37" s="37"/>
      <c r="Z37" s="36">
        <f t="shared" si="9"/>
        <v>1550</v>
      </c>
      <c r="AA37" s="36">
        <f t="shared" si="9"/>
        <v>1890</v>
      </c>
      <c r="AB37" s="36">
        <f t="shared" si="9"/>
        <v>2180</v>
      </c>
      <c r="AC37" s="36">
        <f t="shared" si="9"/>
        <v>2520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12"/>
        <v>6099.9</v>
      </c>
      <c r="K38" s="36">
        <f t="shared" si="6"/>
        <v>1170</v>
      </c>
      <c r="L38" s="36">
        <f t="shared" si="6"/>
        <v>1425</v>
      </c>
      <c r="M38" s="36">
        <f t="shared" si="6"/>
        <v>1645</v>
      </c>
      <c r="N38" s="36">
        <f t="shared" si="6"/>
        <v>1905</v>
      </c>
      <c r="O38" s="37"/>
      <c r="P38" s="42">
        <f t="shared" si="7"/>
        <v>2340</v>
      </c>
      <c r="Q38" s="36">
        <f t="shared" si="7"/>
        <v>2855</v>
      </c>
      <c r="R38" s="36">
        <f t="shared" si="7"/>
        <v>3295</v>
      </c>
      <c r="S38" s="43">
        <f t="shared" si="7"/>
        <v>3805</v>
      </c>
      <c r="T38" s="37"/>
      <c r="U38" s="42">
        <f t="shared" si="8"/>
        <v>3510</v>
      </c>
      <c r="V38" s="36">
        <f t="shared" si="8"/>
        <v>4280</v>
      </c>
      <c r="W38" s="36">
        <f t="shared" si="8"/>
        <v>4940</v>
      </c>
      <c r="X38" s="43">
        <f t="shared" si="8"/>
        <v>5710</v>
      </c>
      <c r="Y38" s="37"/>
      <c r="Z38" s="36">
        <f t="shared" si="9"/>
        <v>1950</v>
      </c>
      <c r="AA38" s="36">
        <f t="shared" si="9"/>
        <v>2380</v>
      </c>
      <c r="AB38" s="36">
        <f t="shared" si="9"/>
        <v>2740</v>
      </c>
      <c r="AC38" s="36">
        <f t="shared" si="9"/>
        <v>3170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12"/>
        <v>7099.9</v>
      </c>
      <c r="K39" s="36">
        <f t="shared" si="6"/>
        <v>1365</v>
      </c>
      <c r="L39" s="36">
        <f t="shared" si="6"/>
        <v>1660</v>
      </c>
      <c r="M39" s="36">
        <f t="shared" si="6"/>
        <v>1915</v>
      </c>
      <c r="N39" s="36">
        <f t="shared" si="6"/>
        <v>2215</v>
      </c>
      <c r="O39" s="37"/>
      <c r="P39" s="42">
        <f t="shared" ref="P39:S52" si="16">ROUND(($G39*P$18)/5,0)*5</f>
        <v>2725</v>
      </c>
      <c r="Q39" s="36">
        <f t="shared" si="16"/>
        <v>3325</v>
      </c>
      <c r="R39" s="36">
        <f t="shared" si="16"/>
        <v>3835</v>
      </c>
      <c r="S39" s="43">
        <f t="shared" si="16"/>
        <v>4430</v>
      </c>
      <c r="T39" s="37"/>
      <c r="U39" s="42">
        <f t="shared" ref="U39:X52" si="17">ROUND(($H39*U$18)/10,0)*10</f>
        <v>4090</v>
      </c>
      <c r="V39" s="36">
        <f t="shared" si="17"/>
        <v>4980</v>
      </c>
      <c r="W39" s="167">
        <f t="shared" si="17"/>
        <v>5750</v>
      </c>
      <c r="X39" s="43">
        <f t="shared" si="17"/>
        <v>6650</v>
      </c>
      <c r="Y39" s="37"/>
      <c r="Z39" s="36">
        <f t="shared" si="9"/>
        <v>2270</v>
      </c>
      <c r="AA39" s="36">
        <f t="shared" si="9"/>
        <v>2770</v>
      </c>
      <c r="AB39" s="36">
        <f t="shared" si="9"/>
        <v>3190</v>
      </c>
      <c r="AC39" s="36">
        <f t="shared" si="9"/>
        <v>3690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12"/>
        <v>8599.9</v>
      </c>
      <c r="K40" s="36">
        <f t="shared" si="6"/>
        <v>1650</v>
      </c>
      <c r="L40" s="36">
        <f t="shared" si="6"/>
        <v>2010</v>
      </c>
      <c r="M40" s="36">
        <f t="shared" si="6"/>
        <v>2320</v>
      </c>
      <c r="N40" s="36">
        <f t="shared" si="6"/>
        <v>2685</v>
      </c>
      <c r="O40" s="37"/>
      <c r="P40" s="42">
        <f t="shared" si="16"/>
        <v>3300</v>
      </c>
      <c r="Q40" s="36">
        <f t="shared" si="16"/>
        <v>4025</v>
      </c>
      <c r="R40" s="36">
        <f t="shared" si="16"/>
        <v>4645</v>
      </c>
      <c r="S40" s="43">
        <f t="shared" si="16"/>
        <v>5365</v>
      </c>
      <c r="T40" s="37"/>
      <c r="U40" s="42">
        <f t="shared" si="17"/>
        <v>4950</v>
      </c>
      <c r="V40" s="36">
        <f t="shared" si="17"/>
        <v>6040</v>
      </c>
      <c r="W40" s="36">
        <f t="shared" si="17"/>
        <v>6970</v>
      </c>
      <c r="X40" s="43">
        <f t="shared" si="17"/>
        <v>8050</v>
      </c>
      <c r="Y40" s="37"/>
      <c r="Z40" s="36">
        <f t="shared" si="9"/>
        <v>2750</v>
      </c>
      <c r="AA40" s="36">
        <f t="shared" si="9"/>
        <v>3350</v>
      </c>
      <c r="AB40" s="36">
        <f t="shared" si="9"/>
        <v>3870</v>
      </c>
      <c r="AC40" s="36">
        <f t="shared" si="9"/>
        <v>4470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12"/>
        <v>10599.9</v>
      </c>
      <c r="K41" s="36">
        <f t="shared" si="6"/>
        <v>2035</v>
      </c>
      <c r="L41" s="36">
        <f t="shared" si="6"/>
        <v>2480</v>
      </c>
      <c r="M41" s="36">
        <f t="shared" si="6"/>
        <v>2860</v>
      </c>
      <c r="N41" s="36">
        <f t="shared" si="6"/>
        <v>3305</v>
      </c>
      <c r="O41" s="37"/>
      <c r="P41" s="42">
        <f t="shared" si="16"/>
        <v>4070</v>
      </c>
      <c r="Q41" s="36">
        <f t="shared" si="16"/>
        <v>4960</v>
      </c>
      <c r="R41" s="36">
        <f t="shared" si="16"/>
        <v>5725</v>
      </c>
      <c r="S41" s="43">
        <f t="shared" si="16"/>
        <v>6615</v>
      </c>
      <c r="T41" s="37"/>
      <c r="U41" s="42">
        <f t="shared" si="17"/>
        <v>6110</v>
      </c>
      <c r="V41" s="36">
        <f t="shared" si="17"/>
        <v>7440</v>
      </c>
      <c r="W41" s="36">
        <f t="shared" si="17"/>
        <v>8590</v>
      </c>
      <c r="X41" s="43">
        <f t="shared" si="17"/>
        <v>9920</v>
      </c>
      <c r="Y41" s="37"/>
      <c r="Z41" s="36">
        <f t="shared" si="9"/>
        <v>3390</v>
      </c>
      <c r="AA41" s="36">
        <f t="shared" si="9"/>
        <v>4130</v>
      </c>
      <c r="AB41" s="36">
        <f t="shared" si="9"/>
        <v>4770</v>
      </c>
      <c r="AC41" s="36">
        <f t="shared" si="9"/>
        <v>5510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12"/>
        <v>13599.9</v>
      </c>
      <c r="K42" s="36">
        <f t="shared" si="6"/>
        <v>2610</v>
      </c>
      <c r="L42" s="36">
        <f t="shared" si="6"/>
        <v>3180</v>
      </c>
      <c r="M42" s="36">
        <f t="shared" si="6"/>
        <v>3670</v>
      </c>
      <c r="N42" s="36">
        <f t="shared" si="6"/>
        <v>4245</v>
      </c>
      <c r="O42" s="37"/>
      <c r="P42" s="42">
        <f t="shared" si="16"/>
        <v>5220</v>
      </c>
      <c r="Q42" s="36">
        <f t="shared" si="16"/>
        <v>6365</v>
      </c>
      <c r="R42" s="36">
        <f t="shared" si="16"/>
        <v>7345</v>
      </c>
      <c r="S42" s="43">
        <f t="shared" si="16"/>
        <v>8485</v>
      </c>
      <c r="T42" s="37"/>
      <c r="U42" s="42">
        <f t="shared" si="17"/>
        <v>7830</v>
      </c>
      <c r="V42" s="36">
        <f t="shared" si="17"/>
        <v>9550</v>
      </c>
      <c r="W42" s="36">
        <f t="shared" si="17"/>
        <v>11020</v>
      </c>
      <c r="X42" s="43">
        <f t="shared" si="17"/>
        <v>12730</v>
      </c>
      <c r="Y42" s="37"/>
      <c r="Z42" s="36">
        <f t="shared" si="9"/>
        <v>4350</v>
      </c>
      <c r="AA42" s="36">
        <f t="shared" si="9"/>
        <v>5300</v>
      </c>
      <c r="AB42" s="36">
        <f t="shared" si="9"/>
        <v>6120</v>
      </c>
      <c r="AC42" s="36">
        <f t="shared" si="9"/>
        <v>7070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12"/>
        <v>17599.900000000001</v>
      </c>
      <c r="K43" s="36">
        <f t="shared" si="6"/>
        <v>3380</v>
      </c>
      <c r="L43" s="36">
        <f t="shared" si="6"/>
        <v>4120</v>
      </c>
      <c r="M43" s="36">
        <f t="shared" si="6"/>
        <v>4750</v>
      </c>
      <c r="N43" s="36">
        <f t="shared" si="6"/>
        <v>5490</v>
      </c>
      <c r="O43" s="37"/>
      <c r="P43" s="42">
        <f t="shared" si="16"/>
        <v>6760</v>
      </c>
      <c r="Q43" s="36">
        <f t="shared" si="16"/>
        <v>8235</v>
      </c>
      <c r="R43" s="36">
        <f t="shared" si="16"/>
        <v>9505</v>
      </c>
      <c r="S43" s="43">
        <f t="shared" si="16"/>
        <v>10980</v>
      </c>
      <c r="T43" s="37"/>
      <c r="U43" s="42">
        <f t="shared" si="17"/>
        <v>10140</v>
      </c>
      <c r="V43" s="36">
        <f t="shared" si="17"/>
        <v>12360</v>
      </c>
      <c r="W43" s="36">
        <f t="shared" si="17"/>
        <v>14260</v>
      </c>
      <c r="X43" s="43">
        <f t="shared" si="17"/>
        <v>16470</v>
      </c>
      <c r="Y43" s="37"/>
      <c r="Z43" s="36">
        <f t="shared" si="9"/>
        <v>5630</v>
      </c>
      <c r="AA43" s="36">
        <f t="shared" si="9"/>
        <v>6860</v>
      </c>
      <c r="AB43" s="36">
        <f t="shared" si="9"/>
        <v>7920</v>
      </c>
      <c r="AC43" s="36">
        <f t="shared" si="9"/>
        <v>9150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12"/>
        <v>22099.899999999998</v>
      </c>
      <c r="K44" s="36">
        <f t="shared" si="6"/>
        <v>4245</v>
      </c>
      <c r="L44" s="36">
        <f t="shared" si="6"/>
        <v>5170</v>
      </c>
      <c r="M44" s="36">
        <f t="shared" si="6"/>
        <v>5965</v>
      </c>
      <c r="N44" s="36">
        <f t="shared" si="6"/>
        <v>6895</v>
      </c>
      <c r="O44" s="37"/>
      <c r="P44" s="42">
        <f t="shared" si="16"/>
        <v>8485</v>
      </c>
      <c r="Q44" s="36">
        <f t="shared" si="16"/>
        <v>10345</v>
      </c>
      <c r="R44" s="36">
        <f t="shared" si="16"/>
        <v>11935</v>
      </c>
      <c r="S44" s="43">
        <f t="shared" si="16"/>
        <v>13790</v>
      </c>
      <c r="T44" s="37"/>
      <c r="U44" s="42">
        <f t="shared" si="17"/>
        <v>12730</v>
      </c>
      <c r="V44" s="36">
        <f t="shared" si="17"/>
        <v>15510</v>
      </c>
      <c r="W44" s="36">
        <f t="shared" si="17"/>
        <v>17900</v>
      </c>
      <c r="X44" s="43">
        <f t="shared" si="17"/>
        <v>20690</v>
      </c>
      <c r="Y44" s="37"/>
      <c r="Z44" s="36">
        <f t="shared" si="9"/>
        <v>7070</v>
      </c>
      <c r="AA44" s="36">
        <f t="shared" si="9"/>
        <v>8620</v>
      </c>
      <c r="AB44" s="36">
        <f t="shared" si="9"/>
        <v>9940</v>
      </c>
      <c r="AC44" s="36">
        <f t="shared" si="9"/>
        <v>11490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12"/>
        <v>28599.899999999998</v>
      </c>
      <c r="K45" s="36">
        <f t="shared" si="6"/>
        <v>5490</v>
      </c>
      <c r="L45" s="36">
        <f t="shared" si="6"/>
        <v>6690</v>
      </c>
      <c r="M45" s="36">
        <f t="shared" si="6"/>
        <v>7720</v>
      </c>
      <c r="N45" s="36">
        <f t="shared" si="6"/>
        <v>8925</v>
      </c>
      <c r="O45" s="37"/>
      <c r="P45" s="42">
        <f t="shared" si="16"/>
        <v>10980</v>
      </c>
      <c r="Q45" s="36">
        <f t="shared" si="16"/>
        <v>13385</v>
      </c>
      <c r="R45" s="36">
        <f t="shared" si="16"/>
        <v>15445</v>
      </c>
      <c r="S45" s="43">
        <f t="shared" si="16"/>
        <v>17845</v>
      </c>
      <c r="T45" s="37"/>
      <c r="U45" s="42">
        <f t="shared" si="17"/>
        <v>16470</v>
      </c>
      <c r="V45" s="36">
        <f t="shared" si="17"/>
        <v>20080</v>
      </c>
      <c r="W45" s="36">
        <f t="shared" si="17"/>
        <v>23170</v>
      </c>
      <c r="X45" s="43">
        <f t="shared" si="17"/>
        <v>26770</v>
      </c>
      <c r="Y45" s="37"/>
      <c r="Z45" s="36">
        <f t="shared" si="9"/>
        <v>9150</v>
      </c>
      <c r="AA45" s="36">
        <f t="shared" si="9"/>
        <v>11150</v>
      </c>
      <c r="AB45" s="36">
        <f t="shared" si="9"/>
        <v>12870</v>
      </c>
      <c r="AC45" s="36">
        <f t="shared" si="9"/>
        <v>14870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12"/>
        <v>36599.899999999994</v>
      </c>
      <c r="K46" s="36">
        <f t="shared" si="6"/>
        <v>7025</v>
      </c>
      <c r="L46" s="36">
        <f t="shared" si="6"/>
        <v>8565</v>
      </c>
      <c r="M46" s="36">
        <f t="shared" si="6"/>
        <v>9880</v>
      </c>
      <c r="N46" s="36">
        <f t="shared" si="6"/>
        <v>11420</v>
      </c>
      <c r="O46" s="37"/>
      <c r="P46" s="42">
        <f t="shared" si="16"/>
        <v>14055</v>
      </c>
      <c r="Q46" s="36">
        <f t="shared" si="16"/>
        <v>17130</v>
      </c>
      <c r="R46" s="36">
        <f t="shared" si="16"/>
        <v>19765</v>
      </c>
      <c r="S46" s="43">
        <f t="shared" si="16"/>
        <v>22840</v>
      </c>
      <c r="T46" s="37"/>
      <c r="U46" s="42">
        <f t="shared" si="17"/>
        <v>21080</v>
      </c>
      <c r="V46" s="36">
        <f t="shared" si="17"/>
        <v>25690</v>
      </c>
      <c r="W46" s="36">
        <f t="shared" si="17"/>
        <v>29650</v>
      </c>
      <c r="X46" s="43">
        <f t="shared" si="17"/>
        <v>34260</v>
      </c>
      <c r="Y46" s="37"/>
      <c r="Z46" s="36">
        <f t="shared" si="9"/>
        <v>11710</v>
      </c>
      <c r="AA46" s="36">
        <f t="shared" si="9"/>
        <v>14270</v>
      </c>
      <c r="AB46" s="36">
        <f t="shared" si="9"/>
        <v>16470</v>
      </c>
      <c r="AC46" s="36">
        <f t="shared" si="9"/>
        <v>19030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12"/>
        <v>44599.899999999994</v>
      </c>
      <c r="K47" s="36">
        <f t="shared" si="6"/>
        <v>8565</v>
      </c>
      <c r="L47" s="36">
        <f t="shared" si="6"/>
        <v>10435</v>
      </c>
      <c r="M47" s="36">
        <f t="shared" si="6"/>
        <v>12040</v>
      </c>
      <c r="N47" s="36">
        <f t="shared" si="6"/>
        <v>13915</v>
      </c>
      <c r="O47" s="37"/>
      <c r="P47" s="42">
        <f t="shared" si="16"/>
        <v>17125</v>
      </c>
      <c r="Q47" s="36">
        <f t="shared" si="16"/>
        <v>20875</v>
      </c>
      <c r="R47" s="36">
        <f t="shared" si="16"/>
        <v>24085</v>
      </c>
      <c r="S47" s="43">
        <f t="shared" si="16"/>
        <v>27830</v>
      </c>
      <c r="T47" s="37"/>
      <c r="U47" s="42">
        <f t="shared" si="17"/>
        <v>25690</v>
      </c>
      <c r="V47" s="36">
        <f t="shared" si="17"/>
        <v>31310</v>
      </c>
      <c r="W47" s="36">
        <f t="shared" si="17"/>
        <v>36130</v>
      </c>
      <c r="X47" s="43">
        <f t="shared" si="17"/>
        <v>41750</v>
      </c>
      <c r="Y47" s="37"/>
      <c r="Z47" s="36">
        <f t="shared" si="9"/>
        <v>14270</v>
      </c>
      <c r="AA47" s="36">
        <f t="shared" si="9"/>
        <v>17390</v>
      </c>
      <c r="AB47" s="36">
        <f t="shared" si="9"/>
        <v>20070</v>
      </c>
      <c r="AC47" s="36">
        <f t="shared" si="9"/>
        <v>23190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12"/>
        <v>52599.899999999994</v>
      </c>
      <c r="K48" s="36">
        <f t="shared" si="6"/>
        <v>10100</v>
      </c>
      <c r="L48" s="36">
        <f t="shared" si="6"/>
        <v>12310</v>
      </c>
      <c r="M48" s="36">
        <f t="shared" si="6"/>
        <v>14200</v>
      </c>
      <c r="N48" s="36">
        <f t="shared" si="6"/>
        <v>16410</v>
      </c>
      <c r="O48" s="37"/>
      <c r="P48" s="42">
        <f t="shared" si="16"/>
        <v>20200</v>
      </c>
      <c r="Q48" s="36">
        <f t="shared" si="16"/>
        <v>24615</v>
      </c>
      <c r="R48" s="36">
        <f t="shared" si="16"/>
        <v>28405</v>
      </c>
      <c r="S48" s="43">
        <f t="shared" si="16"/>
        <v>32820</v>
      </c>
      <c r="T48" s="37"/>
      <c r="U48" s="42">
        <f t="shared" si="17"/>
        <v>30300</v>
      </c>
      <c r="V48" s="36">
        <f t="shared" si="17"/>
        <v>36930</v>
      </c>
      <c r="W48" s="36">
        <f t="shared" si="17"/>
        <v>42610</v>
      </c>
      <c r="X48" s="43">
        <f t="shared" si="17"/>
        <v>49230</v>
      </c>
      <c r="Y48" s="37"/>
      <c r="Z48" s="36">
        <f t="shared" si="9"/>
        <v>16830</v>
      </c>
      <c r="AA48" s="36">
        <f t="shared" si="9"/>
        <v>20510</v>
      </c>
      <c r="AB48" s="36">
        <f t="shared" si="9"/>
        <v>23670</v>
      </c>
      <c r="AC48" s="36">
        <f t="shared" si="9"/>
        <v>27350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12"/>
        <v>60599.899999999994</v>
      </c>
      <c r="K49" s="36">
        <f t="shared" si="6"/>
        <v>11635</v>
      </c>
      <c r="L49" s="36">
        <f t="shared" si="6"/>
        <v>14180</v>
      </c>
      <c r="M49" s="36">
        <f t="shared" si="6"/>
        <v>16360</v>
      </c>
      <c r="N49" s="36">
        <f t="shared" si="6"/>
        <v>18905</v>
      </c>
      <c r="O49" s="37"/>
      <c r="P49" s="42">
        <f t="shared" si="16"/>
        <v>23270</v>
      </c>
      <c r="Q49" s="36">
        <f t="shared" si="16"/>
        <v>28360</v>
      </c>
      <c r="R49" s="36">
        <f t="shared" si="16"/>
        <v>32725</v>
      </c>
      <c r="S49" s="43">
        <f t="shared" si="16"/>
        <v>37815</v>
      </c>
      <c r="T49" s="37"/>
      <c r="U49" s="42">
        <f t="shared" si="17"/>
        <v>34910</v>
      </c>
      <c r="V49" s="36">
        <f t="shared" si="17"/>
        <v>42540</v>
      </c>
      <c r="W49" s="36">
        <f t="shared" si="17"/>
        <v>49090</v>
      </c>
      <c r="X49" s="43">
        <f t="shared" si="17"/>
        <v>56720</v>
      </c>
      <c r="Y49" s="37"/>
      <c r="Z49" s="36">
        <f t="shared" si="9"/>
        <v>19390</v>
      </c>
      <c r="AA49" s="36">
        <f t="shared" si="9"/>
        <v>23630</v>
      </c>
      <c r="AB49" s="36">
        <f t="shared" si="9"/>
        <v>27270</v>
      </c>
      <c r="AC49" s="36">
        <f t="shared" si="9"/>
        <v>31510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12"/>
        <v>68599.899999999994</v>
      </c>
      <c r="K50" s="36">
        <f t="shared" si="6"/>
        <v>13170</v>
      </c>
      <c r="L50" s="36">
        <f t="shared" si="6"/>
        <v>16050</v>
      </c>
      <c r="M50" s="36">
        <f t="shared" si="6"/>
        <v>18520</v>
      </c>
      <c r="N50" s="36">
        <f t="shared" si="6"/>
        <v>21405</v>
      </c>
      <c r="O50" s="37"/>
      <c r="P50" s="42">
        <f t="shared" si="16"/>
        <v>26340</v>
      </c>
      <c r="Q50" s="36">
        <f t="shared" si="16"/>
        <v>32105</v>
      </c>
      <c r="R50" s="36">
        <f t="shared" si="16"/>
        <v>37045</v>
      </c>
      <c r="S50" s="43">
        <f t="shared" si="16"/>
        <v>42805</v>
      </c>
      <c r="T50" s="37"/>
      <c r="U50" s="42">
        <f t="shared" si="17"/>
        <v>39510</v>
      </c>
      <c r="V50" s="36">
        <f t="shared" si="17"/>
        <v>48160</v>
      </c>
      <c r="W50" s="36">
        <f t="shared" si="17"/>
        <v>55570</v>
      </c>
      <c r="X50" s="43">
        <f t="shared" si="17"/>
        <v>64210</v>
      </c>
      <c r="Y50" s="37"/>
      <c r="Z50" s="36">
        <f t="shared" si="9"/>
        <v>21950</v>
      </c>
      <c r="AA50" s="36">
        <f t="shared" si="9"/>
        <v>26750</v>
      </c>
      <c r="AB50" s="36">
        <f t="shared" si="9"/>
        <v>30870</v>
      </c>
      <c r="AC50" s="36">
        <f t="shared" si="9"/>
        <v>35670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12"/>
        <v>76599.899999999994</v>
      </c>
      <c r="K51" s="36">
        <f t="shared" si="6"/>
        <v>14705</v>
      </c>
      <c r="L51" s="36">
        <f t="shared" si="6"/>
        <v>17925</v>
      </c>
      <c r="M51" s="36">
        <f t="shared" si="6"/>
        <v>20680</v>
      </c>
      <c r="N51" s="36">
        <f t="shared" si="6"/>
        <v>23900</v>
      </c>
      <c r="O51" s="37"/>
      <c r="P51" s="42">
        <f t="shared" si="16"/>
        <v>29415</v>
      </c>
      <c r="Q51" s="36">
        <f t="shared" si="16"/>
        <v>35850</v>
      </c>
      <c r="R51" s="36">
        <f t="shared" si="16"/>
        <v>41365</v>
      </c>
      <c r="S51" s="43">
        <f t="shared" si="16"/>
        <v>47800</v>
      </c>
      <c r="T51" s="37"/>
      <c r="U51" s="42">
        <f t="shared" si="17"/>
        <v>44120</v>
      </c>
      <c r="V51" s="36">
        <f t="shared" si="17"/>
        <v>53770</v>
      </c>
      <c r="W51" s="36">
        <f t="shared" si="17"/>
        <v>62050</v>
      </c>
      <c r="X51" s="43">
        <f t="shared" si="17"/>
        <v>71700</v>
      </c>
      <c r="Y51" s="37"/>
      <c r="Z51" s="36">
        <f t="shared" si="9"/>
        <v>24510</v>
      </c>
      <c r="AA51" s="36">
        <f t="shared" si="9"/>
        <v>29870</v>
      </c>
      <c r="AB51" s="36">
        <f t="shared" si="9"/>
        <v>34470</v>
      </c>
      <c r="AC51" s="36">
        <f t="shared" si="9"/>
        <v>39830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12"/>
        <v>84599.9</v>
      </c>
      <c r="K52" s="36">
        <f t="shared" si="6"/>
        <v>16245</v>
      </c>
      <c r="L52" s="36">
        <f t="shared" si="6"/>
        <v>19795</v>
      </c>
      <c r="M52" s="36">
        <f t="shared" si="6"/>
        <v>22840</v>
      </c>
      <c r="N52" s="36">
        <f t="shared" si="6"/>
        <v>26395</v>
      </c>
      <c r="O52" s="37"/>
      <c r="P52" s="44">
        <f t="shared" si="16"/>
        <v>32485</v>
      </c>
      <c r="Q52" s="45">
        <f t="shared" si="16"/>
        <v>39595</v>
      </c>
      <c r="R52" s="45">
        <f t="shared" si="16"/>
        <v>45685</v>
      </c>
      <c r="S52" s="46">
        <f t="shared" si="16"/>
        <v>52790</v>
      </c>
      <c r="T52" s="37"/>
      <c r="U52" s="44">
        <f t="shared" si="17"/>
        <v>48730</v>
      </c>
      <c r="V52" s="45">
        <f t="shared" si="17"/>
        <v>59390</v>
      </c>
      <c r="W52" s="45">
        <f t="shared" si="17"/>
        <v>68530</v>
      </c>
      <c r="X52" s="46">
        <f t="shared" si="17"/>
        <v>79190</v>
      </c>
      <c r="Y52" s="37"/>
      <c r="Z52" s="36">
        <f t="shared" si="9"/>
        <v>27070</v>
      </c>
      <c r="AA52" s="36">
        <f t="shared" si="9"/>
        <v>32990</v>
      </c>
      <c r="AB52" s="36">
        <f t="shared" si="9"/>
        <v>38070</v>
      </c>
      <c r="AC52" s="36">
        <f t="shared" si="9"/>
        <v>43990</v>
      </c>
      <c r="AD52" s="34"/>
    </row>
    <row r="53" spans="1:30" ht="15.75" thickTop="1" x14ac:dyDescent="0.25"/>
  </sheetData>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0.2</v>
      </c>
      <c r="C4" s="31">
        <v>0.26</v>
      </c>
      <c r="D4" s="31">
        <v>0.26</v>
      </c>
      <c r="E4" s="31">
        <v>0.3</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0.2</v>
      </c>
      <c r="L18" s="20">
        <f>$C$4</f>
        <v>0.26</v>
      </c>
      <c r="M18" s="20">
        <f>$D$4</f>
        <v>0.26</v>
      </c>
      <c r="N18" s="20">
        <f>$E$4</f>
        <v>0.3</v>
      </c>
      <c r="O18" s="20"/>
      <c r="P18" s="20">
        <f>$B$4</f>
        <v>0.2</v>
      </c>
      <c r="Q18" s="20">
        <f>$C$4</f>
        <v>0.26</v>
      </c>
      <c r="R18" s="20">
        <f>$D$4</f>
        <v>0.26</v>
      </c>
      <c r="S18" s="20">
        <f>$E$4</f>
        <v>0.3</v>
      </c>
      <c r="T18" s="20"/>
      <c r="U18" s="20">
        <f>$B$4</f>
        <v>0.2</v>
      </c>
      <c r="V18" s="20">
        <f>$C$4</f>
        <v>0.26</v>
      </c>
      <c r="W18" s="20">
        <f>$D$4</f>
        <v>0.26</v>
      </c>
      <c r="X18" s="20">
        <f>$E$4</f>
        <v>0.3</v>
      </c>
      <c r="Y18" s="20"/>
      <c r="Z18" s="20">
        <f>$B$4</f>
        <v>0.2</v>
      </c>
      <c r="AA18" s="20">
        <f>$C$4</f>
        <v>0.26</v>
      </c>
      <c r="AB18" s="20">
        <f>$D$4</f>
        <v>0.26</v>
      </c>
      <c r="AC18" s="20">
        <f>$E$4</f>
        <v>0.3</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22"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60</v>
      </c>
      <c r="L23" s="36">
        <f t="shared" si="7"/>
        <v>80</v>
      </c>
      <c r="M23" s="36">
        <f t="shared" si="7"/>
        <v>80</v>
      </c>
      <c r="N23" s="36">
        <f t="shared" si="7"/>
        <v>90</v>
      </c>
      <c r="O23" s="37"/>
      <c r="P23" s="39">
        <f t="shared" si="8"/>
        <v>120</v>
      </c>
      <c r="Q23" s="40">
        <f t="shared" si="8"/>
        <v>155</v>
      </c>
      <c r="R23" s="40">
        <f t="shared" si="8"/>
        <v>155</v>
      </c>
      <c r="S23" s="41">
        <f t="shared" si="8"/>
        <v>180</v>
      </c>
      <c r="T23" s="37"/>
      <c r="U23" s="39">
        <f t="shared" si="9"/>
        <v>180</v>
      </c>
      <c r="V23" s="40">
        <f t="shared" si="9"/>
        <v>230</v>
      </c>
      <c r="W23" s="40">
        <f t="shared" si="9"/>
        <v>230</v>
      </c>
      <c r="X23" s="41">
        <f t="shared" si="9"/>
        <v>270</v>
      </c>
      <c r="Y23" s="37"/>
      <c r="Z23" s="36">
        <f>ROUND(($J23*Z$18)/10,0)*10</f>
        <v>100</v>
      </c>
      <c r="AA23" s="36">
        <f t="shared" ref="AA23:AC38" si="12">ROUND(($J23*AA$18)/10,0)*10</f>
        <v>130</v>
      </c>
      <c r="AB23" s="36">
        <f t="shared" si="12"/>
        <v>130</v>
      </c>
      <c r="AC23" s="36">
        <f t="shared" si="12"/>
        <v>150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75</v>
      </c>
      <c r="L24" s="36">
        <f t="shared" si="7"/>
        <v>95</v>
      </c>
      <c r="M24" s="36">
        <f t="shared" si="7"/>
        <v>95</v>
      </c>
      <c r="N24" s="36">
        <f t="shared" si="7"/>
        <v>110</v>
      </c>
      <c r="O24" s="37"/>
      <c r="P24" s="42">
        <f t="shared" si="8"/>
        <v>150</v>
      </c>
      <c r="Q24" s="36">
        <f t="shared" si="8"/>
        <v>195</v>
      </c>
      <c r="R24" s="36">
        <f t="shared" si="8"/>
        <v>195</v>
      </c>
      <c r="S24" s="43">
        <f t="shared" si="8"/>
        <v>225</v>
      </c>
      <c r="T24" s="37"/>
      <c r="U24" s="42">
        <f t="shared" si="9"/>
        <v>220</v>
      </c>
      <c r="V24" s="36">
        <f t="shared" si="9"/>
        <v>290</v>
      </c>
      <c r="W24" s="36">
        <f t="shared" si="9"/>
        <v>290</v>
      </c>
      <c r="X24" s="43">
        <f t="shared" si="9"/>
        <v>340</v>
      </c>
      <c r="Y24" s="37"/>
      <c r="Z24" s="36">
        <f t="shared" ref="Z24:AC52" si="13">ROUND(($J24*Z$18)/10,0)*10</f>
        <v>120</v>
      </c>
      <c r="AA24" s="36">
        <f t="shared" si="12"/>
        <v>160</v>
      </c>
      <c r="AB24" s="36">
        <f t="shared" si="12"/>
        <v>160</v>
      </c>
      <c r="AC24" s="36">
        <f t="shared" si="12"/>
        <v>190</v>
      </c>
      <c r="AD24" s="34"/>
    </row>
    <row r="25" spans="1:34" s="24" customFormat="1" ht="22.5" customHeight="1" x14ac:dyDescent="0.25">
      <c r="A25" s="24">
        <v>5</v>
      </c>
      <c r="B25" s="33">
        <f t="shared" ref="B25:B52" si="14">+C24+0.01</f>
        <v>32.5</v>
      </c>
      <c r="C25" s="33">
        <f t="shared" ref="C25:C30" si="15">+C24+2.5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80</v>
      </c>
      <c r="L25" s="36">
        <f t="shared" si="7"/>
        <v>105</v>
      </c>
      <c r="M25" s="36">
        <f t="shared" si="7"/>
        <v>105</v>
      </c>
      <c r="N25" s="36">
        <f t="shared" si="7"/>
        <v>120</v>
      </c>
      <c r="O25" s="37"/>
      <c r="P25" s="42">
        <f t="shared" si="8"/>
        <v>160</v>
      </c>
      <c r="Q25" s="36">
        <f t="shared" si="8"/>
        <v>210</v>
      </c>
      <c r="R25" s="36">
        <f t="shared" si="8"/>
        <v>210</v>
      </c>
      <c r="S25" s="43">
        <f t="shared" si="8"/>
        <v>245</v>
      </c>
      <c r="T25" s="37"/>
      <c r="U25" s="42">
        <f t="shared" si="9"/>
        <v>240</v>
      </c>
      <c r="V25" s="36">
        <f t="shared" si="9"/>
        <v>320</v>
      </c>
      <c r="W25" s="36">
        <f t="shared" si="9"/>
        <v>320</v>
      </c>
      <c r="X25" s="43">
        <f t="shared" si="9"/>
        <v>360</v>
      </c>
      <c r="Y25" s="37"/>
      <c r="Z25" s="36">
        <f t="shared" si="13"/>
        <v>130</v>
      </c>
      <c r="AA25" s="36">
        <f t="shared" si="12"/>
        <v>180</v>
      </c>
      <c r="AB25" s="36">
        <f t="shared" si="12"/>
        <v>180</v>
      </c>
      <c r="AC25" s="36">
        <f t="shared" si="12"/>
        <v>200</v>
      </c>
      <c r="AD25" s="34"/>
    </row>
    <row r="26" spans="1:34" s="24" customFormat="1" ht="22.5" customHeight="1" x14ac:dyDescent="0.25">
      <c r="A26" s="24">
        <v>6</v>
      </c>
      <c r="B26" s="33">
        <f t="shared" si="14"/>
        <v>35</v>
      </c>
      <c r="C26" s="33">
        <f t="shared" si="15"/>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85</v>
      </c>
      <c r="L26" s="36">
        <f t="shared" si="7"/>
        <v>115</v>
      </c>
      <c r="M26" s="36">
        <f t="shared" si="7"/>
        <v>115</v>
      </c>
      <c r="N26" s="36">
        <f t="shared" si="7"/>
        <v>130</v>
      </c>
      <c r="O26" s="37"/>
      <c r="P26" s="42">
        <f t="shared" si="8"/>
        <v>175</v>
      </c>
      <c r="Q26" s="36">
        <f t="shared" si="8"/>
        <v>225</v>
      </c>
      <c r="R26" s="36">
        <f t="shared" si="8"/>
        <v>225</v>
      </c>
      <c r="S26" s="43">
        <f t="shared" si="8"/>
        <v>260</v>
      </c>
      <c r="T26" s="37"/>
      <c r="U26" s="42">
        <f t="shared" si="9"/>
        <v>260</v>
      </c>
      <c r="V26" s="36">
        <f t="shared" si="9"/>
        <v>340</v>
      </c>
      <c r="W26" s="36">
        <f t="shared" si="9"/>
        <v>340</v>
      </c>
      <c r="X26" s="43">
        <f t="shared" si="9"/>
        <v>390</v>
      </c>
      <c r="Y26" s="37"/>
      <c r="Z26" s="36">
        <f t="shared" si="13"/>
        <v>140</v>
      </c>
      <c r="AA26" s="36">
        <f t="shared" si="12"/>
        <v>190</v>
      </c>
      <c r="AB26" s="36">
        <f t="shared" si="12"/>
        <v>190</v>
      </c>
      <c r="AC26" s="36">
        <f t="shared" si="12"/>
        <v>220</v>
      </c>
      <c r="AD26" s="34"/>
    </row>
    <row r="27" spans="1:34" s="24" customFormat="1" ht="22.5" customHeight="1" x14ac:dyDescent="0.25">
      <c r="A27" s="24">
        <v>7</v>
      </c>
      <c r="B27" s="33">
        <f t="shared" si="14"/>
        <v>37.5</v>
      </c>
      <c r="C27" s="33">
        <f t="shared" si="15"/>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95</v>
      </c>
      <c r="L27" s="36">
        <f t="shared" si="7"/>
        <v>120</v>
      </c>
      <c r="M27" s="36">
        <f t="shared" si="7"/>
        <v>120</v>
      </c>
      <c r="N27" s="36">
        <f t="shared" si="7"/>
        <v>140</v>
      </c>
      <c r="O27" s="37"/>
      <c r="P27" s="42">
        <f t="shared" si="8"/>
        <v>185</v>
      </c>
      <c r="Q27" s="36">
        <f t="shared" si="8"/>
        <v>240</v>
      </c>
      <c r="R27" s="36">
        <f t="shared" si="8"/>
        <v>240</v>
      </c>
      <c r="S27" s="43">
        <f t="shared" si="8"/>
        <v>280</v>
      </c>
      <c r="T27" s="37"/>
      <c r="U27" s="42">
        <f t="shared" si="9"/>
        <v>280</v>
      </c>
      <c r="V27" s="36">
        <f t="shared" si="9"/>
        <v>360</v>
      </c>
      <c r="W27" s="36">
        <f t="shared" si="9"/>
        <v>360</v>
      </c>
      <c r="X27" s="43">
        <f t="shared" si="9"/>
        <v>420</v>
      </c>
      <c r="Y27" s="37"/>
      <c r="Z27" s="36">
        <f t="shared" si="13"/>
        <v>150</v>
      </c>
      <c r="AA27" s="36">
        <f t="shared" si="12"/>
        <v>200</v>
      </c>
      <c r="AB27" s="36">
        <f t="shared" si="12"/>
        <v>200</v>
      </c>
      <c r="AC27" s="36">
        <f t="shared" si="12"/>
        <v>230</v>
      </c>
      <c r="AD27" s="34"/>
    </row>
    <row r="28" spans="1:34" s="24" customFormat="1" ht="22.5" customHeight="1" x14ac:dyDescent="0.25">
      <c r="A28" s="24">
        <v>8</v>
      </c>
      <c r="B28" s="33">
        <f t="shared" si="14"/>
        <v>40</v>
      </c>
      <c r="C28" s="33">
        <f t="shared" si="15"/>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100</v>
      </c>
      <c r="L28" s="36">
        <f t="shared" si="7"/>
        <v>130</v>
      </c>
      <c r="M28" s="36">
        <f t="shared" si="7"/>
        <v>130</v>
      </c>
      <c r="N28" s="36">
        <f t="shared" si="7"/>
        <v>150</v>
      </c>
      <c r="O28" s="37"/>
      <c r="P28" s="42">
        <f t="shared" si="8"/>
        <v>200</v>
      </c>
      <c r="Q28" s="36">
        <f t="shared" si="8"/>
        <v>255</v>
      </c>
      <c r="R28" s="36">
        <f t="shared" si="8"/>
        <v>255</v>
      </c>
      <c r="S28" s="43">
        <f t="shared" si="8"/>
        <v>295</v>
      </c>
      <c r="T28" s="37"/>
      <c r="U28" s="42">
        <f t="shared" si="9"/>
        <v>300</v>
      </c>
      <c r="V28" s="36">
        <f t="shared" si="9"/>
        <v>390</v>
      </c>
      <c r="W28" s="36">
        <f t="shared" si="9"/>
        <v>390</v>
      </c>
      <c r="X28" s="43">
        <f t="shared" si="9"/>
        <v>450</v>
      </c>
      <c r="Y28" s="37"/>
      <c r="Z28" s="36">
        <f t="shared" si="13"/>
        <v>160</v>
      </c>
      <c r="AA28" s="36">
        <f t="shared" si="12"/>
        <v>210</v>
      </c>
      <c r="AB28" s="36">
        <f t="shared" si="12"/>
        <v>210</v>
      </c>
      <c r="AC28" s="36">
        <f t="shared" si="12"/>
        <v>250</v>
      </c>
      <c r="AD28" s="34"/>
    </row>
    <row r="29" spans="1:34" s="24" customFormat="1" ht="22.5" customHeight="1" x14ac:dyDescent="0.25">
      <c r="A29" s="24">
        <v>9</v>
      </c>
      <c r="B29" s="33">
        <f t="shared" si="14"/>
        <v>42.5</v>
      </c>
      <c r="C29" s="33">
        <f t="shared" si="15"/>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105</v>
      </c>
      <c r="L29" s="36">
        <f t="shared" si="7"/>
        <v>135</v>
      </c>
      <c r="M29" s="36">
        <f t="shared" si="7"/>
        <v>135</v>
      </c>
      <c r="N29" s="36">
        <f t="shared" si="7"/>
        <v>155</v>
      </c>
      <c r="O29" s="37"/>
      <c r="P29" s="42">
        <f t="shared" si="8"/>
        <v>210</v>
      </c>
      <c r="Q29" s="36">
        <f t="shared" si="8"/>
        <v>275</v>
      </c>
      <c r="R29" s="36">
        <f t="shared" si="8"/>
        <v>275</v>
      </c>
      <c r="S29" s="43">
        <f t="shared" si="8"/>
        <v>315</v>
      </c>
      <c r="T29" s="37"/>
      <c r="U29" s="42">
        <f t="shared" si="9"/>
        <v>310</v>
      </c>
      <c r="V29" s="36">
        <f t="shared" si="9"/>
        <v>410</v>
      </c>
      <c r="W29" s="36">
        <f t="shared" si="9"/>
        <v>410</v>
      </c>
      <c r="X29" s="43">
        <f t="shared" si="9"/>
        <v>470</v>
      </c>
      <c r="Y29" s="37"/>
      <c r="Z29" s="36">
        <f t="shared" si="13"/>
        <v>170</v>
      </c>
      <c r="AA29" s="36">
        <f t="shared" si="12"/>
        <v>230</v>
      </c>
      <c r="AB29" s="36">
        <f t="shared" si="12"/>
        <v>230</v>
      </c>
      <c r="AC29" s="36">
        <f t="shared" si="12"/>
        <v>260</v>
      </c>
      <c r="AD29" s="34"/>
    </row>
    <row r="30" spans="1:34" s="24" customFormat="1" ht="22.5" customHeight="1" x14ac:dyDescent="0.25">
      <c r="A30" s="24">
        <v>10</v>
      </c>
      <c r="B30" s="33">
        <f t="shared" si="14"/>
        <v>45</v>
      </c>
      <c r="C30" s="33">
        <f t="shared" si="15"/>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110</v>
      </c>
      <c r="L30" s="36">
        <f t="shared" si="7"/>
        <v>145</v>
      </c>
      <c r="M30" s="36">
        <f t="shared" si="7"/>
        <v>145</v>
      </c>
      <c r="N30" s="36">
        <f t="shared" si="7"/>
        <v>165</v>
      </c>
      <c r="O30" s="37"/>
      <c r="P30" s="42">
        <f t="shared" si="8"/>
        <v>220</v>
      </c>
      <c r="Q30" s="36">
        <f t="shared" si="8"/>
        <v>290</v>
      </c>
      <c r="R30" s="36">
        <f t="shared" si="8"/>
        <v>290</v>
      </c>
      <c r="S30" s="43">
        <f t="shared" si="8"/>
        <v>335</v>
      </c>
      <c r="T30" s="37"/>
      <c r="U30" s="42">
        <f t="shared" si="9"/>
        <v>330</v>
      </c>
      <c r="V30" s="36">
        <f t="shared" si="9"/>
        <v>430</v>
      </c>
      <c r="W30" s="36">
        <f t="shared" si="9"/>
        <v>430</v>
      </c>
      <c r="X30" s="43">
        <f t="shared" si="9"/>
        <v>500</v>
      </c>
      <c r="Y30" s="37"/>
      <c r="Z30" s="36">
        <f t="shared" si="13"/>
        <v>180</v>
      </c>
      <c r="AA30" s="36">
        <f t="shared" si="12"/>
        <v>240</v>
      </c>
      <c r="AB30" s="36">
        <f t="shared" si="12"/>
        <v>240</v>
      </c>
      <c r="AC30" s="36">
        <f t="shared" si="12"/>
        <v>280</v>
      </c>
      <c r="AD30" s="34"/>
    </row>
    <row r="31" spans="1:34" s="24" customFormat="1" ht="22.5" customHeight="1" x14ac:dyDescent="0.25">
      <c r="A31" s="24">
        <v>11</v>
      </c>
      <c r="B31" s="33">
        <f t="shared" si="14"/>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125</v>
      </c>
      <c r="L31" s="36">
        <f t="shared" si="7"/>
        <v>160</v>
      </c>
      <c r="M31" s="36">
        <f t="shared" si="7"/>
        <v>160</v>
      </c>
      <c r="N31" s="36">
        <f t="shared" si="7"/>
        <v>185</v>
      </c>
      <c r="O31" s="37"/>
      <c r="P31" s="42">
        <f t="shared" si="8"/>
        <v>245</v>
      </c>
      <c r="Q31" s="36">
        <f t="shared" si="8"/>
        <v>320</v>
      </c>
      <c r="R31" s="36">
        <f t="shared" si="8"/>
        <v>320</v>
      </c>
      <c r="S31" s="43">
        <f t="shared" si="8"/>
        <v>370</v>
      </c>
      <c r="T31" s="37"/>
      <c r="U31" s="42">
        <f t="shared" si="9"/>
        <v>370</v>
      </c>
      <c r="V31" s="36">
        <f t="shared" si="9"/>
        <v>480</v>
      </c>
      <c r="W31" s="36">
        <f t="shared" si="9"/>
        <v>480</v>
      </c>
      <c r="X31" s="43">
        <f t="shared" si="9"/>
        <v>550</v>
      </c>
      <c r="Y31" s="37"/>
      <c r="Z31" s="36">
        <f t="shared" si="13"/>
        <v>200</v>
      </c>
      <c r="AA31" s="36">
        <f t="shared" si="12"/>
        <v>270</v>
      </c>
      <c r="AB31" s="36">
        <f t="shared" si="12"/>
        <v>270</v>
      </c>
      <c r="AC31" s="36">
        <f t="shared" si="12"/>
        <v>310</v>
      </c>
      <c r="AD31" s="34"/>
    </row>
    <row r="32" spans="1:34" s="24" customFormat="1" ht="22.5" customHeight="1" x14ac:dyDescent="0.25">
      <c r="A32" s="24">
        <v>12</v>
      </c>
      <c r="B32" s="33">
        <f t="shared" si="14"/>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140</v>
      </c>
      <c r="L32" s="36">
        <f t="shared" si="7"/>
        <v>180</v>
      </c>
      <c r="M32" s="36">
        <f t="shared" si="7"/>
        <v>180</v>
      </c>
      <c r="N32" s="36">
        <f t="shared" si="7"/>
        <v>205</v>
      </c>
      <c r="O32" s="37"/>
      <c r="P32" s="42">
        <f t="shared" si="8"/>
        <v>275</v>
      </c>
      <c r="Q32" s="36">
        <f t="shared" si="8"/>
        <v>360</v>
      </c>
      <c r="R32" s="36">
        <f t="shared" si="8"/>
        <v>360</v>
      </c>
      <c r="S32" s="43">
        <f t="shared" si="8"/>
        <v>415</v>
      </c>
      <c r="T32" s="37"/>
      <c r="U32" s="42">
        <f t="shared" si="9"/>
        <v>410</v>
      </c>
      <c r="V32" s="36">
        <f t="shared" si="9"/>
        <v>540</v>
      </c>
      <c r="W32" s="36">
        <f t="shared" si="9"/>
        <v>540</v>
      </c>
      <c r="X32" s="43">
        <f t="shared" si="9"/>
        <v>620</v>
      </c>
      <c r="Y32" s="37"/>
      <c r="Z32" s="36">
        <f t="shared" si="13"/>
        <v>230</v>
      </c>
      <c r="AA32" s="36">
        <f t="shared" si="12"/>
        <v>300</v>
      </c>
      <c r="AB32" s="36">
        <f t="shared" si="12"/>
        <v>300</v>
      </c>
      <c r="AC32" s="36">
        <f t="shared" si="12"/>
        <v>340</v>
      </c>
      <c r="AD32" s="34"/>
    </row>
    <row r="33" spans="1:30" s="24" customFormat="1" ht="22.5" customHeight="1" x14ac:dyDescent="0.25">
      <c r="A33" s="24">
        <v>13</v>
      </c>
      <c r="B33" s="33">
        <f t="shared" si="14"/>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155</v>
      </c>
      <c r="L33" s="36">
        <f t="shared" si="7"/>
        <v>205</v>
      </c>
      <c r="M33" s="36">
        <f t="shared" si="7"/>
        <v>205</v>
      </c>
      <c r="N33" s="36">
        <f t="shared" si="7"/>
        <v>235</v>
      </c>
      <c r="O33" s="37"/>
      <c r="P33" s="42">
        <f t="shared" si="8"/>
        <v>310</v>
      </c>
      <c r="Q33" s="36">
        <f t="shared" si="8"/>
        <v>405</v>
      </c>
      <c r="R33" s="36">
        <f t="shared" si="8"/>
        <v>405</v>
      </c>
      <c r="S33" s="43">
        <f t="shared" si="8"/>
        <v>470</v>
      </c>
      <c r="T33" s="37"/>
      <c r="U33" s="42">
        <f t="shared" si="9"/>
        <v>470</v>
      </c>
      <c r="V33" s="36">
        <f t="shared" si="9"/>
        <v>610</v>
      </c>
      <c r="W33" s="36">
        <f t="shared" si="9"/>
        <v>610</v>
      </c>
      <c r="X33" s="43">
        <f t="shared" si="9"/>
        <v>700</v>
      </c>
      <c r="Y33" s="37"/>
      <c r="Z33" s="36">
        <f t="shared" si="13"/>
        <v>260</v>
      </c>
      <c r="AA33" s="36">
        <f t="shared" si="12"/>
        <v>340</v>
      </c>
      <c r="AB33" s="36">
        <f t="shared" si="12"/>
        <v>340</v>
      </c>
      <c r="AC33" s="36">
        <f t="shared" si="12"/>
        <v>390</v>
      </c>
      <c r="AD33" s="34"/>
    </row>
    <row r="34" spans="1:30" s="24" customFormat="1" ht="22.5" customHeight="1" x14ac:dyDescent="0.25">
      <c r="A34" s="24">
        <v>14</v>
      </c>
      <c r="B34" s="33">
        <f t="shared" si="14"/>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180</v>
      </c>
      <c r="L34" s="36">
        <f t="shared" si="7"/>
        <v>235</v>
      </c>
      <c r="M34" s="36">
        <f t="shared" si="7"/>
        <v>235</v>
      </c>
      <c r="N34" s="36">
        <f t="shared" si="7"/>
        <v>270</v>
      </c>
      <c r="O34" s="37"/>
      <c r="P34" s="42">
        <f t="shared" si="8"/>
        <v>360</v>
      </c>
      <c r="Q34" s="36">
        <f t="shared" si="8"/>
        <v>470</v>
      </c>
      <c r="R34" s="36">
        <f t="shared" si="8"/>
        <v>470</v>
      </c>
      <c r="S34" s="43">
        <f t="shared" si="8"/>
        <v>540</v>
      </c>
      <c r="T34" s="37"/>
      <c r="U34" s="42">
        <f t="shared" si="9"/>
        <v>540</v>
      </c>
      <c r="V34" s="36">
        <f t="shared" si="9"/>
        <v>700</v>
      </c>
      <c r="W34" s="36">
        <f t="shared" si="9"/>
        <v>700</v>
      </c>
      <c r="X34" s="43">
        <f t="shared" si="9"/>
        <v>810</v>
      </c>
      <c r="Y34" s="37"/>
      <c r="Z34" s="36">
        <f t="shared" si="13"/>
        <v>300</v>
      </c>
      <c r="AA34" s="36">
        <f t="shared" si="12"/>
        <v>390</v>
      </c>
      <c r="AB34" s="36">
        <f t="shared" si="12"/>
        <v>390</v>
      </c>
      <c r="AC34" s="36">
        <f t="shared" si="12"/>
        <v>450</v>
      </c>
      <c r="AD34" s="34"/>
    </row>
    <row r="35" spans="1:30" s="24" customFormat="1" ht="22.5" customHeight="1" x14ac:dyDescent="0.25">
      <c r="A35" s="24">
        <v>15</v>
      </c>
      <c r="B35" s="33">
        <f t="shared" si="14"/>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250</v>
      </c>
      <c r="L35" s="36">
        <f t="shared" si="7"/>
        <v>330</v>
      </c>
      <c r="M35" s="36">
        <f t="shared" si="7"/>
        <v>330</v>
      </c>
      <c r="N35" s="36">
        <f t="shared" si="7"/>
        <v>380</v>
      </c>
      <c r="O35" s="37"/>
      <c r="P35" s="42">
        <f t="shared" si="8"/>
        <v>505</v>
      </c>
      <c r="Q35" s="36">
        <f t="shared" si="8"/>
        <v>655</v>
      </c>
      <c r="R35" s="36">
        <f t="shared" si="8"/>
        <v>655</v>
      </c>
      <c r="S35" s="43">
        <f t="shared" si="8"/>
        <v>755</v>
      </c>
      <c r="T35" s="37"/>
      <c r="U35" s="42">
        <f t="shared" si="9"/>
        <v>760</v>
      </c>
      <c r="V35" s="36">
        <f t="shared" si="9"/>
        <v>980</v>
      </c>
      <c r="W35" s="36">
        <f t="shared" si="9"/>
        <v>980</v>
      </c>
      <c r="X35" s="43">
        <f t="shared" si="9"/>
        <v>1130</v>
      </c>
      <c r="Y35" s="37"/>
      <c r="Z35" s="36">
        <f t="shared" si="13"/>
        <v>420</v>
      </c>
      <c r="AA35" s="36">
        <f t="shared" si="12"/>
        <v>550</v>
      </c>
      <c r="AB35" s="36">
        <f t="shared" si="12"/>
        <v>550</v>
      </c>
      <c r="AC35" s="36">
        <f t="shared" si="12"/>
        <v>630</v>
      </c>
      <c r="AD35" s="34"/>
    </row>
    <row r="36" spans="1:30" s="24" customFormat="1" ht="22.5" customHeight="1" x14ac:dyDescent="0.25">
      <c r="A36" s="24">
        <v>16</v>
      </c>
      <c r="B36" s="33">
        <f t="shared" si="14"/>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400</v>
      </c>
      <c r="L36" s="36">
        <f t="shared" si="7"/>
        <v>525</v>
      </c>
      <c r="M36" s="36">
        <f t="shared" si="7"/>
        <v>525</v>
      </c>
      <c r="N36" s="36">
        <f t="shared" si="7"/>
        <v>605</v>
      </c>
      <c r="O36" s="37"/>
      <c r="P36" s="42">
        <f t="shared" si="8"/>
        <v>805</v>
      </c>
      <c r="Q36" s="36">
        <f t="shared" si="8"/>
        <v>1045</v>
      </c>
      <c r="R36" s="36">
        <f t="shared" si="8"/>
        <v>1045</v>
      </c>
      <c r="S36" s="43">
        <f t="shared" si="8"/>
        <v>1205</v>
      </c>
      <c r="T36" s="37"/>
      <c r="U36" s="42">
        <f t="shared" si="9"/>
        <v>1210</v>
      </c>
      <c r="V36" s="36">
        <f t="shared" si="9"/>
        <v>1570</v>
      </c>
      <c r="W36" s="36">
        <f t="shared" si="9"/>
        <v>1570</v>
      </c>
      <c r="X36" s="43">
        <f t="shared" si="9"/>
        <v>1810</v>
      </c>
      <c r="Y36" s="37"/>
      <c r="Z36" s="36">
        <f t="shared" si="13"/>
        <v>670</v>
      </c>
      <c r="AA36" s="36">
        <f t="shared" si="12"/>
        <v>870</v>
      </c>
      <c r="AB36" s="36">
        <f t="shared" si="12"/>
        <v>870</v>
      </c>
      <c r="AC36" s="36">
        <f t="shared" si="12"/>
        <v>1000</v>
      </c>
      <c r="AD36" s="34"/>
    </row>
    <row r="37" spans="1:30" s="24" customFormat="1" ht="22.5" customHeight="1" x14ac:dyDescent="0.25">
      <c r="A37" s="24">
        <v>17</v>
      </c>
      <c r="B37" s="33">
        <f t="shared" si="14"/>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580</v>
      </c>
      <c r="L37" s="36">
        <f t="shared" si="7"/>
        <v>755</v>
      </c>
      <c r="M37" s="36">
        <f t="shared" si="7"/>
        <v>755</v>
      </c>
      <c r="N37" s="36">
        <f t="shared" si="7"/>
        <v>875</v>
      </c>
      <c r="O37" s="37"/>
      <c r="P37" s="42">
        <f t="shared" si="8"/>
        <v>1165</v>
      </c>
      <c r="Q37" s="36">
        <f t="shared" si="8"/>
        <v>1515</v>
      </c>
      <c r="R37" s="36">
        <f t="shared" si="8"/>
        <v>1515</v>
      </c>
      <c r="S37" s="43">
        <f t="shared" si="8"/>
        <v>1745</v>
      </c>
      <c r="T37" s="37"/>
      <c r="U37" s="42">
        <f t="shared" si="9"/>
        <v>1750</v>
      </c>
      <c r="V37" s="36">
        <f t="shared" si="9"/>
        <v>2270</v>
      </c>
      <c r="W37" s="36">
        <f t="shared" si="9"/>
        <v>2270</v>
      </c>
      <c r="X37" s="43">
        <f t="shared" si="9"/>
        <v>2620</v>
      </c>
      <c r="Y37" s="37"/>
      <c r="Z37" s="36">
        <f t="shared" si="13"/>
        <v>970</v>
      </c>
      <c r="AA37" s="36">
        <f t="shared" si="12"/>
        <v>1260</v>
      </c>
      <c r="AB37" s="36">
        <f t="shared" si="12"/>
        <v>1260</v>
      </c>
      <c r="AC37" s="36">
        <f t="shared" si="12"/>
        <v>1450</v>
      </c>
      <c r="AD37" s="34"/>
    </row>
    <row r="38" spans="1:30" s="24" customFormat="1" ht="22.5" customHeight="1" x14ac:dyDescent="0.25">
      <c r="A38" s="24">
        <v>18</v>
      </c>
      <c r="B38" s="33">
        <f t="shared" si="14"/>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730</v>
      </c>
      <c r="L38" s="36">
        <f t="shared" si="7"/>
        <v>950</v>
      </c>
      <c r="M38" s="36">
        <f t="shared" si="7"/>
        <v>950</v>
      </c>
      <c r="N38" s="36">
        <f t="shared" si="7"/>
        <v>1100</v>
      </c>
      <c r="O38" s="37"/>
      <c r="P38" s="42">
        <f t="shared" si="8"/>
        <v>1465</v>
      </c>
      <c r="Q38" s="36">
        <f t="shared" si="8"/>
        <v>1905</v>
      </c>
      <c r="R38" s="36">
        <f t="shared" si="8"/>
        <v>1905</v>
      </c>
      <c r="S38" s="43">
        <f t="shared" si="8"/>
        <v>2195</v>
      </c>
      <c r="T38" s="37"/>
      <c r="U38" s="42">
        <f t="shared" si="9"/>
        <v>2200</v>
      </c>
      <c r="V38" s="36">
        <f t="shared" si="9"/>
        <v>2850</v>
      </c>
      <c r="W38" s="36">
        <f t="shared" si="9"/>
        <v>2850</v>
      </c>
      <c r="X38" s="43">
        <f t="shared" si="9"/>
        <v>3290</v>
      </c>
      <c r="Y38" s="37"/>
      <c r="Z38" s="36">
        <f t="shared" si="13"/>
        <v>1220</v>
      </c>
      <c r="AA38" s="36">
        <f t="shared" si="12"/>
        <v>1590</v>
      </c>
      <c r="AB38" s="36">
        <f t="shared" si="12"/>
        <v>1590</v>
      </c>
      <c r="AC38" s="36">
        <f t="shared" si="12"/>
        <v>1830</v>
      </c>
      <c r="AD38" s="34"/>
    </row>
    <row r="39" spans="1:30" s="24" customFormat="1" ht="22.5" customHeight="1" x14ac:dyDescent="0.25">
      <c r="A39" s="24">
        <v>19</v>
      </c>
      <c r="B39" s="33">
        <f t="shared" si="14"/>
        <v>330</v>
      </c>
      <c r="C39" s="33">
        <f>+C38+50</f>
        <v>379.99</v>
      </c>
      <c r="D39" s="24" t="str">
        <f t="shared" si="10"/>
        <v>$330 - $379.99</v>
      </c>
      <c r="E39" s="34">
        <f t="shared" si="11"/>
        <v>354.995</v>
      </c>
      <c r="F39" s="34">
        <f t="shared" ref="F39:I52" si="16">+$E39*F$18</f>
        <v>4259.9400000000005</v>
      </c>
      <c r="G39" s="34">
        <f t="shared" si="16"/>
        <v>8519.880000000001</v>
      </c>
      <c r="H39" s="34">
        <f t="shared" si="16"/>
        <v>12779.82</v>
      </c>
      <c r="I39" s="34">
        <f t="shared" si="16"/>
        <v>17039.760000000002</v>
      </c>
      <c r="J39" s="34">
        <f t="shared" si="6"/>
        <v>7099.9</v>
      </c>
      <c r="K39" s="36">
        <f t="shared" si="7"/>
        <v>850</v>
      </c>
      <c r="L39" s="36">
        <f t="shared" si="7"/>
        <v>1110</v>
      </c>
      <c r="M39" s="36">
        <f t="shared" si="7"/>
        <v>1110</v>
      </c>
      <c r="N39" s="36">
        <f t="shared" si="7"/>
        <v>1280</v>
      </c>
      <c r="O39" s="37"/>
      <c r="P39" s="42">
        <f t="shared" ref="P39:S52" si="17">ROUND(($G39*P$18)/5,0)*5</f>
        <v>1705</v>
      </c>
      <c r="Q39" s="36">
        <f t="shared" si="17"/>
        <v>2215</v>
      </c>
      <c r="R39" s="36">
        <f t="shared" si="17"/>
        <v>2215</v>
      </c>
      <c r="S39" s="43">
        <f t="shared" si="17"/>
        <v>2555</v>
      </c>
      <c r="T39" s="37"/>
      <c r="U39" s="166">
        <f t="shared" ref="U39:X52" si="18">ROUND(($H39*U$18)/10,0)*10</f>
        <v>2560</v>
      </c>
      <c r="V39" s="167">
        <f t="shared" si="18"/>
        <v>3320</v>
      </c>
      <c r="W39" s="167">
        <f t="shared" si="18"/>
        <v>3320</v>
      </c>
      <c r="X39" s="168">
        <f t="shared" si="18"/>
        <v>3830</v>
      </c>
      <c r="Y39" s="37"/>
      <c r="Z39" s="36">
        <f t="shared" si="13"/>
        <v>1420</v>
      </c>
      <c r="AA39" s="36">
        <f t="shared" si="13"/>
        <v>1850</v>
      </c>
      <c r="AB39" s="36">
        <f t="shared" si="13"/>
        <v>1850</v>
      </c>
      <c r="AC39" s="36">
        <f t="shared" si="13"/>
        <v>2130</v>
      </c>
      <c r="AD39" s="34"/>
    </row>
    <row r="40" spans="1:30" s="24" customFormat="1" ht="22.5" customHeight="1" x14ac:dyDescent="0.25">
      <c r="A40" s="24">
        <v>20</v>
      </c>
      <c r="B40" s="33">
        <f t="shared" si="14"/>
        <v>380</v>
      </c>
      <c r="C40" s="33">
        <f>+C39+100</f>
        <v>479.99</v>
      </c>
      <c r="D40" s="24" t="str">
        <f t="shared" si="10"/>
        <v>$380 - $479.99</v>
      </c>
      <c r="E40" s="34">
        <f t="shared" si="11"/>
        <v>429.995</v>
      </c>
      <c r="F40" s="34">
        <f t="shared" si="16"/>
        <v>5159.9400000000005</v>
      </c>
      <c r="G40" s="34">
        <f t="shared" si="16"/>
        <v>10319.880000000001</v>
      </c>
      <c r="H40" s="34">
        <f t="shared" si="16"/>
        <v>15479.82</v>
      </c>
      <c r="I40" s="34">
        <f t="shared" si="16"/>
        <v>20639.760000000002</v>
      </c>
      <c r="J40" s="34">
        <f t="shared" si="6"/>
        <v>8599.9</v>
      </c>
      <c r="K40" s="36">
        <f t="shared" si="7"/>
        <v>1030</v>
      </c>
      <c r="L40" s="36">
        <f t="shared" si="7"/>
        <v>1340</v>
      </c>
      <c r="M40" s="36">
        <f t="shared" si="7"/>
        <v>1340</v>
      </c>
      <c r="N40" s="36">
        <f t="shared" si="7"/>
        <v>1550</v>
      </c>
      <c r="O40" s="37"/>
      <c r="P40" s="42">
        <f t="shared" si="17"/>
        <v>2065</v>
      </c>
      <c r="Q40" s="36">
        <f t="shared" si="17"/>
        <v>2685</v>
      </c>
      <c r="R40" s="36">
        <f t="shared" si="17"/>
        <v>2685</v>
      </c>
      <c r="S40" s="43">
        <f t="shared" si="17"/>
        <v>3095</v>
      </c>
      <c r="T40" s="37"/>
      <c r="U40" s="42">
        <f t="shared" si="18"/>
        <v>3100</v>
      </c>
      <c r="V40" s="36">
        <f t="shared" si="18"/>
        <v>4020</v>
      </c>
      <c r="W40" s="36">
        <f t="shared" si="18"/>
        <v>4020</v>
      </c>
      <c r="X40" s="43">
        <f t="shared" si="18"/>
        <v>4640</v>
      </c>
      <c r="Y40" s="37"/>
      <c r="Z40" s="36">
        <f t="shared" si="13"/>
        <v>1720</v>
      </c>
      <c r="AA40" s="36">
        <f t="shared" si="13"/>
        <v>2240</v>
      </c>
      <c r="AB40" s="36">
        <f t="shared" si="13"/>
        <v>2240</v>
      </c>
      <c r="AC40" s="36">
        <f t="shared" si="13"/>
        <v>2580</v>
      </c>
      <c r="AD40" s="34"/>
    </row>
    <row r="41" spans="1:30" s="24" customFormat="1" ht="22.5" customHeight="1" x14ac:dyDescent="0.25">
      <c r="A41" s="24">
        <v>21</v>
      </c>
      <c r="B41" s="33">
        <f t="shared" si="14"/>
        <v>480</v>
      </c>
      <c r="C41" s="33">
        <f>+C40+100</f>
        <v>579.99</v>
      </c>
      <c r="D41" s="24" t="str">
        <f t="shared" si="10"/>
        <v>$480 - $579.99</v>
      </c>
      <c r="E41" s="34">
        <f t="shared" si="11"/>
        <v>529.995</v>
      </c>
      <c r="F41" s="34">
        <f t="shared" si="16"/>
        <v>6359.9400000000005</v>
      </c>
      <c r="G41" s="34">
        <f t="shared" si="16"/>
        <v>12719.880000000001</v>
      </c>
      <c r="H41" s="34">
        <f t="shared" si="16"/>
        <v>19079.82</v>
      </c>
      <c r="I41" s="34">
        <f t="shared" si="16"/>
        <v>25439.760000000002</v>
      </c>
      <c r="J41" s="34">
        <f t="shared" si="6"/>
        <v>10599.9</v>
      </c>
      <c r="K41" s="36">
        <f t="shared" si="7"/>
        <v>1270</v>
      </c>
      <c r="L41" s="36">
        <f t="shared" si="7"/>
        <v>1655</v>
      </c>
      <c r="M41" s="36">
        <f t="shared" si="7"/>
        <v>1655</v>
      </c>
      <c r="N41" s="36">
        <f t="shared" si="7"/>
        <v>1910</v>
      </c>
      <c r="O41" s="37"/>
      <c r="P41" s="42">
        <f t="shared" si="17"/>
        <v>2545</v>
      </c>
      <c r="Q41" s="36">
        <f t="shared" si="17"/>
        <v>3305</v>
      </c>
      <c r="R41" s="36">
        <f t="shared" si="17"/>
        <v>3305</v>
      </c>
      <c r="S41" s="43">
        <f t="shared" si="17"/>
        <v>3815</v>
      </c>
      <c r="T41" s="37"/>
      <c r="U41" s="42">
        <f t="shared" si="18"/>
        <v>3820</v>
      </c>
      <c r="V41" s="36">
        <f t="shared" si="18"/>
        <v>4960</v>
      </c>
      <c r="W41" s="36">
        <f t="shared" si="18"/>
        <v>4960</v>
      </c>
      <c r="X41" s="43">
        <f t="shared" si="18"/>
        <v>5720</v>
      </c>
      <c r="Y41" s="37"/>
      <c r="Z41" s="36">
        <f t="shared" si="13"/>
        <v>2120</v>
      </c>
      <c r="AA41" s="36">
        <f t="shared" si="13"/>
        <v>2760</v>
      </c>
      <c r="AB41" s="36">
        <f t="shared" si="13"/>
        <v>2760</v>
      </c>
      <c r="AC41" s="36">
        <f t="shared" si="13"/>
        <v>3180</v>
      </c>
      <c r="AD41" s="34"/>
    </row>
    <row r="42" spans="1:30" s="24" customFormat="1" ht="22.5" customHeight="1" x14ac:dyDescent="0.25">
      <c r="A42" s="24">
        <v>22</v>
      </c>
      <c r="B42" s="33">
        <f t="shared" si="14"/>
        <v>580</v>
      </c>
      <c r="C42" s="33">
        <f>+C41+200</f>
        <v>779.99</v>
      </c>
      <c r="D42" s="24" t="str">
        <f t="shared" si="10"/>
        <v>$580 - $779.99</v>
      </c>
      <c r="E42" s="34">
        <f t="shared" si="11"/>
        <v>679.995</v>
      </c>
      <c r="F42" s="34">
        <f t="shared" si="16"/>
        <v>8159.9400000000005</v>
      </c>
      <c r="G42" s="34">
        <f t="shared" si="16"/>
        <v>16319.880000000001</v>
      </c>
      <c r="H42" s="34">
        <f t="shared" si="16"/>
        <v>24479.82</v>
      </c>
      <c r="I42" s="34">
        <f t="shared" si="16"/>
        <v>32639.760000000002</v>
      </c>
      <c r="J42" s="34">
        <f t="shared" si="6"/>
        <v>13599.9</v>
      </c>
      <c r="K42" s="36">
        <f t="shared" si="7"/>
        <v>1630</v>
      </c>
      <c r="L42" s="36">
        <f t="shared" si="7"/>
        <v>2120</v>
      </c>
      <c r="M42" s="36">
        <f t="shared" si="7"/>
        <v>2120</v>
      </c>
      <c r="N42" s="36">
        <f t="shared" si="7"/>
        <v>2450</v>
      </c>
      <c r="O42" s="37"/>
      <c r="P42" s="42">
        <f t="shared" si="17"/>
        <v>3265</v>
      </c>
      <c r="Q42" s="36">
        <f t="shared" si="17"/>
        <v>4245</v>
      </c>
      <c r="R42" s="36">
        <f t="shared" si="17"/>
        <v>4245</v>
      </c>
      <c r="S42" s="43">
        <f t="shared" si="17"/>
        <v>4895</v>
      </c>
      <c r="T42" s="37"/>
      <c r="U42" s="42">
        <f t="shared" si="18"/>
        <v>4900</v>
      </c>
      <c r="V42" s="36">
        <f t="shared" si="18"/>
        <v>6360</v>
      </c>
      <c r="W42" s="36">
        <f t="shared" si="18"/>
        <v>6360</v>
      </c>
      <c r="X42" s="43">
        <f t="shared" si="18"/>
        <v>7340</v>
      </c>
      <c r="Y42" s="37"/>
      <c r="Z42" s="36">
        <f t="shared" si="13"/>
        <v>2720</v>
      </c>
      <c r="AA42" s="36">
        <f t="shared" si="13"/>
        <v>3540</v>
      </c>
      <c r="AB42" s="36">
        <f t="shared" si="13"/>
        <v>3540</v>
      </c>
      <c r="AC42" s="36">
        <f t="shared" si="13"/>
        <v>4080</v>
      </c>
      <c r="AD42" s="34"/>
    </row>
    <row r="43" spans="1:30" s="24" customFormat="1" ht="22.5" customHeight="1" x14ac:dyDescent="0.25">
      <c r="A43" s="24">
        <v>23</v>
      </c>
      <c r="B43" s="33">
        <f t="shared" si="14"/>
        <v>780</v>
      </c>
      <c r="C43" s="33">
        <f>+C42+200</f>
        <v>979.99</v>
      </c>
      <c r="D43" s="24" t="str">
        <f t="shared" si="10"/>
        <v>$780 - $979.99</v>
      </c>
      <c r="E43" s="34">
        <f t="shared" si="11"/>
        <v>879.995</v>
      </c>
      <c r="F43" s="34">
        <f t="shared" si="16"/>
        <v>10559.94</v>
      </c>
      <c r="G43" s="34">
        <f t="shared" si="16"/>
        <v>21119.88</v>
      </c>
      <c r="H43" s="34">
        <f t="shared" si="16"/>
        <v>31679.82</v>
      </c>
      <c r="I43" s="34">
        <f t="shared" si="16"/>
        <v>42239.76</v>
      </c>
      <c r="J43" s="34">
        <f t="shared" si="6"/>
        <v>17599.900000000001</v>
      </c>
      <c r="K43" s="36">
        <f t="shared" si="7"/>
        <v>2110</v>
      </c>
      <c r="L43" s="36">
        <f t="shared" si="7"/>
        <v>2745</v>
      </c>
      <c r="M43" s="36">
        <f t="shared" si="7"/>
        <v>2745</v>
      </c>
      <c r="N43" s="36">
        <f t="shared" si="7"/>
        <v>3170</v>
      </c>
      <c r="O43" s="37"/>
      <c r="P43" s="42">
        <f t="shared" si="17"/>
        <v>4225</v>
      </c>
      <c r="Q43" s="36">
        <f t="shared" si="17"/>
        <v>5490</v>
      </c>
      <c r="R43" s="36">
        <f t="shared" si="17"/>
        <v>5490</v>
      </c>
      <c r="S43" s="43">
        <f t="shared" si="17"/>
        <v>6335</v>
      </c>
      <c r="T43" s="37"/>
      <c r="U43" s="42">
        <f t="shared" si="18"/>
        <v>6340</v>
      </c>
      <c r="V43" s="36">
        <f t="shared" si="18"/>
        <v>8240</v>
      </c>
      <c r="W43" s="36">
        <f t="shared" si="18"/>
        <v>8240</v>
      </c>
      <c r="X43" s="43">
        <f t="shared" si="18"/>
        <v>9500</v>
      </c>
      <c r="Y43" s="37"/>
      <c r="Z43" s="36">
        <f t="shared" si="13"/>
        <v>3520</v>
      </c>
      <c r="AA43" s="36">
        <f t="shared" si="13"/>
        <v>4580</v>
      </c>
      <c r="AB43" s="36">
        <f t="shared" si="13"/>
        <v>4580</v>
      </c>
      <c r="AC43" s="36">
        <f t="shared" si="13"/>
        <v>5280</v>
      </c>
      <c r="AD43" s="34"/>
    </row>
    <row r="44" spans="1:30" s="24" customFormat="1" ht="22.5" customHeight="1" x14ac:dyDescent="0.25">
      <c r="A44" s="24">
        <v>24</v>
      </c>
      <c r="B44" s="33">
        <f t="shared" si="14"/>
        <v>980</v>
      </c>
      <c r="C44" s="33">
        <f>+C43+250</f>
        <v>1229.99</v>
      </c>
      <c r="D44" s="24" t="str">
        <f t="shared" si="10"/>
        <v>$980 - $1229.99</v>
      </c>
      <c r="E44" s="34">
        <f t="shared" si="11"/>
        <v>1104.9949999999999</v>
      </c>
      <c r="F44" s="34">
        <f t="shared" si="16"/>
        <v>13259.939999999999</v>
      </c>
      <c r="G44" s="34">
        <f t="shared" si="16"/>
        <v>26519.879999999997</v>
      </c>
      <c r="H44" s="34">
        <f t="shared" si="16"/>
        <v>39779.819999999992</v>
      </c>
      <c r="I44" s="34">
        <f t="shared" si="16"/>
        <v>53039.759999999995</v>
      </c>
      <c r="J44" s="34">
        <f t="shared" si="6"/>
        <v>22099.899999999998</v>
      </c>
      <c r="K44" s="36">
        <f t="shared" si="7"/>
        <v>2650</v>
      </c>
      <c r="L44" s="36">
        <f t="shared" si="7"/>
        <v>3450</v>
      </c>
      <c r="M44" s="36">
        <f t="shared" si="7"/>
        <v>3450</v>
      </c>
      <c r="N44" s="36">
        <f t="shared" si="7"/>
        <v>3980</v>
      </c>
      <c r="O44" s="37"/>
      <c r="P44" s="42">
        <f t="shared" si="17"/>
        <v>5305</v>
      </c>
      <c r="Q44" s="36">
        <f t="shared" si="17"/>
        <v>6895</v>
      </c>
      <c r="R44" s="36">
        <f t="shared" si="17"/>
        <v>6895</v>
      </c>
      <c r="S44" s="43">
        <f t="shared" si="17"/>
        <v>7955</v>
      </c>
      <c r="T44" s="37"/>
      <c r="U44" s="42">
        <f t="shared" si="18"/>
        <v>7960</v>
      </c>
      <c r="V44" s="36">
        <f t="shared" si="18"/>
        <v>10340</v>
      </c>
      <c r="W44" s="36">
        <f t="shared" si="18"/>
        <v>10340</v>
      </c>
      <c r="X44" s="43">
        <f t="shared" si="18"/>
        <v>11930</v>
      </c>
      <c r="Y44" s="37"/>
      <c r="Z44" s="36">
        <f t="shared" si="13"/>
        <v>4420</v>
      </c>
      <c r="AA44" s="36">
        <f t="shared" si="13"/>
        <v>5750</v>
      </c>
      <c r="AB44" s="36">
        <f t="shared" si="13"/>
        <v>5750</v>
      </c>
      <c r="AC44" s="36">
        <f t="shared" si="13"/>
        <v>6630</v>
      </c>
      <c r="AD44" s="34"/>
    </row>
    <row r="45" spans="1:30" s="24" customFormat="1" ht="22.5" customHeight="1" x14ac:dyDescent="0.25">
      <c r="A45" s="24">
        <v>25</v>
      </c>
      <c r="B45" s="33">
        <f t="shared" si="14"/>
        <v>1230</v>
      </c>
      <c r="C45" s="33">
        <f t="shared" ref="C45:C52" si="19">+C44+400</f>
        <v>1629.99</v>
      </c>
      <c r="D45" s="24" t="str">
        <f t="shared" si="10"/>
        <v>$1230 - $1629.99</v>
      </c>
      <c r="E45" s="34">
        <f t="shared" si="11"/>
        <v>1429.9949999999999</v>
      </c>
      <c r="F45" s="34">
        <f t="shared" si="16"/>
        <v>17159.939999999999</v>
      </c>
      <c r="G45" s="34">
        <f t="shared" si="16"/>
        <v>34319.879999999997</v>
      </c>
      <c r="H45" s="34">
        <f t="shared" si="16"/>
        <v>51479.819999999992</v>
      </c>
      <c r="I45" s="34">
        <f t="shared" si="16"/>
        <v>68639.759999999995</v>
      </c>
      <c r="J45" s="34">
        <f t="shared" si="6"/>
        <v>28599.899999999998</v>
      </c>
      <c r="K45" s="36">
        <f t="shared" si="7"/>
        <v>3430</v>
      </c>
      <c r="L45" s="36">
        <f t="shared" si="7"/>
        <v>4460</v>
      </c>
      <c r="M45" s="36">
        <f t="shared" si="7"/>
        <v>4460</v>
      </c>
      <c r="N45" s="36">
        <f t="shared" si="7"/>
        <v>5150</v>
      </c>
      <c r="O45" s="37"/>
      <c r="P45" s="42">
        <f t="shared" si="17"/>
        <v>6865</v>
      </c>
      <c r="Q45" s="36">
        <f t="shared" si="17"/>
        <v>8925</v>
      </c>
      <c r="R45" s="36">
        <f t="shared" si="17"/>
        <v>8925</v>
      </c>
      <c r="S45" s="43">
        <f t="shared" si="17"/>
        <v>10295</v>
      </c>
      <c r="T45" s="37"/>
      <c r="U45" s="42">
        <f t="shared" si="18"/>
        <v>10300</v>
      </c>
      <c r="V45" s="36">
        <f t="shared" si="18"/>
        <v>13380</v>
      </c>
      <c r="W45" s="36">
        <f t="shared" si="18"/>
        <v>13380</v>
      </c>
      <c r="X45" s="43">
        <f t="shared" si="18"/>
        <v>15440</v>
      </c>
      <c r="Y45" s="37"/>
      <c r="Z45" s="36">
        <f t="shared" si="13"/>
        <v>5720</v>
      </c>
      <c r="AA45" s="36">
        <f t="shared" si="13"/>
        <v>7440</v>
      </c>
      <c r="AB45" s="36">
        <f t="shared" si="13"/>
        <v>7440</v>
      </c>
      <c r="AC45" s="36">
        <f t="shared" si="13"/>
        <v>8580</v>
      </c>
      <c r="AD45" s="34"/>
    </row>
    <row r="46" spans="1:30" s="24" customFormat="1" ht="22.5" customHeight="1" x14ac:dyDescent="0.25">
      <c r="A46" s="24">
        <v>26</v>
      </c>
      <c r="B46" s="33">
        <f t="shared" si="14"/>
        <v>1630</v>
      </c>
      <c r="C46" s="33">
        <f t="shared" si="19"/>
        <v>2029.99</v>
      </c>
      <c r="D46" s="24" t="str">
        <f t="shared" si="10"/>
        <v>$1630 - $2029.99</v>
      </c>
      <c r="E46" s="34">
        <f t="shared" si="11"/>
        <v>1829.9949999999999</v>
      </c>
      <c r="F46" s="34">
        <f t="shared" si="16"/>
        <v>21959.94</v>
      </c>
      <c r="G46" s="34">
        <f t="shared" si="16"/>
        <v>43919.88</v>
      </c>
      <c r="H46" s="34">
        <f t="shared" si="16"/>
        <v>65879.819999999992</v>
      </c>
      <c r="I46" s="34">
        <f t="shared" si="16"/>
        <v>87839.76</v>
      </c>
      <c r="J46" s="34">
        <f t="shared" si="6"/>
        <v>36599.899999999994</v>
      </c>
      <c r="K46" s="36">
        <f t="shared" si="7"/>
        <v>4390</v>
      </c>
      <c r="L46" s="36">
        <f t="shared" si="7"/>
        <v>5710</v>
      </c>
      <c r="M46" s="36">
        <f t="shared" si="7"/>
        <v>5710</v>
      </c>
      <c r="N46" s="36">
        <f t="shared" si="7"/>
        <v>6590</v>
      </c>
      <c r="O46" s="37"/>
      <c r="P46" s="42">
        <f t="shared" si="17"/>
        <v>8785</v>
      </c>
      <c r="Q46" s="36">
        <f t="shared" si="17"/>
        <v>11420</v>
      </c>
      <c r="R46" s="36">
        <f t="shared" si="17"/>
        <v>11420</v>
      </c>
      <c r="S46" s="43">
        <f t="shared" si="17"/>
        <v>13175</v>
      </c>
      <c r="T46" s="37"/>
      <c r="U46" s="42">
        <f t="shared" si="18"/>
        <v>13180</v>
      </c>
      <c r="V46" s="36">
        <f t="shared" si="18"/>
        <v>17130</v>
      </c>
      <c r="W46" s="36">
        <f t="shared" si="18"/>
        <v>17130</v>
      </c>
      <c r="X46" s="43">
        <f t="shared" si="18"/>
        <v>19760</v>
      </c>
      <c r="Y46" s="37"/>
      <c r="Z46" s="36">
        <f t="shared" si="13"/>
        <v>7320</v>
      </c>
      <c r="AA46" s="36">
        <f t="shared" si="13"/>
        <v>9520</v>
      </c>
      <c r="AB46" s="36">
        <f t="shared" si="13"/>
        <v>9520</v>
      </c>
      <c r="AC46" s="36">
        <f t="shared" si="13"/>
        <v>10980</v>
      </c>
      <c r="AD46" s="34"/>
    </row>
    <row r="47" spans="1:30" s="24" customFormat="1" ht="22.5" customHeight="1" x14ac:dyDescent="0.25">
      <c r="A47" s="24">
        <v>27</v>
      </c>
      <c r="B47" s="33">
        <f t="shared" si="14"/>
        <v>2030</v>
      </c>
      <c r="C47" s="33">
        <f t="shared" si="19"/>
        <v>2429.9899999999998</v>
      </c>
      <c r="D47" s="24" t="str">
        <f t="shared" si="10"/>
        <v>$2030 - $2429.99</v>
      </c>
      <c r="E47" s="34">
        <f t="shared" si="11"/>
        <v>2229.9949999999999</v>
      </c>
      <c r="F47" s="34">
        <f t="shared" si="16"/>
        <v>26759.94</v>
      </c>
      <c r="G47" s="34">
        <f t="shared" si="16"/>
        <v>53519.88</v>
      </c>
      <c r="H47" s="34">
        <f t="shared" si="16"/>
        <v>80279.819999999992</v>
      </c>
      <c r="I47" s="34">
        <f t="shared" si="16"/>
        <v>107039.76</v>
      </c>
      <c r="J47" s="34">
        <f t="shared" si="6"/>
        <v>44599.899999999994</v>
      </c>
      <c r="K47" s="36">
        <f t="shared" si="7"/>
        <v>5350</v>
      </c>
      <c r="L47" s="36">
        <f t="shared" si="7"/>
        <v>6960</v>
      </c>
      <c r="M47" s="36">
        <f t="shared" si="7"/>
        <v>6960</v>
      </c>
      <c r="N47" s="36">
        <f t="shared" si="7"/>
        <v>8030</v>
      </c>
      <c r="O47" s="37"/>
      <c r="P47" s="42">
        <f t="shared" si="17"/>
        <v>10705</v>
      </c>
      <c r="Q47" s="36">
        <f t="shared" si="17"/>
        <v>13915</v>
      </c>
      <c r="R47" s="36">
        <f t="shared" si="17"/>
        <v>13915</v>
      </c>
      <c r="S47" s="43">
        <f t="shared" si="17"/>
        <v>16055</v>
      </c>
      <c r="T47" s="37"/>
      <c r="U47" s="42">
        <f t="shared" si="18"/>
        <v>16060</v>
      </c>
      <c r="V47" s="36">
        <f t="shared" si="18"/>
        <v>20870</v>
      </c>
      <c r="W47" s="36">
        <f t="shared" si="18"/>
        <v>20870</v>
      </c>
      <c r="X47" s="43">
        <f t="shared" si="18"/>
        <v>24080</v>
      </c>
      <c r="Y47" s="37"/>
      <c r="Z47" s="36">
        <f t="shared" si="13"/>
        <v>8920</v>
      </c>
      <c r="AA47" s="36">
        <f t="shared" si="13"/>
        <v>11600</v>
      </c>
      <c r="AB47" s="36">
        <f t="shared" si="13"/>
        <v>11600</v>
      </c>
      <c r="AC47" s="36">
        <f t="shared" si="13"/>
        <v>13380</v>
      </c>
      <c r="AD47" s="34"/>
    </row>
    <row r="48" spans="1:30" s="24" customFormat="1" ht="22.5" customHeight="1" x14ac:dyDescent="0.25">
      <c r="A48" s="24">
        <v>28</v>
      </c>
      <c r="B48" s="33">
        <f t="shared" si="14"/>
        <v>2430</v>
      </c>
      <c r="C48" s="33">
        <f t="shared" si="19"/>
        <v>2829.99</v>
      </c>
      <c r="D48" s="24" t="str">
        <f t="shared" si="10"/>
        <v>$2430 - $2829.99</v>
      </c>
      <c r="E48" s="34">
        <f t="shared" si="11"/>
        <v>2629.9949999999999</v>
      </c>
      <c r="F48" s="34">
        <f t="shared" si="16"/>
        <v>31559.94</v>
      </c>
      <c r="G48" s="34">
        <f t="shared" si="16"/>
        <v>63119.88</v>
      </c>
      <c r="H48" s="34">
        <f t="shared" si="16"/>
        <v>94679.819999999992</v>
      </c>
      <c r="I48" s="34">
        <f t="shared" si="16"/>
        <v>126239.76</v>
      </c>
      <c r="J48" s="34">
        <f t="shared" si="6"/>
        <v>52599.899999999994</v>
      </c>
      <c r="K48" s="36">
        <f t="shared" si="7"/>
        <v>6310</v>
      </c>
      <c r="L48" s="36">
        <f t="shared" si="7"/>
        <v>8205</v>
      </c>
      <c r="M48" s="36">
        <f t="shared" si="7"/>
        <v>8205</v>
      </c>
      <c r="N48" s="36">
        <f t="shared" si="7"/>
        <v>9470</v>
      </c>
      <c r="O48" s="37"/>
      <c r="P48" s="42">
        <f t="shared" si="17"/>
        <v>12625</v>
      </c>
      <c r="Q48" s="36">
        <f t="shared" si="17"/>
        <v>16410</v>
      </c>
      <c r="R48" s="36">
        <f t="shared" si="17"/>
        <v>16410</v>
      </c>
      <c r="S48" s="43">
        <f t="shared" si="17"/>
        <v>18935</v>
      </c>
      <c r="T48" s="37"/>
      <c r="U48" s="42">
        <f t="shared" si="18"/>
        <v>18940</v>
      </c>
      <c r="V48" s="36">
        <f t="shared" si="18"/>
        <v>24620</v>
      </c>
      <c r="W48" s="36">
        <f t="shared" si="18"/>
        <v>24620</v>
      </c>
      <c r="X48" s="43">
        <f t="shared" si="18"/>
        <v>28400</v>
      </c>
      <c r="Y48" s="37"/>
      <c r="Z48" s="36">
        <f t="shared" si="13"/>
        <v>10520</v>
      </c>
      <c r="AA48" s="36">
        <f t="shared" si="13"/>
        <v>13680</v>
      </c>
      <c r="AB48" s="36">
        <f t="shared" si="13"/>
        <v>13680</v>
      </c>
      <c r="AC48" s="36">
        <f t="shared" si="13"/>
        <v>15780</v>
      </c>
      <c r="AD48" s="34"/>
    </row>
    <row r="49" spans="1:30" s="24" customFormat="1" ht="22.5" customHeight="1" x14ac:dyDescent="0.25">
      <c r="A49" s="24">
        <v>29</v>
      </c>
      <c r="B49" s="33">
        <f t="shared" si="14"/>
        <v>2830</v>
      </c>
      <c r="C49" s="33">
        <f t="shared" si="19"/>
        <v>3229.99</v>
      </c>
      <c r="D49" s="24" t="str">
        <f t="shared" si="10"/>
        <v>$2830 - $3229.99</v>
      </c>
      <c r="E49" s="34">
        <f t="shared" si="11"/>
        <v>3029.9949999999999</v>
      </c>
      <c r="F49" s="34">
        <f t="shared" si="16"/>
        <v>36359.94</v>
      </c>
      <c r="G49" s="34">
        <f t="shared" si="16"/>
        <v>72719.88</v>
      </c>
      <c r="H49" s="34">
        <f t="shared" si="16"/>
        <v>109079.81999999999</v>
      </c>
      <c r="I49" s="34">
        <f t="shared" si="16"/>
        <v>145439.76</v>
      </c>
      <c r="J49" s="34">
        <f t="shared" si="6"/>
        <v>60599.899999999994</v>
      </c>
      <c r="K49" s="36">
        <f t="shared" si="7"/>
        <v>7270</v>
      </c>
      <c r="L49" s="36">
        <f t="shared" si="7"/>
        <v>9455</v>
      </c>
      <c r="M49" s="36">
        <f t="shared" si="7"/>
        <v>9455</v>
      </c>
      <c r="N49" s="36">
        <f t="shared" si="7"/>
        <v>10910</v>
      </c>
      <c r="O49" s="37"/>
      <c r="P49" s="42">
        <f t="shared" si="17"/>
        <v>14545</v>
      </c>
      <c r="Q49" s="36">
        <f t="shared" si="17"/>
        <v>18905</v>
      </c>
      <c r="R49" s="36">
        <f t="shared" si="17"/>
        <v>18905</v>
      </c>
      <c r="S49" s="43">
        <f t="shared" si="17"/>
        <v>21815</v>
      </c>
      <c r="T49" s="37"/>
      <c r="U49" s="42">
        <f t="shared" si="18"/>
        <v>21820</v>
      </c>
      <c r="V49" s="36">
        <f t="shared" si="18"/>
        <v>28360</v>
      </c>
      <c r="W49" s="36">
        <f t="shared" si="18"/>
        <v>28360</v>
      </c>
      <c r="X49" s="43">
        <f t="shared" si="18"/>
        <v>32720</v>
      </c>
      <c r="Y49" s="37"/>
      <c r="Z49" s="36">
        <f t="shared" si="13"/>
        <v>12120</v>
      </c>
      <c r="AA49" s="36">
        <f t="shared" si="13"/>
        <v>15760</v>
      </c>
      <c r="AB49" s="36">
        <f t="shared" si="13"/>
        <v>15760</v>
      </c>
      <c r="AC49" s="36">
        <f t="shared" si="13"/>
        <v>18180</v>
      </c>
      <c r="AD49" s="34"/>
    </row>
    <row r="50" spans="1:30" s="24" customFormat="1" ht="22.5" customHeight="1" x14ac:dyDescent="0.25">
      <c r="A50" s="24">
        <v>30</v>
      </c>
      <c r="B50" s="33">
        <f t="shared" si="14"/>
        <v>3230</v>
      </c>
      <c r="C50" s="33">
        <f t="shared" si="19"/>
        <v>3629.99</v>
      </c>
      <c r="D50" s="24" t="str">
        <f t="shared" si="10"/>
        <v>$3230 - $3629.99</v>
      </c>
      <c r="E50" s="34">
        <f t="shared" si="11"/>
        <v>3429.9949999999999</v>
      </c>
      <c r="F50" s="34">
        <f t="shared" si="16"/>
        <v>41159.94</v>
      </c>
      <c r="G50" s="34">
        <f t="shared" si="16"/>
        <v>82319.88</v>
      </c>
      <c r="H50" s="34">
        <f t="shared" si="16"/>
        <v>123479.81999999999</v>
      </c>
      <c r="I50" s="34">
        <f t="shared" si="16"/>
        <v>164639.76</v>
      </c>
      <c r="J50" s="34">
        <f t="shared" si="6"/>
        <v>68599.899999999994</v>
      </c>
      <c r="K50" s="36">
        <f t="shared" si="7"/>
        <v>8230</v>
      </c>
      <c r="L50" s="36">
        <f t="shared" si="7"/>
        <v>10700</v>
      </c>
      <c r="M50" s="36">
        <f t="shared" si="7"/>
        <v>10700</v>
      </c>
      <c r="N50" s="36">
        <f t="shared" si="7"/>
        <v>12350</v>
      </c>
      <c r="O50" s="37"/>
      <c r="P50" s="42">
        <f t="shared" si="17"/>
        <v>16465</v>
      </c>
      <c r="Q50" s="36">
        <f t="shared" si="17"/>
        <v>21405</v>
      </c>
      <c r="R50" s="36">
        <f t="shared" si="17"/>
        <v>21405</v>
      </c>
      <c r="S50" s="43">
        <f t="shared" si="17"/>
        <v>24695</v>
      </c>
      <c r="T50" s="37"/>
      <c r="U50" s="42">
        <f t="shared" si="18"/>
        <v>24700</v>
      </c>
      <c r="V50" s="36">
        <f t="shared" si="18"/>
        <v>32100</v>
      </c>
      <c r="W50" s="36">
        <f t="shared" si="18"/>
        <v>32100</v>
      </c>
      <c r="X50" s="43">
        <f t="shared" si="18"/>
        <v>37040</v>
      </c>
      <c r="Y50" s="37"/>
      <c r="Z50" s="36">
        <f t="shared" si="13"/>
        <v>13720</v>
      </c>
      <c r="AA50" s="36">
        <f t="shared" si="13"/>
        <v>17840</v>
      </c>
      <c r="AB50" s="36">
        <f t="shared" si="13"/>
        <v>17840</v>
      </c>
      <c r="AC50" s="36">
        <f t="shared" si="13"/>
        <v>20580</v>
      </c>
      <c r="AD50" s="34"/>
    </row>
    <row r="51" spans="1:30" s="24" customFormat="1" ht="22.5" customHeight="1" x14ac:dyDescent="0.25">
      <c r="A51" s="24">
        <v>31</v>
      </c>
      <c r="B51" s="33">
        <f t="shared" si="14"/>
        <v>3630</v>
      </c>
      <c r="C51" s="33">
        <f t="shared" si="19"/>
        <v>4029.99</v>
      </c>
      <c r="D51" s="24" t="str">
        <f t="shared" si="10"/>
        <v>$3630 - $4029.99</v>
      </c>
      <c r="E51" s="34">
        <f t="shared" si="11"/>
        <v>3829.9949999999999</v>
      </c>
      <c r="F51" s="34">
        <f t="shared" si="16"/>
        <v>45959.94</v>
      </c>
      <c r="G51" s="34">
        <f t="shared" si="16"/>
        <v>91919.88</v>
      </c>
      <c r="H51" s="34">
        <f t="shared" si="16"/>
        <v>137879.82</v>
      </c>
      <c r="I51" s="34">
        <f t="shared" si="16"/>
        <v>183839.76</v>
      </c>
      <c r="J51" s="34">
        <f t="shared" si="6"/>
        <v>76599.899999999994</v>
      </c>
      <c r="K51" s="36">
        <f t="shared" si="7"/>
        <v>9190</v>
      </c>
      <c r="L51" s="36">
        <f t="shared" si="7"/>
        <v>11950</v>
      </c>
      <c r="M51" s="36">
        <f t="shared" si="7"/>
        <v>11950</v>
      </c>
      <c r="N51" s="36">
        <f t="shared" si="7"/>
        <v>13790</v>
      </c>
      <c r="O51" s="37"/>
      <c r="P51" s="42">
        <f t="shared" si="17"/>
        <v>18385</v>
      </c>
      <c r="Q51" s="36">
        <f t="shared" si="17"/>
        <v>23900</v>
      </c>
      <c r="R51" s="36">
        <f t="shared" si="17"/>
        <v>23900</v>
      </c>
      <c r="S51" s="43">
        <f t="shared" si="17"/>
        <v>27575</v>
      </c>
      <c r="T51" s="37"/>
      <c r="U51" s="42">
        <f t="shared" si="18"/>
        <v>27580</v>
      </c>
      <c r="V51" s="36">
        <f t="shared" si="18"/>
        <v>35850</v>
      </c>
      <c r="W51" s="36">
        <f t="shared" si="18"/>
        <v>35850</v>
      </c>
      <c r="X51" s="43">
        <f t="shared" si="18"/>
        <v>41360</v>
      </c>
      <c r="Y51" s="37"/>
      <c r="Z51" s="36">
        <f t="shared" si="13"/>
        <v>15320</v>
      </c>
      <c r="AA51" s="36">
        <f t="shared" si="13"/>
        <v>19920</v>
      </c>
      <c r="AB51" s="36">
        <f t="shared" si="13"/>
        <v>19920</v>
      </c>
      <c r="AC51" s="36">
        <f t="shared" si="13"/>
        <v>22980</v>
      </c>
      <c r="AD51" s="34"/>
    </row>
    <row r="52" spans="1:30" s="24" customFormat="1" ht="22.5" customHeight="1" thickBot="1" x14ac:dyDescent="0.3">
      <c r="A52" s="24">
        <v>32</v>
      </c>
      <c r="B52" s="33">
        <f t="shared" si="14"/>
        <v>4030</v>
      </c>
      <c r="C52" s="33">
        <f t="shared" si="19"/>
        <v>4429.99</v>
      </c>
      <c r="D52" s="24" t="str">
        <f t="shared" si="10"/>
        <v>$4030 - $4429.99</v>
      </c>
      <c r="E52" s="34">
        <f t="shared" si="11"/>
        <v>4229.9949999999999</v>
      </c>
      <c r="F52" s="34">
        <f t="shared" si="16"/>
        <v>50759.94</v>
      </c>
      <c r="G52" s="34">
        <f t="shared" si="16"/>
        <v>101519.88</v>
      </c>
      <c r="H52" s="34">
        <f t="shared" si="16"/>
        <v>152279.82</v>
      </c>
      <c r="I52" s="34">
        <f t="shared" si="16"/>
        <v>203039.76</v>
      </c>
      <c r="J52" s="34">
        <f t="shared" si="6"/>
        <v>84599.9</v>
      </c>
      <c r="K52" s="36">
        <f t="shared" si="7"/>
        <v>10150</v>
      </c>
      <c r="L52" s="36">
        <f t="shared" si="7"/>
        <v>13200</v>
      </c>
      <c r="M52" s="36">
        <f t="shared" si="7"/>
        <v>13200</v>
      </c>
      <c r="N52" s="36">
        <f t="shared" si="7"/>
        <v>15230</v>
      </c>
      <c r="O52" s="37"/>
      <c r="P52" s="44">
        <f t="shared" si="17"/>
        <v>20305</v>
      </c>
      <c r="Q52" s="45">
        <f t="shared" si="17"/>
        <v>26395</v>
      </c>
      <c r="R52" s="45">
        <f t="shared" si="17"/>
        <v>26395</v>
      </c>
      <c r="S52" s="46">
        <f t="shared" si="17"/>
        <v>30455</v>
      </c>
      <c r="T52" s="37"/>
      <c r="U52" s="44">
        <f t="shared" si="18"/>
        <v>30460</v>
      </c>
      <c r="V52" s="45">
        <f t="shared" si="18"/>
        <v>39590</v>
      </c>
      <c r="W52" s="45">
        <f t="shared" si="18"/>
        <v>39590</v>
      </c>
      <c r="X52" s="46">
        <f t="shared" si="18"/>
        <v>45680</v>
      </c>
      <c r="Y52" s="37"/>
      <c r="Z52" s="36">
        <f t="shared" si="13"/>
        <v>16920</v>
      </c>
      <c r="AA52" s="36">
        <f t="shared" si="13"/>
        <v>22000</v>
      </c>
      <c r="AB52" s="36">
        <f t="shared" si="13"/>
        <v>22000</v>
      </c>
      <c r="AC52" s="36">
        <f t="shared" si="13"/>
        <v>25380</v>
      </c>
      <c r="AD52" s="34"/>
    </row>
    <row r="53" spans="1:30" ht="15.75" thickTop="1" x14ac:dyDescent="0.25"/>
  </sheetData>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0.23</v>
      </c>
      <c r="C4" s="31">
        <v>0.28000000000000003</v>
      </c>
      <c r="D4" s="31">
        <v>0.32</v>
      </c>
      <c r="E4" s="31">
        <v>0.37</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0.23</v>
      </c>
      <c r="L18" s="20">
        <f>$C$4</f>
        <v>0.28000000000000003</v>
      </c>
      <c r="M18" s="20">
        <f>$D$4</f>
        <v>0.32</v>
      </c>
      <c r="N18" s="20">
        <f>$E$4</f>
        <v>0.37</v>
      </c>
      <c r="O18" s="20"/>
      <c r="P18" s="20">
        <f>$B$4</f>
        <v>0.23</v>
      </c>
      <c r="Q18" s="20">
        <f>$C$4</f>
        <v>0.28000000000000003</v>
      </c>
      <c r="R18" s="20">
        <f>$D$4</f>
        <v>0.32</v>
      </c>
      <c r="S18" s="20">
        <f>$E$4</f>
        <v>0.37</v>
      </c>
      <c r="T18" s="20"/>
      <c r="U18" s="20">
        <f>$B$4</f>
        <v>0.23</v>
      </c>
      <c r="V18" s="20">
        <f>$C$4</f>
        <v>0.28000000000000003</v>
      </c>
      <c r="W18" s="20">
        <f>$D$4</f>
        <v>0.32</v>
      </c>
      <c r="X18" s="20">
        <f>$E$4</f>
        <v>0.37</v>
      </c>
      <c r="Y18" s="20"/>
      <c r="Z18" s="20">
        <f>$B$4</f>
        <v>0.23</v>
      </c>
      <c r="AA18" s="20">
        <f>$C$4</f>
        <v>0.28000000000000003</v>
      </c>
      <c r="AB18" s="20">
        <f>$D$4</f>
        <v>0.32</v>
      </c>
      <c r="AC18" s="20">
        <f>$E$4</f>
        <v>0.37</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36"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70</v>
      </c>
      <c r="L23" s="36">
        <f t="shared" si="7"/>
        <v>85</v>
      </c>
      <c r="M23" s="36">
        <f t="shared" si="7"/>
        <v>95</v>
      </c>
      <c r="N23" s="36">
        <f t="shared" si="7"/>
        <v>110</v>
      </c>
      <c r="O23" s="37"/>
      <c r="P23" s="39">
        <f t="shared" si="8"/>
        <v>140</v>
      </c>
      <c r="Q23" s="40">
        <f t="shared" si="8"/>
        <v>170</v>
      </c>
      <c r="R23" s="40">
        <f t="shared" si="8"/>
        <v>190</v>
      </c>
      <c r="S23" s="41">
        <f t="shared" si="8"/>
        <v>220</v>
      </c>
      <c r="T23" s="37"/>
      <c r="U23" s="39">
        <f t="shared" si="9"/>
        <v>210</v>
      </c>
      <c r="V23" s="40">
        <f t="shared" si="9"/>
        <v>250</v>
      </c>
      <c r="W23" s="40">
        <f t="shared" si="9"/>
        <v>290</v>
      </c>
      <c r="X23" s="41">
        <f t="shared" si="9"/>
        <v>330</v>
      </c>
      <c r="Y23" s="37"/>
      <c r="Z23" s="36">
        <f>ROUND(($J23*Z$18)/10,0)*10</f>
        <v>110</v>
      </c>
      <c r="AA23" s="36">
        <f t="shared" si="4"/>
        <v>140</v>
      </c>
      <c r="AB23" s="36">
        <f t="shared" si="4"/>
        <v>160</v>
      </c>
      <c r="AC23" s="36">
        <f t="shared" si="4"/>
        <v>180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85</v>
      </c>
      <c r="L24" s="36">
        <f t="shared" si="7"/>
        <v>105</v>
      </c>
      <c r="M24" s="36">
        <f t="shared" si="7"/>
        <v>120</v>
      </c>
      <c r="N24" s="36">
        <f t="shared" si="7"/>
        <v>140</v>
      </c>
      <c r="O24" s="37"/>
      <c r="P24" s="42">
        <f t="shared" si="8"/>
        <v>170</v>
      </c>
      <c r="Q24" s="36">
        <f t="shared" si="8"/>
        <v>210</v>
      </c>
      <c r="R24" s="36">
        <f t="shared" si="8"/>
        <v>240</v>
      </c>
      <c r="S24" s="43">
        <f t="shared" si="8"/>
        <v>275</v>
      </c>
      <c r="T24" s="37"/>
      <c r="U24" s="42">
        <f t="shared" si="9"/>
        <v>260</v>
      </c>
      <c r="V24" s="36">
        <f t="shared" si="9"/>
        <v>310</v>
      </c>
      <c r="W24" s="36">
        <f t="shared" si="9"/>
        <v>360</v>
      </c>
      <c r="X24" s="43">
        <f t="shared" si="9"/>
        <v>420</v>
      </c>
      <c r="Y24" s="37"/>
      <c r="Z24" s="36">
        <f t="shared" ref="Z24:AC52" si="12">ROUND(($J24*Z$18)/10,0)*10</f>
        <v>140</v>
      </c>
      <c r="AA24" s="36">
        <f t="shared" si="4"/>
        <v>170</v>
      </c>
      <c r="AB24" s="36">
        <f t="shared" si="4"/>
        <v>200</v>
      </c>
      <c r="AC24" s="36">
        <f t="shared" si="4"/>
        <v>230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95</v>
      </c>
      <c r="L25" s="36">
        <f t="shared" si="7"/>
        <v>115</v>
      </c>
      <c r="M25" s="36">
        <f t="shared" si="7"/>
        <v>130</v>
      </c>
      <c r="N25" s="36">
        <f t="shared" si="7"/>
        <v>150</v>
      </c>
      <c r="O25" s="37"/>
      <c r="P25" s="42">
        <f t="shared" si="8"/>
        <v>185</v>
      </c>
      <c r="Q25" s="36">
        <f t="shared" si="8"/>
        <v>225</v>
      </c>
      <c r="R25" s="36">
        <f t="shared" si="8"/>
        <v>260</v>
      </c>
      <c r="S25" s="43">
        <f t="shared" si="8"/>
        <v>300</v>
      </c>
      <c r="T25" s="37"/>
      <c r="U25" s="42">
        <f t="shared" si="9"/>
        <v>280</v>
      </c>
      <c r="V25" s="36">
        <f t="shared" si="9"/>
        <v>340</v>
      </c>
      <c r="W25" s="36">
        <f t="shared" si="9"/>
        <v>390</v>
      </c>
      <c r="X25" s="43">
        <f t="shared" si="9"/>
        <v>450</v>
      </c>
      <c r="Y25" s="37"/>
      <c r="Z25" s="36">
        <f t="shared" si="12"/>
        <v>160</v>
      </c>
      <c r="AA25" s="36">
        <f t="shared" si="4"/>
        <v>190</v>
      </c>
      <c r="AB25" s="36">
        <f t="shared" si="4"/>
        <v>220</v>
      </c>
      <c r="AC25" s="36">
        <f t="shared" si="4"/>
        <v>250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100</v>
      </c>
      <c r="L26" s="36">
        <f t="shared" si="7"/>
        <v>120</v>
      </c>
      <c r="M26" s="36">
        <f t="shared" si="7"/>
        <v>140</v>
      </c>
      <c r="N26" s="36">
        <f t="shared" si="7"/>
        <v>160</v>
      </c>
      <c r="O26" s="37"/>
      <c r="P26" s="42">
        <f t="shared" si="8"/>
        <v>200</v>
      </c>
      <c r="Q26" s="36">
        <f t="shared" si="8"/>
        <v>245</v>
      </c>
      <c r="R26" s="36">
        <f t="shared" si="8"/>
        <v>280</v>
      </c>
      <c r="S26" s="43">
        <f t="shared" si="8"/>
        <v>320</v>
      </c>
      <c r="T26" s="37"/>
      <c r="U26" s="42">
        <f t="shared" si="9"/>
        <v>300</v>
      </c>
      <c r="V26" s="36">
        <f t="shared" si="9"/>
        <v>370</v>
      </c>
      <c r="W26" s="36">
        <f t="shared" si="9"/>
        <v>420</v>
      </c>
      <c r="X26" s="43">
        <f t="shared" si="9"/>
        <v>480</v>
      </c>
      <c r="Y26" s="37"/>
      <c r="Z26" s="36">
        <f t="shared" si="12"/>
        <v>170</v>
      </c>
      <c r="AA26" s="36">
        <f t="shared" si="4"/>
        <v>200</v>
      </c>
      <c r="AB26" s="36">
        <f t="shared" si="4"/>
        <v>230</v>
      </c>
      <c r="AC26" s="36">
        <f t="shared" si="4"/>
        <v>270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105</v>
      </c>
      <c r="L27" s="36">
        <f t="shared" si="7"/>
        <v>130</v>
      </c>
      <c r="M27" s="36">
        <f t="shared" si="7"/>
        <v>150</v>
      </c>
      <c r="N27" s="36">
        <f t="shared" si="7"/>
        <v>170</v>
      </c>
      <c r="O27" s="37"/>
      <c r="P27" s="42">
        <f t="shared" si="8"/>
        <v>215</v>
      </c>
      <c r="Q27" s="36">
        <f t="shared" si="8"/>
        <v>260</v>
      </c>
      <c r="R27" s="36">
        <f t="shared" si="8"/>
        <v>300</v>
      </c>
      <c r="S27" s="43">
        <f t="shared" si="8"/>
        <v>345</v>
      </c>
      <c r="T27" s="37"/>
      <c r="U27" s="42">
        <f t="shared" si="9"/>
        <v>320</v>
      </c>
      <c r="V27" s="36">
        <f t="shared" si="9"/>
        <v>390</v>
      </c>
      <c r="W27" s="36">
        <f t="shared" si="9"/>
        <v>450</v>
      </c>
      <c r="X27" s="43">
        <f t="shared" si="9"/>
        <v>520</v>
      </c>
      <c r="Y27" s="37"/>
      <c r="Z27" s="36">
        <f t="shared" si="12"/>
        <v>180</v>
      </c>
      <c r="AA27" s="36">
        <f t="shared" si="4"/>
        <v>220</v>
      </c>
      <c r="AB27" s="36">
        <f t="shared" si="4"/>
        <v>250</v>
      </c>
      <c r="AC27" s="36">
        <f t="shared" si="4"/>
        <v>290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115</v>
      </c>
      <c r="L28" s="36">
        <f t="shared" si="7"/>
        <v>140</v>
      </c>
      <c r="M28" s="36">
        <f t="shared" si="7"/>
        <v>160</v>
      </c>
      <c r="N28" s="36">
        <f t="shared" si="7"/>
        <v>185</v>
      </c>
      <c r="O28" s="37"/>
      <c r="P28" s="42">
        <f t="shared" si="8"/>
        <v>230</v>
      </c>
      <c r="Q28" s="36">
        <f t="shared" si="8"/>
        <v>275</v>
      </c>
      <c r="R28" s="36">
        <f t="shared" si="8"/>
        <v>315</v>
      </c>
      <c r="S28" s="43">
        <f t="shared" si="8"/>
        <v>365</v>
      </c>
      <c r="T28" s="37"/>
      <c r="U28" s="42">
        <f t="shared" si="9"/>
        <v>340</v>
      </c>
      <c r="V28" s="36">
        <f t="shared" si="9"/>
        <v>420</v>
      </c>
      <c r="W28" s="36">
        <f t="shared" si="9"/>
        <v>480</v>
      </c>
      <c r="X28" s="43">
        <f t="shared" si="9"/>
        <v>550</v>
      </c>
      <c r="Y28" s="37"/>
      <c r="Z28" s="36">
        <f t="shared" si="12"/>
        <v>190</v>
      </c>
      <c r="AA28" s="36">
        <f t="shared" si="4"/>
        <v>230</v>
      </c>
      <c r="AB28" s="36">
        <f t="shared" si="4"/>
        <v>260</v>
      </c>
      <c r="AC28" s="36">
        <f t="shared" si="4"/>
        <v>310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120</v>
      </c>
      <c r="L29" s="36">
        <f t="shared" si="7"/>
        <v>145</v>
      </c>
      <c r="M29" s="36">
        <f t="shared" si="7"/>
        <v>170</v>
      </c>
      <c r="N29" s="36">
        <f t="shared" si="7"/>
        <v>195</v>
      </c>
      <c r="O29" s="37"/>
      <c r="P29" s="42">
        <f t="shared" si="8"/>
        <v>240</v>
      </c>
      <c r="Q29" s="36">
        <f t="shared" si="8"/>
        <v>295</v>
      </c>
      <c r="R29" s="36">
        <f t="shared" si="8"/>
        <v>335</v>
      </c>
      <c r="S29" s="43">
        <f t="shared" si="8"/>
        <v>390</v>
      </c>
      <c r="T29" s="37"/>
      <c r="U29" s="42">
        <f t="shared" si="9"/>
        <v>360</v>
      </c>
      <c r="V29" s="36">
        <f t="shared" si="9"/>
        <v>440</v>
      </c>
      <c r="W29" s="36">
        <f t="shared" si="9"/>
        <v>500</v>
      </c>
      <c r="X29" s="43">
        <f t="shared" si="9"/>
        <v>580</v>
      </c>
      <c r="Y29" s="37"/>
      <c r="Z29" s="36">
        <f t="shared" si="12"/>
        <v>200</v>
      </c>
      <c r="AA29" s="36">
        <f t="shared" si="4"/>
        <v>240</v>
      </c>
      <c r="AB29" s="36">
        <f t="shared" si="4"/>
        <v>280</v>
      </c>
      <c r="AC29" s="36">
        <f t="shared" si="4"/>
        <v>320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130</v>
      </c>
      <c r="L30" s="36">
        <f t="shared" si="7"/>
        <v>155</v>
      </c>
      <c r="M30" s="36">
        <f t="shared" si="7"/>
        <v>180</v>
      </c>
      <c r="N30" s="36">
        <f t="shared" si="7"/>
        <v>205</v>
      </c>
      <c r="O30" s="37"/>
      <c r="P30" s="42">
        <f t="shared" si="8"/>
        <v>255</v>
      </c>
      <c r="Q30" s="36">
        <f t="shared" si="8"/>
        <v>310</v>
      </c>
      <c r="R30" s="36">
        <f t="shared" si="8"/>
        <v>355</v>
      </c>
      <c r="S30" s="43">
        <f t="shared" si="8"/>
        <v>410</v>
      </c>
      <c r="T30" s="37"/>
      <c r="U30" s="42">
        <f t="shared" si="9"/>
        <v>380</v>
      </c>
      <c r="V30" s="36">
        <f t="shared" si="9"/>
        <v>470</v>
      </c>
      <c r="W30" s="36">
        <f t="shared" si="9"/>
        <v>530</v>
      </c>
      <c r="X30" s="43">
        <f t="shared" si="9"/>
        <v>620</v>
      </c>
      <c r="Y30" s="37"/>
      <c r="Z30" s="36">
        <f t="shared" si="12"/>
        <v>210</v>
      </c>
      <c r="AA30" s="36">
        <f t="shared" si="4"/>
        <v>260</v>
      </c>
      <c r="AB30" s="36">
        <f t="shared" si="4"/>
        <v>300</v>
      </c>
      <c r="AC30" s="36">
        <f t="shared" si="4"/>
        <v>340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140</v>
      </c>
      <c r="L31" s="36">
        <f t="shared" si="7"/>
        <v>170</v>
      </c>
      <c r="M31" s="36">
        <f t="shared" si="7"/>
        <v>195</v>
      </c>
      <c r="N31" s="36">
        <f t="shared" si="7"/>
        <v>230</v>
      </c>
      <c r="O31" s="37"/>
      <c r="P31" s="42">
        <f t="shared" si="8"/>
        <v>285</v>
      </c>
      <c r="Q31" s="36">
        <f t="shared" si="8"/>
        <v>345</v>
      </c>
      <c r="R31" s="36">
        <f t="shared" si="8"/>
        <v>395</v>
      </c>
      <c r="S31" s="43">
        <f t="shared" si="8"/>
        <v>455</v>
      </c>
      <c r="T31" s="37"/>
      <c r="U31" s="42">
        <f t="shared" si="9"/>
        <v>420</v>
      </c>
      <c r="V31" s="36">
        <f t="shared" si="9"/>
        <v>520</v>
      </c>
      <c r="W31" s="36">
        <f t="shared" si="9"/>
        <v>590</v>
      </c>
      <c r="X31" s="43">
        <f t="shared" si="9"/>
        <v>680</v>
      </c>
      <c r="Y31" s="37"/>
      <c r="Z31" s="36">
        <f t="shared" si="12"/>
        <v>240</v>
      </c>
      <c r="AA31" s="36">
        <f t="shared" si="4"/>
        <v>290</v>
      </c>
      <c r="AB31" s="36">
        <f t="shared" si="4"/>
        <v>330</v>
      </c>
      <c r="AC31" s="36">
        <f t="shared" si="4"/>
        <v>380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160</v>
      </c>
      <c r="L32" s="36">
        <f t="shared" si="7"/>
        <v>195</v>
      </c>
      <c r="M32" s="36">
        <f t="shared" si="7"/>
        <v>220</v>
      </c>
      <c r="N32" s="36">
        <f t="shared" si="7"/>
        <v>255</v>
      </c>
      <c r="O32" s="37"/>
      <c r="P32" s="42">
        <f t="shared" si="8"/>
        <v>315</v>
      </c>
      <c r="Q32" s="36">
        <f t="shared" si="8"/>
        <v>385</v>
      </c>
      <c r="R32" s="36">
        <f t="shared" si="8"/>
        <v>440</v>
      </c>
      <c r="S32" s="43">
        <f t="shared" si="8"/>
        <v>510</v>
      </c>
      <c r="T32" s="37"/>
      <c r="U32" s="42">
        <f t="shared" si="9"/>
        <v>480</v>
      </c>
      <c r="V32" s="36">
        <f t="shared" si="9"/>
        <v>580</v>
      </c>
      <c r="W32" s="36">
        <f t="shared" si="9"/>
        <v>660</v>
      </c>
      <c r="X32" s="43">
        <f t="shared" si="9"/>
        <v>770</v>
      </c>
      <c r="Y32" s="37"/>
      <c r="Z32" s="36">
        <f t="shared" si="12"/>
        <v>260</v>
      </c>
      <c r="AA32" s="36">
        <f t="shared" si="4"/>
        <v>320</v>
      </c>
      <c r="AB32" s="36">
        <f t="shared" si="4"/>
        <v>370</v>
      </c>
      <c r="AC32" s="36">
        <f t="shared" si="4"/>
        <v>430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180</v>
      </c>
      <c r="L33" s="36">
        <f t="shared" si="7"/>
        <v>220</v>
      </c>
      <c r="M33" s="36">
        <f t="shared" si="7"/>
        <v>250</v>
      </c>
      <c r="N33" s="36">
        <f t="shared" si="7"/>
        <v>290</v>
      </c>
      <c r="O33" s="37"/>
      <c r="P33" s="42">
        <f t="shared" si="8"/>
        <v>360</v>
      </c>
      <c r="Q33" s="36">
        <f t="shared" si="8"/>
        <v>435</v>
      </c>
      <c r="R33" s="36">
        <f t="shared" si="8"/>
        <v>500</v>
      </c>
      <c r="S33" s="43">
        <f t="shared" si="8"/>
        <v>575</v>
      </c>
      <c r="T33" s="37"/>
      <c r="U33" s="42">
        <f t="shared" si="9"/>
        <v>540</v>
      </c>
      <c r="V33" s="36">
        <f t="shared" si="9"/>
        <v>660</v>
      </c>
      <c r="W33" s="36">
        <f t="shared" si="9"/>
        <v>750</v>
      </c>
      <c r="X33" s="43">
        <f t="shared" si="9"/>
        <v>870</v>
      </c>
      <c r="Y33" s="37"/>
      <c r="Z33" s="36">
        <f t="shared" si="12"/>
        <v>300</v>
      </c>
      <c r="AA33" s="36">
        <f t="shared" si="4"/>
        <v>360</v>
      </c>
      <c r="AB33" s="36">
        <f t="shared" si="4"/>
        <v>420</v>
      </c>
      <c r="AC33" s="36">
        <f t="shared" si="4"/>
        <v>480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205</v>
      </c>
      <c r="L34" s="36">
        <f t="shared" si="7"/>
        <v>250</v>
      </c>
      <c r="M34" s="36">
        <f t="shared" si="7"/>
        <v>290</v>
      </c>
      <c r="N34" s="36">
        <f t="shared" si="7"/>
        <v>335</v>
      </c>
      <c r="O34" s="37"/>
      <c r="P34" s="42">
        <f t="shared" si="8"/>
        <v>415</v>
      </c>
      <c r="Q34" s="36">
        <f t="shared" si="8"/>
        <v>505</v>
      </c>
      <c r="R34" s="36">
        <f t="shared" si="8"/>
        <v>575</v>
      </c>
      <c r="S34" s="43">
        <f t="shared" si="8"/>
        <v>665</v>
      </c>
      <c r="T34" s="37"/>
      <c r="U34" s="42">
        <f t="shared" si="9"/>
        <v>620</v>
      </c>
      <c r="V34" s="36">
        <f t="shared" si="9"/>
        <v>760</v>
      </c>
      <c r="W34" s="36">
        <f t="shared" si="9"/>
        <v>860</v>
      </c>
      <c r="X34" s="43">
        <f t="shared" si="9"/>
        <v>1000</v>
      </c>
      <c r="Y34" s="37"/>
      <c r="Z34" s="36">
        <f t="shared" si="12"/>
        <v>340</v>
      </c>
      <c r="AA34" s="36">
        <f t="shared" si="4"/>
        <v>420</v>
      </c>
      <c r="AB34" s="36">
        <f t="shared" si="4"/>
        <v>480</v>
      </c>
      <c r="AC34" s="36">
        <f t="shared" si="4"/>
        <v>550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290</v>
      </c>
      <c r="L35" s="36">
        <f t="shared" si="7"/>
        <v>355</v>
      </c>
      <c r="M35" s="36">
        <f t="shared" si="7"/>
        <v>405</v>
      </c>
      <c r="N35" s="36">
        <f t="shared" si="7"/>
        <v>465</v>
      </c>
      <c r="O35" s="37"/>
      <c r="P35" s="42">
        <f t="shared" si="8"/>
        <v>580</v>
      </c>
      <c r="Q35" s="36">
        <f t="shared" si="8"/>
        <v>705</v>
      </c>
      <c r="R35" s="36">
        <f t="shared" si="8"/>
        <v>805</v>
      </c>
      <c r="S35" s="43">
        <f t="shared" si="8"/>
        <v>930</v>
      </c>
      <c r="T35" s="37"/>
      <c r="U35" s="42">
        <f t="shared" si="9"/>
        <v>870</v>
      </c>
      <c r="V35" s="36">
        <f t="shared" si="9"/>
        <v>1060</v>
      </c>
      <c r="W35" s="36">
        <f t="shared" si="9"/>
        <v>1210</v>
      </c>
      <c r="X35" s="43">
        <f t="shared" si="9"/>
        <v>1400</v>
      </c>
      <c r="Y35" s="37"/>
      <c r="Z35" s="36">
        <f t="shared" si="12"/>
        <v>480</v>
      </c>
      <c r="AA35" s="36">
        <f t="shared" si="4"/>
        <v>590</v>
      </c>
      <c r="AB35" s="36">
        <f t="shared" si="4"/>
        <v>670</v>
      </c>
      <c r="AC35" s="36">
        <f t="shared" si="4"/>
        <v>780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460</v>
      </c>
      <c r="L36" s="36">
        <f t="shared" si="7"/>
        <v>565</v>
      </c>
      <c r="M36" s="36">
        <f t="shared" si="7"/>
        <v>645</v>
      </c>
      <c r="N36" s="36">
        <f t="shared" si="7"/>
        <v>745</v>
      </c>
      <c r="O36" s="37"/>
      <c r="P36" s="42">
        <f t="shared" si="8"/>
        <v>925</v>
      </c>
      <c r="Q36" s="36">
        <f t="shared" si="8"/>
        <v>1125</v>
      </c>
      <c r="R36" s="36">
        <f t="shared" si="8"/>
        <v>1285</v>
      </c>
      <c r="S36" s="43">
        <f t="shared" si="8"/>
        <v>1485</v>
      </c>
      <c r="T36" s="37"/>
      <c r="U36" s="42">
        <f t="shared" si="9"/>
        <v>1390</v>
      </c>
      <c r="V36" s="36">
        <f t="shared" si="9"/>
        <v>1690</v>
      </c>
      <c r="W36" s="36">
        <f t="shared" si="9"/>
        <v>1930</v>
      </c>
      <c r="X36" s="43">
        <f t="shared" si="9"/>
        <v>2230</v>
      </c>
      <c r="Y36" s="37"/>
      <c r="Z36" s="36">
        <f t="shared" si="12"/>
        <v>770</v>
      </c>
      <c r="AA36" s="36">
        <f t="shared" si="4"/>
        <v>940</v>
      </c>
      <c r="AB36" s="36">
        <f t="shared" si="4"/>
        <v>1070</v>
      </c>
      <c r="AC36" s="36">
        <f t="shared" si="4"/>
        <v>1240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670</v>
      </c>
      <c r="L37" s="36">
        <f t="shared" si="7"/>
        <v>815</v>
      </c>
      <c r="M37" s="36">
        <f t="shared" si="7"/>
        <v>930</v>
      </c>
      <c r="N37" s="36">
        <f t="shared" si="7"/>
        <v>1075</v>
      </c>
      <c r="O37" s="37"/>
      <c r="P37" s="42">
        <f t="shared" si="8"/>
        <v>1340</v>
      </c>
      <c r="Q37" s="36">
        <f t="shared" si="8"/>
        <v>1630</v>
      </c>
      <c r="R37" s="36">
        <f t="shared" si="8"/>
        <v>1860</v>
      </c>
      <c r="S37" s="43">
        <f t="shared" si="8"/>
        <v>2155</v>
      </c>
      <c r="T37" s="37"/>
      <c r="U37" s="42">
        <f t="shared" si="9"/>
        <v>2010</v>
      </c>
      <c r="V37" s="36">
        <f t="shared" si="9"/>
        <v>2440</v>
      </c>
      <c r="W37" s="36">
        <f t="shared" si="9"/>
        <v>2790</v>
      </c>
      <c r="X37" s="43">
        <f t="shared" si="9"/>
        <v>3230</v>
      </c>
      <c r="Y37" s="37"/>
      <c r="Z37" s="36">
        <f t="shared" si="12"/>
        <v>1120</v>
      </c>
      <c r="AA37" s="36">
        <f t="shared" si="12"/>
        <v>1360</v>
      </c>
      <c r="AB37" s="36">
        <f t="shared" si="12"/>
        <v>1550</v>
      </c>
      <c r="AC37" s="36">
        <f t="shared" si="12"/>
        <v>1790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840</v>
      </c>
      <c r="L38" s="36">
        <f t="shared" si="7"/>
        <v>1025</v>
      </c>
      <c r="M38" s="36">
        <f t="shared" si="7"/>
        <v>1170</v>
      </c>
      <c r="N38" s="36">
        <f t="shared" si="7"/>
        <v>1355</v>
      </c>
      <c r="O38" s="37"/>
      <c r="P38" s="42">
        <f t="shared" si="8"/>
        <v>1685</v>
      </c>
      <c r="Q38" s="36">
        <f t="shared" si="8"/>
        <v>2050</v>
      </c>
      <c r="R38" s="36">
        <f t="shared" si="8"/>
        <v>2340</v>
      </c>
      <c r="S38" s="43">
        <f t="shared" si="8"/>
        <v>2710</v>
      </c>
      <c r="T38" s="37"/>
      <c r="U38" s="42">
        <f t="shared" si="9"/>
        <v>2530</v>
      </c>
      <c r="V38" s="36">
        <f t="shared" si="9"/>
        <v>3070</v>
      </c>
      <c r="W38" s="36">
        <f t="shared" si="9"/>
        <v>3510</v>
      </c>
      <c r="X38" s="43">
        <f t="shared" si="9"/>
        <v>4060</v>
      </c>
      <c r="Y38" s="37"/>
      <c r="Z38" s="36">
        <f t="shared" si="12"/>
        <v>1400</v>
      </c>
      <c r="AA38" s="36">
        <f t="shared" si="12"/>
        <v>1710</v>
      </c>
      <c r="AB38" s="36">
        <f t="shared" si="12"/>
        <v>1950</v>
      </c>
      <c r="AC38" s="36">
        <f t="shared" si="12"/>
        <v>2260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6"/>
        <v>7099.9</v>
      </c>
      <c r="K39" s="36">
        <f t="shared" si="7"/>
        <v>980</v>
      </c>
      <c r="L39" s="36">
        <f t="shared" si="7"/>
        <v>1195</v>
      </c>
      <c r="M39" s="36">
        <f t="shared" si="7"/>
        <v>1365</v>
      </c>
      <c r="N39" s="36">
        <f t="shared" si="7"/>
        <v>1575</v>
      </c>
      <c r="O39" s="37"/>
      <c r="P39" s="42">
        <f t="shared" ref="P39:S52" si="16">ROUND(($G39*P$18)/5,0)*5</f>
        <v>1960</v>
      </c>
      <c r="Q39" s="36">
        <f t="shared" si="16"/>
        <v>2385</v>
      </c>
      <c r="R39" s="36">
        <f t="shared" si="16"/>
        <v>2725</v>
      </c>
      <c r="S39" s="43">
        <f t="shared" si="16"/>
        <v>3150</v>
      </c>
      <c r="T39" s="37"/>
      <c r="U39" s="166">
        <f t="shared" ref="U39:X52" si="17">ROUND(($H39*U$18)/10,0)*10</f>
        <v>2940</v>
      </c>
      <c r="V39" s="167">
        <f t="shared" si="17"/>
        <v>3580</v>
      </c>
      <c r="W39" s="167">
        <f t="shared" si="17"/>
        <v>4090</v>
      </c>
      <c r="X39" s="168">
        <f t="shared" si="17"/>
        <v>4730</v>
      </c>
      <c r="Y39" s="37"/>
      <c r="Z39" s="36">
        <f t="shared" si="12"/>
        <v>1630</v>
      </c>
      <c r="AA39" s="36">
        <f t="shared" si="12"/>
        <v>1990</v>
      </c>
      <c r="AB39" s="36">
        <f t="shared" si="12"/>
        <v>2270</v>
      </c>
      <c r="AC39" s="36">
        <f t="shared" si="12"/>
        <v>2630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6"/>
        <v>8599.9</v>
      </c>
      <c r="K40" s="36">
        <f t="shared" si="7"/>
        <v>1185</v>
      </c>
      <c r="L40" s="36">
        <f t="shared" si="7"/>
        <v>1445</v>
      </c>
      <c r="M40" s="36">
        <f t="shared" si="7"/>
        <v>1650</v>
      </c>
      <c r="N40" s="36">
        <f t="shared" si="7"/>
        <v>1910</v>
      </c>
      <c r="O40" s="37"/>
      <c r="P40" s="42">
        <f t="shared" si="16"/>
        <v>2375</v>
      </c>
      <c r="Q40" s="36">
        <f t="shared" si="16"/>
        <v>2890</v>
      </c>
      <c r="R40" s="36">
        <f t="shared" si="16"/>
        <v>3300</v>
      </c>
      <c r="S40" s="43">
        <f t="shared" si="16"/>
        <v>3820</v>
      </c>
      <c r="T40" s="37"/>
      <c r="U40" s="42">
        <f t="shared" si="17"/>
        <v>3560</v>
      </c>
      <c r="V40" s="36">
        <f t="shared" si="17"/>
        <v>4330</v>
      </c>
      <c r="W40" s="36">
        <f t="shared" si="17"/>
        <v>4950</v>
      </c>
      <c r="X40" s="43">
        <f t="shared" si="17"/>
        <v>5730</v>
      </c>
      <c r="Y40" s="37"/>
      <c r="Z40" s="36">
        <f t="shared" si="12"/>
        <v>1980</v>
      </c>
      <c r="AA40" s="36">
        <f t="shared" si="12"/>
        <v>2410</v>
      </c>
      <c r="AB40" s="36">
        <f t="shared" si="12"/>
        <v>2750</v>
      </c>
      <c r="AC40" s="36">
        <f t="shared" si="12"/>
        <v>3180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6"/>
        <v>10599.9</v>
      </c>
      <c r="K41" s="36">
        <f t="shared" si="7"/>
        <v>1465</v>
      </c>
      <c r="L41" s="36">
        <f t="shared" si="7"/>
        <v>1780</v>
      </c>
      <c r="M41" s="36">
        <f t="shared" si="7"/>
        <v>2035</v>
      </c>
      <c r="N41" s="36">
        <f t="shared" si="7"/>
        <v>2355</v>
      </c>
      <c r="O41" s="37"/>
      <c r="P41" s="42">
        <f t="shared" si="16"/>
        <v>2925</v>
      </c>
      <c r="Q41" s="36">
        <f t="shared" si="16"/>
        <v>3560</v>
      </c>
      <c r="R41" s="36">
        <f t="shared" si="16"/>
        <v>4070</v>
      </c>
      <c r="S41" s="43">
        <f t="shared" si="16"/>
        <v>4705</v>
      </c>
      <c r="T41" s="37"/>
      <c r="U41" s="42">
        <f t="shared" si="17"/>
        <v>4390</v>
      </c>
      <c r="V41" s="36">
        <f t="shared" si="17"/>
        <v>5340</v>
      </c>
      <c r="W41" s="36">
        <f t="shared" si="17"/>
        <v>6110</v>
      </c>
      <c r="X41" s="43">
        <f t="shared" si="17"/>
        <v>7060</v>
      </c>
      <c r="Y41" s="37"/>
      <c r="Z41" s="36">
        <f t="shared" si="12"/>
        <v>2440</v>
      </c>
      <c r="AA41" s="36">
        <f t="shared" si="12"/>
        <v>2970</v>
      </c>
      <c r="AB41" s="36">
        <f t="shared" si="12"/>
        <v>3390</v>
      </c>
      <c r="AC41" s="36">
        <f t="shared" si="12"/>
        <v>3920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6"/>
        <v>13599.9</v>
      </c>
      <c r="K42" s="36">
        <f t="shared" si="7"/>
        <v>1875</v>
      </c>
      <c r="L42" s="36">
        <f t="shared" si="7"/>
        <v>2285</v>
      </c>
      <c r="M42" s="36">
        <f t="shared" si="7"/>
        <v>2610</v>
      </c>
      <c r="N42" s="36">
        <f t="shared" si="7"/>
        <v>3020</v>
      </c>
      <c r="O42" s="37"/>
      <c r="P42" s="42">
        <f t="shared" si="16"/>
        <v>3755</v>
      </c>
      <c r="Q42" s="36">
        <f t="shared" si="16"/>
        <v>4570</v>
      </c>
      <c r="R42" s="36">
        <f t="shared" si="16"/>
        <v>5220</v>
      </c>
      <c r="S42" s="43">
        <f t="shared" si="16"/>
        <v>6040</v>
      </c>
      <c r="T42" s="37"/>
      <c r="U42" s="42">
        <f t="shared" si="17"/>
        <v>5630</v>
      </c>
      <c r="V42" s="36">
        <f t="shared" si="17"/>
        <v>6850</v>
      </c>
      <c r="W42" s="36">
        <f t="shared" si="17"/>
        <v>7830</v>
      </c>
      <c r="X42" s="43">
        <f t="shared" si="17"/>
        <v>9060</v>
      </c>
      <c r="Y42" s="37"/>
      <c r="Z42" s="36">
        <f t="shared" si="12"/>
        <v>3130</v>
      </c>
      <c r="AA42" s="36">
        <f t="shared" si="12"/>
        <v>3810</v>
      </c>
      <c r="AB42" s="36">
        <f t="shared" si="12"/>
        <v>4350</v>
      </c>
      <c r="AC42" s="36">
        <f t="shared" si="12"/>
        <v>5030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6"/>
        <v>17599.900000000001</v>
      </c>
      <c r="K43" s="36">
        <f t="shared" si="7"/>
        <v>2430</v>
      </c>
      <c r="L43" s="36">
        <f t="shared" si="7"/>
        <v>2955</v>
      </c>
      <c r="M43" s="36">
        <f t="shared" si="7"/>
        <v>3380</v>
      </c>
      <c r="N43" s="36">
        <f t="shared" si="7"/>
        <v>3905</v>
      </c>
      <c r="O43" s="37"/>
      <c r="P43" s="42">
        <f t="shared" si="16"/>
        <v>4860</v>
      </c>
      <c r="Q43" s="36">
        <f t="shared" si="16"/>
        <v>5915</v>
      </c>
      <c r="R43" s="36">
        <f t="shared" si="16"/>
        <v>6760</v>
      </c>
      <c r="S43" s="43">
        <f t="shared" si="16"/>
        <v>7815</v>
      </c>
      <c r="T43" s="37"/>
      <c r="U43" s="42">
        <f t="shared" si="17"/>
        <v>7290</v>
      </c>
      <c r="V43" s="36">
        <f t="shared" si="17"/>
        <v>8870</v>
      </c>
      <c r="W43" s="36">
        <f t="shared" si="17"/>
        <v>10140</v>
      </c>
      <c r="X43" s="43">
        <f t="shared" si="17"/>
        <v>11720</v>
      </c>
      <c r="Y43" s="37"/>
      <c r="Z43" s="36">
        <f t="shared" si="12"/>
        <v>4050</v>
      </c>
      <c r="AA43" s="36">
        <f t="shared" si="12"/>
        <v>4930</v>
      </c>
      <c r="AB43" s="36">
        <f t="shared" si="12"/>
        <v>5630</v>
      </c>
      <c r="AC43" s="36">
        <f t="shared" si="12"/>
        <v>6510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6"/>
        <v>22099.899999999998</v>
      </c>
      <c r="K44" s="36">
        <f t="shared" si="7"/>
        <v>3050</v>
      </c>
      <c r="L44" s="36">
        <f t="shared" si="7"/>
        <v>3715</v>
      </c>
      <c r="M44" s="36">
        <f t="shared" si="7"/>
        <v>4245</v>
      </c>
      <c r="N44" s="36">
        <f t="shared" si="7"/>
        <v>4905</v>
      </c>
      <c r="O44" s="37"/>
      <c r="P44" s="42">
        <f t="shared" si="16"/>
        <v>6100</v>
      </c>
      <c r="Q44" s="36">
        <f t="shared" si="16"/>
        <v>7425</v>
      </c>
      <c r="R44" s="36">
        <f t="shared" si="16"/>
        <v>8485</v>
      </c>
      <c r="S44" s="43">
        <f t="shared" si="16"/>
        <v>9810</v>
      </c>
      <c r="T44" s="37"/>
      <c r="U44" s="42">
        <f t="shared" si="17"/>
        <v>9150</v>
      </c>
      <c r="V44" s="36">
        <f t="shared" si="17"/>
        <v>11140</v>
      </c>
      <c r="W44" s="36">
        <f t="shared" si="17"/>
        <v>12730</v>
      </c>
      <c r="X44" s="43">
        <f t="shared" si="17"/>
        <v>14720</v>
      </c>
      <c r="Y44" s="37"/>
      <c r="Z44" s="36">
        <f t="shared" si="12"/>
        <v>5080</v>
      </c>
      <c r="AA44" s="36">
        <f t="shared" si="12"/>
        <v>6190</v>
      </c>
      <c r="AB44" s="36">
        <f t="shared" si="12"/>
        <v>7070</v>
      </c>
      <c r="AC44" s="36">
        <f t="shared" si="12"/>
        <v>8180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6"/>
        <v>28599.899999999998</v>
      </c>
      <c r="K45" s="36">
        <f t="shared" si="7"/>
        <v>3945</v>
      </c>
      <c r="L45" s="36">
        <f t="shared" si="7"/>
        <v>4805</v>
      </c>
      <c r="M45" s="36">
        <f t="shared" si="7"/>
        <v>5490</v>
      </c>
      <c r="N45" s="36">
        <f t="shared" si="7"/>
        <v>6350</v>
      </c>
      <c r="O45" s="37"/>
      <c r="P45" s="42">
        <f t="shared" si="16"/>
        <v>7895</v>
      </c>
      <c r="Q45" s="36">
        <f t="shared" si="16"/>
        <v>9610</v>
      </c>
      <c r="R45" s="36">
        <f t="shared" si="16"/>
        <v>10980</v>
      </c>
      <c r="S45" s="43">
        <f t="shared" si="16"/>
        <v>12700</v>
      </c>
      <c r="T45" s="37"/>
      <c r="U45" s="42">
        <f t="shared" si="17"/>
        <v>11840</v>
      </c>
      <c r="V45" s="36">
        <f t="shared" si="17"/>
        <v>14410</v>
      </c>
      <c r="W45" s="36">
        <f t="shared" si="17"/>
        <v>16470</v>
      </c>
      <c r="X45" s="43">
        <f t="shared" si="17"/>
        <v>19050</v>
      </c>
      <c r="Y45" s="37"/>
      <c r="Z45" s="36">
        <f t="shared" si="12"/>
        <v>6580</v>
      </c>
      <c r="AA45" s="36">
        <f t="shared" si="12"/>
        <v>8010</v>
      </c>
      <c r="AB45" s="36">
        <f t="shared" si="12"/>
        <v>9150</v>
      </c>
      <c r="AC45" s="36">
        <f t="shared" si="12"/>
        <v>10580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6"/>
        <v>36599.899999999994</v>
      </c>
      <c r="K46" s="36">
        <f t="shared" si="7"/>
        <v>5050</v>
      </c>
      <c r="L46" s="36">
        <f t="shared" si="7"/>
        <v>6150</v>
      </c>
      <c r="M46" s="36">
        <f t="shared" si="7"/>
        <v>7025</v>
      </c>
      <c r="N46" s="36">
        <f t="shared" si="7"/>
        <v>8125</v>
      </c>
      <c r="O46" s="37"/>
      <c r="P46" s="42">
        <f t="shared" si="16"/>
        <v>10100</v>
      </c>
      <c r="Q46" s="36">
        <f t="shared" si="16"/>
        <v>12300</v>
      </c>
      <c r="R46" s="36">
        <f t="shared" si="16"/>
        <v>14055</v>
      </c>
      <c r="S46" s="43">
        <f t="shared" si="16"/>
        <v>16250</v>
      </c>
      <c r="T46" s="37"/>
      <c r="U46" s="42">
        <f t="shared" si="17"/>
        <v>15150</v>
      </c>
      <c r="V46" s="36">
        <f t="shared" si="17"/>
        <v>18450</v>
      </c>
      <c r="W46" s="36">
        <f t="shared" si="17"/>
        <v>21080</v>
      </c>
      <c r="X46" s="43">
        <f t="shared" si="17"/>
        <v>24380</v>
      </c>
      <c r="Y46" s="37"/>
      <c r="Z46" s="36">
        <f t="shared" si="12"/>
        <v>8420</v>
      </c>
      <c r="AA46" s="36">
        <f t="shared" si="12"/>
        <v>10250</v>
      </c>
      <c r="AB46" s="36">
        <f t="shared" si="12"/>
        <v>11710</v>
      </c>
      <c r="AC46" s="36">
        <f t="shared" si="12"/>
        <v>13540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6"/>
        <v>44599.899999999994</v>
      </c>
      <c r="K47" s="36">
        <f t="shared" si="7"/>
        <v>6155</v>
      </c>
      <c r="L47" s="36">
        <f t="shared" si="7"/>
        <v>7495</v>
      </c>
      <c r="M47" s="36">
        <f t="shared" si="7"/>
        <v>8565</v>
      </c>
      <c r="N47" s="36">
        <f t="shared" si="7"/>
        <v>9900</v>
      </c>
      <c r="O47" s="37"/>
      <c r="P47" s="42">
        <f t="shared" si="16"/>
        <v>12310</v>
      </c>
      <c r="Q47" s="36">
        <f t="shared" si="16"/>
        <v>14985</v>
      </c>
      <c r="R47" s="36">
        <f t="shared" si="16"/>
        <v>17125</v>
      </c>
      <c r="S47" s="43">
        <f t="shared" si="16"/>
        <v>19800</v>
      </c>
      <c r="T47" s="37"/>
      <c r="U47" s="42">
        <f t="shared" si="17"/>
        <v>18460</v>
      </c>
      <c r="V47" s="36">
        <f t="shared" si="17"/>
        <v>22480</v>
      </c>
      <c r="W47" s="36">
        <f t="shared" si="17"/>
        <v>25690</v>
      </c>
      <c r="X47" s="43">
        <f t="shared" si="17"/>
        <v>29700</v>
      </c>
      <c r="Y47" s="37"/>
      <c r="Z47" s="36">
        <f t="shared" si="12"/>
        <v>10260</v>
      </c>
      <c r="AA47" s="36">
        <f t="shared" si="12"/>
        <v>12490</v>
      </c>
      <c r="AB47" s="36">
        <f t="shared" si="12"/>
        <v>14270</v>
      </c>
      <c r="AC47" s="36">
        <f t="shared" si="12"/>
        <v>16500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6"/>
        <v>52599.899999999994</v>
      </c>
      <c r="K48" s="36">
        <f t="shared" si="7"/>
        <v>7260</v>
      </c>
      <c r="L48" s="36">
        <f t="shared" si="7"/>
        <v>8835</v>
      </c>
      <c r="M48" s="36">
        <f t="shared" si="7"/>
        <v>10100</v>
      </c>
      <c r="N48" s="36">
        <f t="shared" si="7"/>
        <v>11675</v>
      </c>
      <c r="O48" s="37"/>
      <c r="P48" s="42">
        <f t="shared" si="16"/>
        <v>14520</v>
      </c>
      <c r="Q48" s="36">
        <f t="shared" si="16"/>
        <v>17675</v>
      </c>
      <c r="R48" s="36">
        <f t="shared" si="16"/>
        <v>20200</v>
      </c>
      <c r="S48" s="43">
        <f t="shared" si="16"/>
        <v>23355</v>
      </c>
      <c r="T48" s="37"/>
      <c r="U48" s="42">
        <f t="shared" si="17"/>
        <v>21780</v>
      </c>
      <c r="V48" s="36">
        <f t="shared" si="17"/>
        <v>26510</v>
      </c>
      <c r="W48" s="36">
        <f t="shared" si="17"/>
        <v>30300</v>
      </c>
      <c r="X48" s="43">
        <f t="shared" si="17"/>
        <v>35030</v>
      </c>
      <c r="Y48" s="37"/>
      <c r="Z48" s="36">
        <f t="shared" si="12"/>
        <v>12100</v>
      </c>
      <c r="AA48" s="36">
        <f t="shared" si="12"/>
        <v>14730</v>
      </c>
      <c r="AB48" s="36">
        <f t="shared" si="12"/>
        <v>16830</v>
      </c>
      <c r="AC48" s="36">
        <f t="shared" si="12"/>
        <v>19460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6"/>
        <v>60599.899999999994</v>
      </c>
      <c r="K49" s="36">
        <f t="shared" si="7"/>
        <v>8365</v>
      </c>
      <c r="L49" s="36">
        <f t="shared" si="7"/>
        <v>10180</v>
      </c>
      <c r="M49" s="36">
        <f t="shared" si="7"/>
        <v>11635</v>
      </c>
      <c r="N49" s="36">
        <f t="shared" si="7"/>
        <v>13455</v>
      </c>
      <c r="O49" s="37"/>
      <c r="P49" s="42">
        <f t="shared" si="16"/>
        <v>16725</v>
      </c>
      <c r="Q49" s="36">
        <f t="shared" si="16"/>
        <v>20360</v>
      </c>
      <c r="R49" s="36">
        <f t="shared" si="16"/>
        <v>23270</v>
      </c>
      <c r="S49" s="43">
        <f t="shared" si="16"/>
        <v>26905</v>
      </c>
      <c r="T49" s="37"/>
      <c r="U49" s="42">
        <f t="shared" si="17"/>
        <v>25090</v>
      </c>
      <c r="V49" s="36">
        <f t="shared" si="17"/>
        <v>30540</v>
      </c>
      <c r="W49" s="36">
        <f t="shared" si="17"/>
        <v>34910</v>
      </c>
      <c r="X49" s="43">
        <f t="shared" si="17"/>
        <v>40360</v>
      </c>
      <c r="Y49" s="37"/>
      <c r="Z49" s="36">
        <f t="shared" si="12"/>
        <v>13940</v>
      </c>
      <c r="AA49" s="36">
        <f t="shared" si="12"/>
        <v>16970</v>
      </c>
      <c r="AB49" s="36">
        <f t="shared" si="12"/>
        <v>19390</v>
      </c>
      <c r="AC49" s="36">
        <f t="shared" si="12"/>
        <v>22420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6"/>
        <v>68599.899999999994</v>
      </c>
      <c r="K50" s="36">
        <f t="shared" si="7"/>
        <v>9465</v>
      </c>
      <c r="L50" s="36">
        <f t="shared" si="7"/>
        <v>11525</v>
      </c>
      <c r="M50" s="36">
        <f t="shared" si="7"/>
        <v>13170</v>
      </c>
      <c r="N50" s="36">
        <f t="shared" si="7"/>
        <v>15230</v>
      </c>
      <c r="O50" s="37"/>
      <c r="P50" s="42">
        <f t="shared" si="16"/>
        <v>18935</v>
      </c>
      <c r="Q50" s="36">
        <f t="shared" si="16"/>
        <v>23050</v>
      </c>
      <c r="R50" s="36">
        <f t="shared" si="16"/>
        <v>26340</v>
      </c>
      <c r="S50" s="43">
        <f t="shared" si="16"/>
        <v>30460</v>
      </c>
      <c r="T50" s="37"/>
      <c r="U50" s="42">
        <f t="shared" si="17"/>
        <v>28400</v>
      </c>
      <c r="V50" s="36">
        <f t="shared" si="17"/>
        <v>34570</v>
      </c>
      <c r="W50" s="36">
        <f t="shared" si="17"/>
        <v>39510</v>
      </c>
      <c r="X50" s="43">
        <f t="shared" si="17"/>
        <v>45690</v>
      </c>
      <c r="Y50" s="37"/>
      <c r="Z50" s="36">
        <f t="shared" si="12"/>
        <v>15780</v>
      </c>
      <c r="AA50" s="36">
        <f t="shared" si="12"/>
        <v>19210</v>
      </c>
      <c r="AB50" s="36">
        <f t="shared" si="12"/>
        <v>21950</v>
      </c>
      <c r="AC50" s="36">
        <f t="shared" si="12"/>
        <v>25380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6"/>
        <v>76599.899999999994</v>
      </c>
      <c r="K51" s="36">
        <f t="shared" si="7"/>
        <v>10570</v>
      </c>
      <c r="L51" s="36">
        <f t="shared" si="7"/>
        <v>12870</v>
      </c>
      <c r="M51" s="36">
        <f t="shared" si="7"/>
        <v>14705</v>
      </c>
      <c r="N51" s="36">
        <f t="shared" si="7"/>
        <v>17005</v>
      </c>
      <c r="O51" s="37"/>
      <c r="P51" s="42">
        <f t="shared" si="16"/>
        <v>21140</v>
      </c>
      <c r="Q51" s="36">
        <f t="shared" si="16"/>
        <v>25740</v>
      </c>
      <c r="R51" s="36">
        <f t="shared" si="16"/>
        <v>29415</v>
      </c>
      <c r="S51" s="43">
        <f t="shared" si="16"/>
        <v>34010</v>
      </c>
      <c r="T51" s="37"/>
      <c r="U51" s="42">
        <f t="shared" si="17"/>
        <v>31710</v>
      </c>
      <c r="V51" s="36">
        <f t="shared" si="17"/>
        <v>38610</v>
      </c>
      <c r="W51" s="36">
        <f t="shared" si="17"/>
        <v>44120</v>
      </c>
      <c r="X51" s="43">
        <f t="shared" si="17"/>
        <v>51020</v>
      </c>
      <c r="Y51" s="37"/>
      <c r="Z51" s="36">
        <f t="shared" si="12"/>
        <v>17620</v>
      </c>
      <c r="AA51" s="36">
        <f t="shared" si="12"/>
        <v>21450</v>
      </c>
      <c r="AB51" s="36">
        <f t="shared" si="12"/>
        <v>24510</v>
      </c>
      <c r="AC51" s="36">
        <f t="shared" si="12"/>
        <v>28340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6"/>
        <v>84599.9</v>
      </c>
      <c r="K52" s="36">
        <f t="shared" si="7"/>
        <v>11675</v>
      </c>
      <c r="L52" s="36">
        <f t="shared" si="7"/>
        <v>14215</v>
      </c>
      <c r="M52" s="36">
        <f t="shared" si="7"/>
        <v>16245</v>
      </c>
      <c r="N52" s="36">
        <f t="shared" si="7"/>
        <v>18780</v>
      </c>
      <c r="O52" s="37"/>
      <c r="P52" s="44">
        <f t="shared" si="16"/>
        <v>23350</v>
      </c>
      <c r="Q52" s="45">
        <f t="shared" si="16"/>
        <v>28425</v>
      </c>
      <c r="R52" s="45">
        <f t="shared" si="16"/>
        <v>32485</v>
      </c>
      <c r="S52" s="46">
        <f t="shared" si="16"/>
        <v>37560</v>
      </c>
      <c r="T52" s="37"/>
      <c r="U52" s="44">
        <f t="shared" si="17"/>
        <v>35020</v>
      </c>
      <c r="V52" s="45">
        <f t="shared" si="17"/>
        <v>42640</v>
      </c>
      <c r="W52" s="45">
        <f t="shared" si="17"/>
        <v>48730</v>
      </c>
      <c r="X52" s="46">
        <f t="shared" si="17"/>
        <v>56340</v>
      </c>
      <c r="Y52" s="37"/>
      <c r="Z52" s="36">
        <f t="shared" si="12"/>
        <v>19460</v>
      </c>
      <c r="AA52" s="36">
        <f t="shared" si="12"/>
        <v>23690</v>
      </c>
      <c r="AB52" s="36">
        <f t="shared" si="12"/>
        <v>27070</v>
      </c>
      <c r="AC52" s="36">
        <f t="shared" si="12"/>
        <v>31300</v>
      </c>
      <c r="AD52" s="34"/>
    </row>
    <row r="53" spans="1:30" ht="15.75" thickTop="1" x14ac:dyDescent="0.25"/>
  </sheetData>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tabColor rgb="FFFF0000"/>
  </sheetPr>
  <dimension ref="A1:AH53"/>
  <sheetViews>
    <sheetView zoomScale="70" zoomScaleNormal="70" workbookViewId="0">
      <selection activeCell="N41" activeCellId="1" sqref="J31 N41"/>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0.31</v>
      </c>
      <c r="C4" s="31">
        <v>0.38</v>
      </c>
      <c r="D4" s="31">
        <v>0.44</v>
      </c>
      <c r="E4" s="31">
        <v>0.5</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0.31</v>
      </c>
      <c r="L18" s="20">
        <f>$C$4</f>
        <v>0.38</v>
      </c>
      <c r="M18" s="20">
        <f>$D$4</f>
        <v>0.44</v>
      </c>
      <c r="N18" s="20">
        <f>$E$4</f>
        <v>0.5</v>
      </c>
      <c r="O18" s="20"/>
      <c r="P18" s="20">
        <f>$B$4</f>
        <v>0.31</v>
      </c>
      <c r="Q18" s="20">
        <f>$C$4</f>
        <v>0.38</v>
      </c>
      <c r="R18" s="20">
        <f>$D$4</f>
        <v>0.44</v>
      </c>
      <c r="S18" s="20">
        <f>$E$4</f>
        <v>0.5</v>
      </c>
      <c r="T18" s="20"/>
      <c r="U18" s="20">
        <f>$B$4</f>
        <v>0.31</v>
      </c>
      <c r="V18" s="20">
        <f>$C$4</f>
        <v>0.38</v>
      </c>
      <c r="W18" s="20">
        <f>$D$4</f>
        <v>0.44</v>
      </c>
      <c r="X18" s="20">
        <f>$E$4</f>
        <v>0.5</v>
      </c>
      <c r="Y18" s="20"/>
      <c r="Z18" s="20">
        <f>$B$4</f>
        <v>0.31</v>
      </c>
      <c r="AA18" s="20">
        <f>$C$4</f>
        <v>0.38</v>
      </c>
      <c r="AB18" s="20">
        <f>$D$4</f>
        <v>0.44</v>
      </c>
      <c r="AC18" s="20">
        <f>$E$4</f>
        <v>0.5</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36"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95</v>
      </c>
      <c r="L23" s="36">
        <f t="shared" si="7"/>
        <v>115</v>
      </c>
      <c r="M23" s="36">
        <f t="shared" si="7"/>
        <v>130</v>
      </c>
      <c r="N23" s="36">
        <f t="shared" si="7"/>
        <v>150</v>
      </c>
      <c r="O23" s="37"/>
      <c r="P23" s="39">
        <f t="shared" si="8"/>
        <v>185</v>
      </c>
      <c r="Q23" s="40">
        <f t="shared" si="8"/>
        <v>230</v>
      </c>
      <c r="R23" s="40">
        <f t="shared" si="8"/>
        <v>265</v>
      </c>
      <c r="S23" s="41">
        <f t="shared" si="8"/>
        <v>300</v>
      </c>
      <c r="T23" s="37"/>
      <c r="U23" s="39">
        <f t="shared" si="9"/>
        <v>280</v>
      </c>
      <c r="V23" s="40">
        <f t="shared" si="9"/>
        <v>340</v>
      </c>
      <c r="W23" s="40">
        <f t="shared" si="9"/>
        <v>400</v>
      </c>
      <c r="X23" s="41">
        <f t="shared" si="9"/>
        <v>450</v>
      </c>
      <c r="Y23" s="37"/>
      <c r="Z23" s="36">
        <f>ROUND(($J23*Z$18)/10,0)*10</f>
        <v>150</v>
      </c>
      <c r="AA23" s="36">
        <f t="shared" si="4"/>
        <v>190</v>
      </c>
      <c r="AB23" s="36">
        <f t="shared" si="4"/>
        <v>220</v>
      </c>
      <c r="AC23" s="36">
        <f t="shared" si="4"/>
        <v>250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115</v>
      </c>
      <c r="L24" s="36">
        <f t="shared" si="7"/>
        <v>140</v>
      </c>
      <c r="M24" s="36">
        <f t="shared" si="7"/>
        <v>165</v>
      </c>
      <c r="N24" s="36">
        <f t="shared" si="7"/>
        <v>185</v>
      </c>
      <c r="O24" s="37"/>
      <c r="P24" s="42">
        <f t="shared" si="8"/>
        <v>230</v>
      </c>
      <c r="Q24" s="36">
        <f t="shared" si="8"/>
        <v>285</v>
      </c>
      <c r="R24" s="36">
        <f t="shared" si="8"/>
        <v>330</v>
      </c>
      <c r="S24" s="43">
        <f t="shared" si="8"/>
        <v>375</v>
      </c>
      <c r="T24" s="37"/>
      <c r="U24" s="42">
        <f t="shared" si="9"/>
        <v>350</v>
      </c>
      <c r="V24" s="36">
        <f t="shared" si="9"/>
        <v>430</v>
      </c>
      <c r="W24" s="36">
        <f t="shared" si="9"/>
        <v>490</v>
      </c>
      <c r="X24" s="43">
        <f t="shared" si="9"/>
        <v>560</v>
      </c>
      <c r="Y24" s="37"/>
      <c r="Z24" s="36">
        <f t="shared" ref="Z24:AC52" si="12">ROUND(($J24*Z$18)/10,0)*10</f>
        <v>190</v>
      </c>
      <c r="AA24" s="36">
        <f t="shared" si="4"/>
        <v>240</v>
      </c>
      <c r="AB24" s="36">
        <f t="shared" si="4"/>
        <v>270</v>
      </c>
      <c r="AC24" s="36">
        <f t="shared" si="4"/>
        <v>310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125</v>
      </c>
      <c r="L25" s="36">
        <f t="shared" si="7"/>
        <v>155</v>
      </c>
      <c r="M25" s="36">
        <f t="shared" si="7"/>
        <v>180</v>
      </c>
      <c r="N25" s="36">
        <f t="shared" si="7"/>
        <v>200</v>
      </c>
      <c r="O25" s="37"/>
      <c r="P25" s="42">
        <f t="shared" si="8"/>
        <v>250</v>
      </c>
      <c r="Q25" s="36">
        <f t="shared" si="8"/>
        <v>310</v>
      </c>
      <c r="R25" s="36">
        <f t="shared" si="8"/>
        <v>355</v>
      </c>
      <c r="S25" s="43">
        <f t="shared" si="8"/>
        <v>405</v>
      </c>
      <c r="T25" s="37"/>
      <c r="U25" s="42">
        <f t="shared" si="9"/>
        <v>380</v>
      </c>
      <c r="V25" s="36">
        <f t="shared" si="9"/>
        <v>460</v>
      </c>
      <c r="W25" s="36">
        <f t="shared" si="9"/>
        <v>530</v>
      </c>
      <c r="X25" s="43">
        <f t="shared" si="9"/>
        <v>610</v>
      </c>
      <c r="Y25" s="37"/>
      <c r="Z25" s="36">
        <f t="shared" si="12"/>
        <v>210</v>
      </c>
      <c r="AA25" s="36">
        <f t="shared" si="4"/>
        <v>260</v>
      </c>
      <c r="AB25" s="36">
        <f t="shared" si="4"/>
        <v>300</v>
      </c>
      <c r="AC25" s="36">
        <f t="shared" si="4"/>
        <v>340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135</v>
      </c>
      <c r="L26" s="36">
        <f t="shared" si="7"/>
        <v>165</v>
      </c>
      <c r="M26" s="36">
        <f t="shared" si="7"/>
        <v>190</v>
      </c>
      <c r="N26" s="36">
        <f t="shared" si="7"/>
        <v>215</v>
      </c>
      <c r="O26" s="37"/>
      <c r="P26" s="42">
        <f t="shared" si="8"/>
        <v>270</v>
      </c>
      <c r="Q26" s="36">
        <f t="shared" si="8"/>
        <v>330</v>
      </c>
      <c r="R26" s="36">
        <f t="shared" si="8"/>
        <v>385</v>
      </c>
      <c r="S26" s="43">
        <f t="shared" si="8"/>
        <v>435</v>
      </c>
      <c r="T26" s="37"/>
      <c r="U26" s="42">
        <f t="shared" si="9"/>
        <v>400</v>
      </c>
      <c r="V26" s="36">
        <f t="shared" si="9"/>
        <v>500</v>
      </c>
      <c r="W26" s="36">
        <f t="shared" si="9"/>
        <v>570</v>
      </c>
      <c r="X26" s="43">
        <f t="shared" si="9"/>
        <v>650</v>
      </c>
      <c r="Y26" s="37"/>
      <c r="Z26" s="36">
        <f t="shared" si="12"/>
        <v>220</v>
      </c>
      <c r="AA26" s="36">
        <f t="shared" si="4"/>
        <v>280</v>
      </c>
      <c r="AB26" s="36">
        <f t="shared" si="4"/>
        <v>320</v>
      </c>
      <c r="AC26" s="36">
        <f t="shared" si="4"/>
        <v>360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145</v>
      </c>
      <c r="L27" s="36">
        <f t="shared" si="7"/>
        <v>175</v>
      </c>
      <c r="M27" s="36">
        <f t="shared" si="7"/>
        <v>205</v>
      </c>
      <c r="N27" s="36">
        <f t="shared" si="7"/>
        <v>230</v>
      </c>
      <c r="O27" s="37"/>
      <c r="P27" s="42">
        <f t="shared" si="8"/>
        <v>290</v>
      </c>
      <c r="Q27" s="36">
        <f t="shared" si="8"/>
        <v>355</v>
      </c>
      <c r="R27" s="36">
        <f t="shared" si="8"/>
        <v>410</v>
      </c>
      <c r="S27" s="43">
        <f t="shared" si="8"/>
        <v>465</v>
      </c>
      <c r="T27" s="37"/>
      <c r="U27" s="42">
        <f t="shared" si="9"/>
        <v>430</v>
      </c>
      <c r="V27" s="36">
        <f t="shared" si="9"/>
        <v>530</v>
      </c>
      <c r="W27" s="36">
        <f t="shared" si="9"/>
        <v>610</v>
      </c>
      <c r="X27" s="43">
        <f t="shared" si="9"/>
        <v>700</v>
      </c>
      <c r="Y27" s="37"/>
      <c r="Z27" s="36">
        <f t="shared" si="12"/>
        <v>240</v>
      </c>
      <c r="AA27" s="36">
        <f t="shared" si="4"/>
        <v>290</v>
      </c>
      <c r="AB27" s="36">
        <f t="shared" si="4"/>
        <v>340</v>
      </c>
      <c r="AC27" s="36">
        <f t="shared" si="4"/>
        <v>390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155</v>
      </c>
      <c r="L28" s="36">
        <f t="shared" si="7"/>
        <v>190</v>
      </c>
      <c r="M28" s="36">
        <f t="shared" si="7"/>
        <v>220</v>
      </c>
      <c r="N28" s="36">
        <f t="shared" si="7"/>
        <v>245</v>
      </c>
      <c r="O28" s="37"/>
      <c r="P28" s="42">
        <f t="shared" si="8"/>
        <v>305</v>
      </c>
      <c r="Q28" s="36">
        <f t="shared" si="8"/>
        <v>375</v>
      </c>
      <c r="R28" s="36">
        <f t="shared" si="8"/>
        <v>435</v>
      </c>
      <c r="S28" s="43">
        <f t="shared" si="8"/>
        <v>495</v>
      </c>
      <c r="T28" s="37"/>
      <c r="U28" s="42">
        <f t="shared" si="9"/>
        <v>460</v>
      </c>
      <c r="V28" s="36">
        <f t="shared" si="9"/>
        <v>560</v>
      </c>
      <c r="W28" s="36">
        <f t="shared" si="9"/>
        <v>650</v>
      </c>
      <c r="X28" s="43">
        <f t="shared" si="9"/>
        <v>740</v>
      </c>
      <c r="Y28" s="37"/>
      <c r="Z28" s="36">
        <f t="shared" si="12"/>
        <v>260</v>
      </c>
      <c r="AA28" s="36">
        <f t="shared" si="4"/>
        <v>310</v>
      </c>
      <c r="AB28" s="36">
        <f t="shared" si="4"/>
        <v>360</v>
      </c>
      <c r="AC28" s="36">
        <f t="shared" si="4"/>
        <v>410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165</v>
      </c>
      <c r="L29" s="36">
        <f t="shared" si="7"/>
        <v>200</v>
      </c>
      <c r="M29" s="36">
        <f t="shared" si="7"/>
        <v>230</v>
      </c>
      <c r="N29" s="36">
        <f t="shared" si="7"/>
        <v>260</v>
      </c>
      <c r="O29" s="37"/>
      <c r="P29" s="42">
        <f t="shared" si="8"/>
        <v>325</v>
      </c>
      <c r="Q29" s="36">
        <f t="shared" si="8"/>
        <v>400</v>
      </c>
      <c r="R29" s="36">
        <f t="shared" si="8"/>
        <v>460</v>
      </c>
      <c r="S29" s="43">
        <f t="shared" si="8"/>
        <v>525</v>
      </c>
      <c r="T29" s="37"/>
      <c r="U29" s="42">
        <f t="shared" si="9"/>
        <v>490</v>
      </c>
      <c r="V29" s="36">
        <f t="shared" si="9"/>
        <v>600</v>
      </c>
      <c r="W29" s="36">
        <f t="shared" si="9"/>
        <v>690</v>
      </c>
      <c r="X29" s="43">
        <f t="shared" si="9"/>
        <v>790</v>
      </c>
      <c r="Y29" s="37"/>
      <c r="Z29" s="36">
        <f t="shared" si="12"/>
        <v>270</v>
      </c>
      <c r="AA29" s="36">
        <f t="shared" si="4"/>
        <v>330</v>
      </c>
      <c r="AB29" s="36">
        <f t="shared" si="4"/>
        <v>380</v>
      </c>
      <c r="AC29" s="36">
        <f t="shared" si="4"/>
        <v>440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170</v>
      </c>
      <c r="L30" s="36">
        <f t="shared" si="7"/>
        <v>210</v>
      </c>
      <c r="M30" s="36">
        <f t="shared" si="7"/>
        <v>245</v>
      </c>
      <c r="N30" s="36">
        <f t="shared" si="7"/>
        <v>275</v>
      </c>
      <c r="O30" s="37"/>
      <c r="P30" s="42">
        <f t="shared" si="8"/>
        <v>345</v>
      </c>
      <c r="Q30" s="36">
        <f t="shared" si="8"/>
        <v>420</v>
      </c>
      <c r="R30" s="36">
        <f t="shared" si="8"/>
        <v>490</v>
      </c>
      <c r="S30" s="43">
        <f t="shared" si="8"/>
        <v>555</v>
      </c>
      <c r="T30" s="37"/>
      <c r="U30" s="42">
        <f t="shared" si="9"/>
        <v>520</v>
      </c>
      <c r="V30" s="36">
        <f t="shared" si="9"/>
        <v>630</v>
      </c>
      <c r="W30" s="36">
        <f t="shared" si="9"/>
        <v>730</v>
      </c>
      <c r="X30" s="43">
        <f t="shared" si="9"/>
        <v>830</v>
      </c>
      <c r="Y30" s="37"/>
      <c r="Z30" s="36">
        <f t="shared" si="12"/>
        <v>290</v>
      </c>
      <c r="AA30" s="36">
        <f t="shared" si="4"/>
        <v>350</v>
      </c>
      <c r="AB30" s="36">
        <f t="shared" si="4"/>
        <v>410</v>
      </c>
      <c r="AC30" s="36">
        <f t="shared" si="4"/>
        <v>460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190</v>
      </c>
      <c r="L31" s="36">
        <f t="shared" si="7"/>
        <v>235</v>
      </c>
      <c r="M31" s="36">
        <f t="shared" si="7"/>
        <v>270</v>
      </c>
      <c r="N31" s="36">
        <f t="shared" si="7"/>
        <v>305</v>
      </c>
      <c r="O31" s="37"/>
      <c r="P31" s="42">
        <f t="shared" si="8"/>
        <v>380</v>
      </c>
      <c r="Q31" s="36">
        <f t="shared" si="8"/>
        <v>465</v>
      </c>
      <c r="R31" s="36">
        <f t="shared" si="8"/>
        <v>540</v>
      </c>
      <c r="S31" s="43">
        <f t="shared" si="8"/>
        <v>615</v>
      </c>
      <c r="T31" s="37"/>
      <c r="U31" s="42">
        <f t="shared" si="9"/>
        <v>570</v>
      </c>
      <c r="V31" s="36">
        <f t="shared" si="9"/>
        <v>700</v>
      </c>
      <c r="W31" s="36">
        <f t="shared" si="9"/>
        <v>810</v>
      </c>
      <c r="X31" s="43">
        <f t="shared" si="9"/>
        <v>920</v>
      </c>
      <c r="Y31" s="37"/>
      <c r="Z31" s="36">
        <f t="shared" si="12"/>
        <v>320</v>
      </c>
      <c r="AA31" s="36">
        <f t="shared" si="4"/>
        <v>390</v>
      </c>
      <c r="AB31" s="36">
        <f t="shared" si="4"/>
        <v>450</v>
      </c>
      <c r="AC31" s="36">
        <f t="shared" si="4"/>
        <v>510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215</v>
      </c>
      <c r="L32" s="36">
        <f t="shared" si="7"/>
        <v>260</v>
      </c>
      <c r="M32" s="36">
        <f t="shared" si="7"/>
        <v>305</v>
      </c>
      <c r="N32" s="36">
        <f t="shared" si="7"/>
        <v>345</v>
      </c>
      <c r="O32" s="37"/>
      <c r="P32" s="42">
        <f t="shared" si="8"/>
        <v>430</v>
      </c>
      <c r="Q32" s="36">
        <f t="shared" si="8"/>
        <v>525</v>
      </c>
      <c r="R32" s="36">
        <f t="shared" si="8"/>
        <v>605</v>
      </c>
      <c r="S32" s="43">
        <f t="shared" si="8"/>
        <v>690</v>
      </c>
      <c r="T32" s="37"/>
      <c r="U32" s="42">
        <f t="shared" si="9"/>
        <v>640</v>
      </c>
      <c r="V32" s="36">
        <f t="shared" si="9"/>
        <v>790</v>
      </c>
      <c r="W32" s="36">
        <f t="shared" si="9"/>
        <v>910</v>
      </c>
      <c r="X32" s="43">
        <f t="shared" si="9"/>
        <v>1030</v>
      </c>
      <c r="Y32" s="37"/>
      <c r="Z32" s="36">
        <f t="shared" si="12"/>
        <v>360</v>
      </c>
      <c r="AA32" s="36">
        <f t="shared" si="4"/>
        <v>440</v>
      </c>
      <c r="AB32" s="36">
        <f t="shared" si="4"/>
        <v>510</v>
      </c>
      <c r="AC32" s="36">
        <f t="shared" si="4"/>
        <v>570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240</v>
      </c>
      <c r="L33" s="36">
        <f t="shared" si="7"/>
        <v>295</v>
      </c>
      <c r="M33" s="36">
        <f t="shared" si="7"/>
        <v>345</v>
      </c>
      <c r="N33" s="36">
        <f t="shared" si="7"/>
        <v>390</v>
      </c>
      <c r="O33" s="37"/>
      <c r="P33" s="42">
        <f t="shared" si="8"/>
        <v>485</v>
      </c>
      <c r="Q33" s="36">
        <f t="shared" si="8"/>
        <v>595</v>
      </c>
      <c r="R33" s="36">
        <f t="shared" si="8"/>
        <v>685</v>
      </c>
      <c r="S33" s="43">
        <f t="shared" si="8"/>
        <v>780</v>
      </c>
      <c r="T33" s="37"/>
      <c r="U33" s="42">
        <f t="shared" si="9"/>
        <v>730</v>
      </c>
      <c r="V33" s="36">
        <f t="shared" si="9"/>
        <v>890</v>
      </c>
      <c r="W33" s="36">
        <f t="shared" si="9"/>
        <v>1030</v>
      </c>
      <c r="X33" s="43">
        <f t="shared" si="9"/>
        <v>1170</v>
      </c>
      <c r="Y33" s="37"/>
      <c r="Z33" s="36">
        <f t="shared" si="12"/>
        <v>400</v>
      </c>
      <c r="AA33" s="36">
        <f t="shared" si="4"/>
        <v>490</v>
      </c>
      <c r="AB33" s="36">
        <f t="shared" si="4"/>
        <v>570</v>
      </c>
      <c r="AC33" s="36">
        <f t="shared" si="4"/>
        <v>650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280</v>
      </c>
      <c r="L34" s="36">
        <f t="shared" si="7"/>
        <v>340</v>
      </c>
      <c r="M34" s="36">
        <f t="shared" si="7"/>
        <v>395</v>
      </c>
      <c r="N34" s="36">
        <f t="shared" si="7"/>
        <v>450</v>
      </c>
      <c r="O34" s="37"/>
      <c r="P34" s="42">
        <f t="shared" si="8"/>
        <v>560</v>
      </c>
      <c r="Q34" s="36">
        <f t="shared" si="8"/>
        <v>685</v>
      </c>
      <c r="R34" s="36">
        <f t="shared" si="8"/>
        <v>790</v>
      </c>
      <c r="S34" s="43">
        <f t="shared" si="8"/>
        <v>900</v>
      </c>
      <c r="T34" s="37"/>
      <c r="U34" s="42">
        <f t="shared" si="9"/>
        <v>840</v>
      </c>
      <c r="V34" s="36">
        <f t="shared" si="9"/>
        <v>1030</v>
      </c>
      <c r="W34" s="36">
        <f t="shared" si="9"/>
        <v>1190</v>
      </c>
      <c r="X34" s="43">
        <f t="shared" si="9"/>
        <v>1350</v>
      </c>
      <c r="Y34" s="37"/>
      <c r="Z34" s="36">
        <f t="shared" si="12"/>
        <v>460</v>
      </c>
      <c r="AA34" s="36">
        <f t="shared" si="4"/>
        <v>570</v>
      </c>
      <c r="AB34" s="36">
        <f t="shared" si="4"/>
        <v>660</v>
      </c>
      <c r="AC34" s="36">
        <f t="shared" si="4"/>
        <v>750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390</v>
      </c>
      <c r="L35" s="36">
        <f t="shared" si="7"/>
        <v>480</v>
      </c>
      <c r="M35" s="36">
        <f t="shared" si="7"/>
        <v>555</v>
      </c>
      <c r="N35" s="36">
        <f t="shared" si="7"/>
        <v>630</v>
      </c>
      <c r="O35" s="37"/>
      <c r="P35" s="42">
        <f t="shared" si="8"/>
        <v>780</v>
      </c>
      <c r="Q35" s="36">
        <f t="shared" si="8"/>
        <v>960</v>
      </c>
      <c r="R35" s="36">
        <f t="shared" si="8"/>
        <v>1110</v>
      </c>
      <c r="S35" s="43">
        <f t="shared" si="8"/>
        <v>1260</v>
      </c>
      <c r="T35" s="37"/>
      <c r="U35" s="42">
        <f t="shared" si="9"/>
        <v>1170</v>
      </c>
      <c r="V35" s="36">
        <f t="shared" si="9"/>
        <v>1440</v>
      </c>
      <c r="W35" s="36">
        <f t="shared" si="9"/>
        <v>1660</v>
      </c>
      <c r="X35" s="43">
        <f t="shared" si="9"/>
        <v>1890</v>
      </c>
      <c r="Y35" s="37"/>
      <c r="Z35" s="36">
        <f t="shared" si="12"/>
        <v>650</v>
      </c>
      <c r="AA35" s="36">
        <f t="shared" si="4"/>
        <v>800</v>
      </c>
      <c r="AB35" s="36">
        <f t="shared" si="4"/>
        <v>920</v>
      </c>
      <c r="AC35" s="36">
        <f t="shared" si="4"/>
        <v>1050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625</v>
      </c>
      <c r="L36" s="36">
        <f t="shared" si="7"/>
        <v>765</v>
      </c>
      <c r="M36" s="36">
        <f t="shared" si="7"/>
        <v>885</v>
      </c>
      <c r="N36" s="36">
        <f t="shared" si="7"/>
        <v>1005</v>
      </c>
      <c r="O36" s="37"/>
      <c r="P36" s="42">
        <f t="shared" si="8"/>
        <v>1245</v>
      </c>
      <c r="Q36" s="36">
        <f t="shared" si="8"/>
        <v>1530</v>
      </c>
      <c r="R36" s="36">
        <f t="shared" si="8"/>
        <v>1770</v>
      </c>
      <c r="S36" s="43">
        <f t="shared" si="8"/>
        <v>2010</v>
      </c>
      <c r="T36" s="37"/>
      <c r="U36" s="42">
        <f t="shared" si="9"/>
        <v>1870</v>
      </c>
      <c r="V36" s="36">
        <f t="shared" si="9"/>
        <v>2290</v>
      </c>
      <c r="W36" s="36">
        <f t="shared" si="9"/>
        <v>2650</v>
      </c>
      <c r="X36" s="43">
        <f t="shared" si="9"/>
        <v>3010</v>
      </c>
      <c r="Y36" s="37"/>
      <c r="Z36" s="36">
        <f t="shared" si="12"/>
        <v>1040</v>
      </c>
      <c r="AA36" s="36">
        <f t="shared" si="4"/>
        <v>1270</v>
      </c>
      <c r="AB36" s="36">
        <f t="shared" si="4"/>
        <v>1470</v>
      </c>
      <c r="AC36" s="36">
        <f t="shared" si="4"/>
        <v>1670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900</v>
      </c>
      <c r="L37" s="36">
        <f t="shared" si="7"/>
        <v>1105</v>
      </c>
      <c r="M37" s="36">
        <f t="shared" si="7"/>
        <v>1280</v>
      </c>
      <c r="N37" s="36">
        <f t="shared" si="7"/>
        <v>1455</v>
      </c>
      <c r="O37" s="37"/>
      <c r="P37" s="42">
        <f t="shared" si="8"/>
        <v>1805</v>
      </c>
      <c r="Q37" s="36">
        <f t="shared" si="8"/>
        <v>2210</v>
      </c>
      <c r="R37" s="36">
        <f t="shared" si="8"/>
        <v>2560</v>
      </c>
      <c r="S37" s="43">
        <f t="shared" si="8"/>
        <v>2910</v>
      </c>
      <c r="T37" s="37"/>
      <c r="U37" s="42">
        <f t="shared" si="9"/>
        <v>2710</v>
      </c>
      <c r="V37" s="36">
        <f t="shared" si="9"/>
        <v>3320</v>
      </c>
      <c r="W37" s="36">
        <f t="shared" si="9"/>
        <v>3840</v>
      </c>
      <c r="X37" s="43">
        <f t="shared" si="9"/>
        <v>4360</v>
      </c>
      <c r="Y37" s="37"/>
      <c r="Z37" s="36">
        <f t="shared" si="12"/>
        <v>1500</v>
      </c>
      <c r="AA37" s="36">
        <f t="shared" si="12"/>
        <v>1840</v>
      </c>
      <c r="AB37" s="36">
        <f t="shared" si="12"/>
        <v>2130</v>
      </c>
      <c r="AC37" s="36">
        <f t="shared" si="12"/>
        <v>2420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1135</v>
      </c>
      <c r="L38" s="36">
        <f t="shared" si="7"/>
        <v>1390</v>
      </c>
      <c r="M38" s="36">
        <f t="shared" si="7"/>
        <v>1610</v>
      </c>
      <c r="N38" s="36">
        <f t="shared" si="7"/>
        <v>1830</v>
      </c>
      <c r="O38" s="37"/>
      <c r="P38" s="42">
        <f t="shared" si="8"/>
        <v>2270</v>
      </c>
      <c r="Q38" s="36">
        <f t="shared" si="8"/>
        <v>2780</v>
      </c>
      <c r="R38" s="36">
        <f t="shared" si="8"/>
        <v>3220</v>
      </c>
      <c r="S38" s="43">
        <f t="shared" si="8"/>
        <v>3660</v>
      </c>
      <c r="T38" s="37"/>
      <c r="U38" s="42">
        <f t="shared" si="9"/>
        <v>3400</v>
      </c>
      <c r="V38" s="36">
        <f t="shared" si="9"/>
        <v>4170</v>
      </c>
      <c r="W38" s="36">
        <f t="shared" si="9"/>
        <v>4830</v>
      </c>
      <c r="X38" s="43">
        <f t="shared" si="9"/>
        <v>5490</v>
      </c>
      <c r="Y38" s="37"/>
      <c r="Z38" s="36">
        <f t="shared" si="12"/>
        <v>1890</v>
      </c>
      <c r="AA38" s="36">
        <f t="shared" si="12"/>
        <v>2320</v>
      </c>
      <c r="AB38" s="36">
        <f t="shared" si="12"/>
        <v>2680</v>
      </c>
      <c r="AC38" s="36">
        <f t="shared" si="12"/>
        <v>3050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6"/>
        <v>7099.9</v>
      </c>
      <c r="K39" s="36">
        <f t="shared" si="7"/>
        <v>1320</v>
      </c>
      <c r="L39" s="36">
        <f t="shared" si="7"/>
        <v>1620</v>
      </c>
      <c r="M39" s="36">
        <f t="shared" si="7"/>
        <v>1875</v>
      </c>
      <c r="N39" s="36">
        <f t="shared" si="7"/>
        <v>2130</v>
      </c>
      <c r="O39" s="37"/>
      <c r="P39" s="42">
        <f t="shared" ref="P39:S52" si="16">ROUND(($G39*P$18)/5,0)*5</f>
        <v>2640</v>
      </c>
      <c r="Q39" s="36">
        <f t="shared" si="16"/>
        <v>3240</v>
      </c>
      <c r="R39" s="36">
        <f t="shared" si="16"/>
        <v>3750</v>
      </c>
      <c r="S39" s="43">
        <f t="shared" si="16"/>
        <v>4260</v>
      </c>
      <c r="T39" s="37"/>
      <c r="U39" s="166">
        <f t="shared" ref="U39:X52" si="17">ROUND(($H39*U$18)/10,0)*10</f>
        <v>3960</v>
      </c>
      <c r="V39" s="167">
        <f t="shared" si="17"/>
        <v>4860</v>
      </c>
      <c r="W39" s="167">
        <f t="shared" si="17"/>
        <v>5620</v>
      </c>
      <c r="X39" s="168">
        <f t="shared" si="17"/>
        <v>6390</v>
      </c>
      <c r="Y39" s="37"/>
      <c r="Z39" s="36">
        <f t="shared" si="12"/>
        <v>2200</v>
      </c>
      <c r="AA39" s="36">
        <f t="shared" si="12"/>
        <v>2700</v>
      </c>
      <c r="AB39" s="36">
        <f t="shared" si="12"/>
        <v>3120</v>
      </c>
      <c r="AC39" s="36">
        <f t="shared" si="12"/>
        <v>3550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6"/>
        <v>8599.9</v>
      </c>
      <c r="K40" s="36">
        <f t="shared" si="7"/>
        <v>1600</v>
      </c>
      <c r="L40" s="36">
        <f t="shared" si="7"/>
        <v>1960</v>
      </c>
      <c r="M40" s="36">
        <f t="shared" si="7"/>
        <v>2270</v>
      </c>
      <c r="N40" s="36">
        <f t="shared" si="7"/>
        <v>2580</v>
      </c>
      <c r="O40" s="37"/>
      <c r="P40" s="42">
        <f t="shared" si="16"/>
        <v>3200</v>
      </c>
      <c r="Q40" s="36">
        <f t="shared" si="16"/>
        <v>3920</v>
      </c>
      <c r="R40" s="36">
        <f t="shared" si="16"/>
        <v>4540</v>
      </c>
      <c r="S40" s="43">
        <f t="shared" si="16"/>
        <v>5160</v>
      </c>
      <c r="T40" s="37"/>
      <c r="U40" s="42">
        <f t="shared" si="17"/>
        <v>4800</v>
      </c>
      <c r="V40" s="36">
        <f t="shared" si="17"/>
        <v>5880</v>
      </c>
      <c r="W40" s="36">
        <f t="shared" si="17"/>
        <v>6810</v>
      </c>
      <c r="X40" s="43">
        <f t="shared" si="17"/>
        <v>7740</v>
      </c>
      <c r="Y40" s="37"/>
      <c r="Z40" s="36">
        <f t="shared" si="12"/>
        <v>2670</v>
      </c>
      <c r="AA40" s="36">
        <f t="shared" si="12"/>
        <v>3270</v>
      </c>
      <c r="AB40" s="36">
        <f t="shared" si="12"/>
        <v>3780</v>
      </c>
      <c r="AC40" s="36">
        <f t="shared" si="12"/>
        <v>4300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6"/>
        <v>10599.9</v>
      </c>
      <c r="K41" s="36">
        <f t="shared" si="7"/>
        <v>1970</v>
      </c>
      <c r="L41" s="36">
        <f t="shared" si="7"/>
        <v>2415</v>
      </c>
      <c r="M41" s="36">
        <f t="shared" si="7"/>
        <v>2800</v>
      </c>
      <c r="N41" s="36">
        <f t="shared" si="7"/>
        <v>3180</v>
      </c>
      <c r="O41" s="37"/>
      <c r="P41" s="42">
        <f t="shared" si="16"/>
        <v>3945</v>
      </c>
      <c r="Q41" s="36">
        <f t="shared" si="16"/>
        <v>4835</v>
      </c>
      <c r="R41" s="36">
        <f t="shared" si="16"/>
        <v>5595</v>
      </c>
      <c r="S41" s="43">
        <f t="shared" si="16"/>
        <v>6360</v>
      </c>
      <c r="T41" s="37"/>
      <c r="U41" s="42">
        <f t="shared" si="17"/>
        <v>5910</v>
      </c>
      <c r="V41" s="36">
        <f t="shared" si="17"/>
        <v>7250</v>
      </c>
      <c r="W41" s="36">
        <f t="shared" si="17"/>
        <v>8400</v>
      </c>
      <c r="X41" s="43">
        <f t="shared" si="17"/>
        <v>9540</v>
      </c>
      <c r="Y41" s="37"/>
      <c r="Z41" s="36">
        <f t="shared" si="12"/>
        <v>3290</v>
      </c>
      <c r="AA41" s="36">
        <f t="shared" si="12"/>
        <v>4030</v>
      </c>
      <c r="AB41" s="36">
        <f t="shared" si="12"/>
        <v>4660</v>
      </c>
      <c r="AC41" s="36">
        <f t="shared" si="12"/>
        <v>5300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6"/>
        <v>13599.9</v>
      </c>
      <c r="K42" s="36">
        <f t="shared" si="7"/>
        <v>2530</v>
      </c>
      <c r="L42" s="36">
        <f t="shared" si="7"/>
        <v>3100</v>
      </c>
      <c r="M42" s="36">
        <f t="shared" si="7"/>
        <v>3590</v>
      </c>
      <c r="N42" s="36">
        <f t="shared" si="7"/>
        <v>4080</v>
      </c>
      <c r="O42" s="37"/>
      <c r="P42" s="42">
        <f t="shared" si="16"/>
        <v>5060</v>
      </c>
      <c r="Q42" s="36">
        <f t="shared" si="16"/>
        <v>6200</v>
      </c>
      <c r="R42" s="36">
        <f t="shared" si="16"/>
        <v>7180</v>
      </c>
      <c r="S42" s="43">
        <f t="shared" si="16"/>
        <v>8160</v>
      </c>
      <c r="T42" s="37"/>
      <c r="U42" s="42">
        <f t="shared" si="17"/>
        <v>7590</v>
      </c>
      <c r="V42" s="36">
        <f t="shared" si="17"/>
        <v>9300</v>
      </c>
      <c r="W42" s="36">
        <f t="shared" si="17"/>
        <v>10770</v>
      </c>
      <c r="X42" s="43">
        <f t="shared" si="17"/>
        <v>12240</v>
      </c>
      <c r="Y42" s="37"/>
      <c r="Z42" s="36">
        <f t="shared" si="12"/>
        <v>4220</v>
      </c>
      <c r="AA42" s="36">
        <f t="shared" si="12"/>
        <v>5170</v>
      </c>
      <c r="AB42" s="36">
        <f t="shared" si="12"/>
        <v>5980</v>
      </c>
      <c r="AC42" s="36">
        <f t="shared" si="12"/>
        <v>6800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6"/>
        <v>17599.900000000001</v>
      </c>
      <c r="K43" s="36">
        <f t="shared" si="7"/>
        <v>3275</v>
      </c>
      <c r="L43" s="36">
        <f t="shared" si="7"/>
        <v>4015</v>
      </c>
      <c r="M43" s="36">
        <f t="shared" si="7"/>
        <v>4645</v>
      </c>
      <c r="N43" s="36">
        <f t="shared" si="7"/>
        <v>5280</v>
      </c>
      <c r="O43" s="37"/>
      <c r="P43" s="42">
        <f t="shared" si="16"/>
        <v>6545</v>
      </c>
      <c r="Q43" s="36">
        <f t="shared" si="16"/>
        <v>8025</v>
      </c>
      <c r="R43" s="36">
        <f t="shared" si="16"/>
        <v>9295</v>
      </c>
      <c r="S43" s="43">
        <f t="shared" si="16"/>
        <v>10560</v>
      </c>
      <c r="T43" s="37"/>
      <c r="U43" s="42">
        <f t="shared" si="17"/>
        <v>9820</v>
      </c>
      <c r="V43" s="36">
        <f t="shared" si="17"/>
        <v>12040</v>
      </c>
      <c r="W43" s="36">
        <f t="shared" si="17"/>
        <v>13940</v>
      </c>
      <c r="X43" s="43">
        <f t="shared" si="17"/>
        <v>15840</v>
      </c>
      <c r="Y43" s="37"/>
      <c r="Z43" s="36">
        <f t="shared" si="12"/>
        <v>5460</v>
      </c>
      <c r="AA43" s="36">
        <f t="shared" si="12"/>
        <v>6690</v>
      </c>
      <c r="AB43" s="36">
        <f t="shared" si="12"/>
        <v>7740</v>
      </c>
      <c r="AC43" s="36">
        <f t="shared" si="12"/>
        <v>8800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6"/>
        <v>22099.899999999998</v>
      </c>
      <c r="K44" s="36">
        <f t="shared" si="7"/>
        <v>4110</v>
      </c>
      <c r="L44" s="36">
        <f t="shared" si="7"/>
        <v>5040</v>
      </c>
      <c r="M44" s="36">
        <f t="shared" si="7"/>
        <v>5835</v>
      </c>
      <c r="N44" s="36">
        <f t="shared" si="7"/>
        <v>6630</v>
      </c>
      <c r="O44" s="37"/>
      <c r="P44" s="42">
        <f t="shared" si="16"/>
        <v>8220</v>
      </c>
      <c r="Q44" s="36">
        <f t="shared" si="16"/>
        <v>10080</v>
      </c>
      <c r="R44" s="36">
        <f t="shared" si="16"/>
        <v>11670</v>
      </c>
      <c r="S44" s="43">
        <f t="shared" si="16"/>
        <v>13260</v>
      </c>
      <c r="T44" s="37"/>
      <c r="U44" s="42">
        <f t="shared" si="17"/>
        <v>12330</v>
      </c>
      <c r="V44" s="36">
        <f t="shared" si="17"/>
        <v>15120</v>
      </c>
      <c r="W44" s="36">
        <f t="shared" si="17"/>
        <v>17500</v>
      </c>
      <c r="X44" s="43">
        <f t="shared" si="17"/>
        <v>19890</v>
      </c>
      <c r="Y44" s="37"/>
      <c r="Z44" s="36">
        <f t="shared" si="12"/>
        <v>6850</v>
      </c>
      <c r="AA44" s="36">
        <f t="shared" si="12"/>
        <v>8400</v>
      </c>
      <c r="AB44" s="36">
        <f t="shared" si="12"/>
        <v>9720</v>
      </c>
      <c r="AC44" s="36">
        <f t="shared" si="12"/>
        <v>11050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6"/>
        <v>28599.899999999998</v>
      </c>
      <c r="K45" s="36">
        <f t="shared" si="7"/>
        <v>5320</v>
      </c>
      <c r="L45" s="36">
        <f t="shared" si="7"/>
        <v>6520</v>
      </c>
      <c r="M45" s="36">
        <f t="shared" si="7"/>
        <v>7550</v>
      </c>
      <c r="N45" s="36">
        <f t="shared" si="7"/>
        <v>8580</v>
      </c>
      <c r="O45" s="37"/>
      <c r="P45" s="42">
        <f t="shared" si="16"/>
        <v>10640</v>
      </c>
      <c r="Q45" s="36">
        <f t="shared" si="16"/>
        <v>13040</v>
      </c>
      <c r="R45" s="36">
        <f t="shared" si="16"/>
        <v>15100</v>
      </c>
      <c r="S45" s="43">
        <f t="shared" si="16"/>
        <v>17160</v>
      </c>
      <c r="T45" s="37"/>
      <c r="U45" s="42">
        <f t="shared" si="17"/>
        <v>15960</v>
      </c>
      <c r="V45" s="36">
        <f t="shared" si="17"/>
        <v>19560</v>
      </c>
      <c r="W45" s="36">
        <f t="shared" si="17"/>
        <v>22650</v>
      </c>
      <c r="X45" s="43">
        <f t="shared" si="17"/>
        <v>25740</v>
      </c>
      <c r="Y45" s="37"/>
      <c r="Z45" s="36">
        <f t="shared" si="12"/>
        <v>8870</v>
      </c>
      <c r="AA45" s="36">
        <f t="shared" si="12"/>
        <v>10870</v>
      </c>
      <c r="AB45" s="36">
        <f t="shared" si="12"/>
        <v>12580</v>
      </c>
      <c r="AC45" s="36">
        <f t="shared" si="12"/>
        <v>14300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6"/>
        <v>36599.899999999994</v>
      </c>
      <c r="K46" s="36">
        <f t="shared" si="7"/>
        <v>6810</v>
      </c>
      <c r="L46" s="36">
        <f t="shared" si="7"/>
        <v>8345</v>
      </c>
      <c r="M46" s="36">
        <f t="shared" si="7"/>
        <v>9660</v>
      </c>
      <c r="N46" s="36">
        <f t="shared" si="7"/>
        <v>10980</v>
      </c>
      <c r="O46" s="37"/>
      <c r="P46" s="42">
        <f t="shared" si="16"/>
        <v>13615</v>
      </c>
      <c r="Q46" s="36">
        <f t="shared" si="16"/>
        <v>16690</v>
      </c>
      <c r="R46" s="36">
        <f t="shared" si="16"/>
        <v>19325</v>
      </c>
      <c r="S46" s="43">
        <f t="shared" si="16"/>
        <v>21960</v>
      </c>
      <c r="T46" s="37"/>
      <c r="U46" s="42">
        <f t="shared" si="17"/>
        <v>20420</v>
      </c>
      <c r="V46" s="36">
        <f t="shared" si="17"/>
        <v>25030</v>
      </c>
      <c r="W46" s="36">
        <f t="shared" si="17"/>
        <v>28990</v>
      </c>
      <c r="X46" s="43">
        <f t="shared" si="17"/>
        <v>32940</v>
      </c>
      <c r="Y46" s="37"/>
      <c r="Z46" s="36">
        <f t="shared" si="12"/>
        <v>11350</v>
      </c>
      <c r="AA46" s="36">
        <f t="shared" si="12"/>
        <v>13910</v>
      </c>
      <c r="AB46" s="36">
        <f t="shared" si="12"/>
        <v>16100</v>
      </c>
      <c r="AC46" s="36">
        <f t="shared" si="12"/>
        <v>18300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6"/>
        <v>44599.899999999994</v>
      </c>
      <c r="K47" s="36">
        <f t="shared" si="7"/>
        <v>8295</v>
      </c>
      <c r="L47" s="36">
        <f t="shared" si="7"/>
        <v>10170</v>
      </c>
      <c r="M47" s="36">
        <f t="shared" si="7"/>
        <v>11775</v>
      </c>
      <c r="N47" s="36">
        <f t="shared" si="7"/>
        <v>13380</v>
      </c>
      <c r="O47" s="37"/>
      <c r="P47" s="42">
        <f t="shared" si="16"/>
        <v>16590</v>
      </c>
      <c r="Q47" s="36">
        <f t="shared" si="16"/>
        <v>20340</v>
      </c>
      <c r="R47" s="36">
        <f t="shared" si="16"/>
        <v>23550</v>
      </c>
      <c r="S47" s="43">
        <f t="shared" si="16"/>
        <v>26760</v>
      </c>
      <c r="T47" s="37"/>
      <c r="U47" s="42">
        <f t="shared" si="17"/>
        <v>24890</v>
      </c>
      <c r="V47" s="36">
        <f t="shared" si="17"/>
        <v>30510</v>
      </c>
      <c r="W47" s="36">
        <f t="shared" si="17"/>
        <v>35320</v>
      </c>
      <c r="X47" s="43">
        <f t="shared" si="17"/>
        <v>40140</v>
      </c>
      <c r="Y47" s="37"/>
      <c r="Z47" s="36">
        <f t="shared" si="12"/>
        <v>13830</v>
      </c>
      <c r="AA47" s="36">
        <f t="shared" si="12"/>
        <v>16950</v>
      </c>
      <c r="AB47" s="36">
        <f t="shared" si="12"/>
        <v>19620</v>
      </c>
      <c r="AC47" s="36">
        <f t="shared" si="12"/>
        <v>22300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6"/>
        <v>52599.899999999994</v>
      </c>
      <c r="K48" s="36">
        <f t="shared" si="7"/>
        <v>9785</v>
      </c>
      <c r="L48" s="36">
        <f t="shared" si="7"/>
        <v>11995</v>
      </c>
      <c r="M48" s="36">
        <f t="shared" si="7"/>
        <v>13885</v>
      </c>
      <c r="N48" s="36">
        <f t="shared" si="7"/>
        <v>15780</v>
      </c>
      <c r="O48" s="37"/>
      <c r="P48" s="42">
        <f t="shared" si="16"/>
        <v>19565</v>
      </c>
      <c r="Q48" s="36">
        <f t="shared" si="16"/>
        <v>23985</v>
      </c>
      <c r="R48" s="36">
        <f t="shared" si="16"/>
        <v>27775</v>
      </c>
      <c r="S48" s="43">
        <f t="shared" si="16"/>
        <v>31560</v>
      </c>
      <c r="T48" s="37"/>
      <c r="U48" s="42">
        <f t="shared" si="17"/>
        <v>29350</v>
      </c>
      <c r="V48" s="36">
        <f t="shared" si="17"/>
        <v>35980</v>
      </c>
      <c r="W48" s="36">
        <f t="shared" si="17"/>
        <v>41660</v>
      </c>
      <c r="X48" s="43">
        <f t="shared" si="17"/>
        <v>47340</v>
      </c>
      <c r="Y48" s="37"/>
      <c r="Z48" s="36">
        <f t="shared" si="12"/>
        <v>16310</v>
      </c>
      <c r="AA48" s="36">
        <f t="shared" si="12"/>
        <v>19990</v>
      </c>
      <c r="AB48" s="36">
        <f t="shared" si="12"/>
        <v>23140</v>
      </c>
      <c r="AC48" s="36">
        <f t="shared" si="12"/>
        <v>26300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6"/>
        <v>60599.899999999994</v>
      </c>
      <c r="K49" s="36">
        <f t="shared" si="7"/>
        <v>11270</v>
      </c>
      <c r="L49" s="36">
        <f t="shared" si="7"/>
        <v>13815</v>
      </c>
      <c r="M49" s="36">
        <f t="shared" si="7"/>
        <v>16000</v>
      </c>
      <c r="N49" s="36">
        <f t="shared" si="7"/>
        <v>18180</v>
      </c>
      <c r="O49" s="37"/>
      <c r="P49" s="42">
        <f t="shared" si="16"/>
        <v>22545</v>
      </c>
      <c r="Q49" s="36">
        <f t="shared" si="16"/>
        <v>27635</v>
      </c>
      <c r="R49" s="36">
        <f t="shared" si="16"/>
        <v>31995</v>
      </c>
      <c r="S49" s="43">
        <f t="shared" si="16"/>
        <v>36360</v>
      </c>
      <c r="T49" s="37"/>
      <c r="U49" s="42">
        <f t="shared" si="17"/>
        <v>33810</v>
      </c>
      <c r="V49" s="36">
        <f t="shared" si="17"/>
        <v>41450</v>
      </c>
      <c r="W49" s="36">
        <f t="shared" si="17"/>
        <v>48000</v>
      </c>
      <c r="X49" s="43">
        <f t="shared" si="17"/>
        <v>54540</v>
      </c>
      <c r="Y49" s="37"/>
      <c r="Z49" s="36">
        <f t="shared" si="12"/>
        <v>18790</v>
      </c>
      <c r="AA49" s="36">
        <f t="shared" si="12"/>
        <v>23030</v>
      </c>
      <c r="AB49" s="36">
        <f t="shared" si="12"/>
        <v>26660</v>
      </c>
      <c r="AC49" s="36">
        <f t="shared" si="12"/>
        <v>30300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6"/>
        <v>68599.899999999994</v>
      </c>
      <c r="K50" s="36">
        <f t="shared" si="7"/>
        <v>12760</v>
      </c>
      <c r="L50" s="36">
        <f t="shared" si="7"/>
        <v>15640</v>
      </c>
      <c r="M50" s="36">
        <f t="shared" si="7"/>
        <v>18110</v>
      </c>
      <c r="N50" s="36">
        <f t="shared" si="7"/>
        <v>20580</v>
      </c>
      <c r="O50" s="37"/>
      <c r="P50" s="42">
        <f t="shared" si="16"/>
        <v>25520</v>
      </c>
      <c r="Q50" s="36">
        <f t="shared" si="16"/>
        <v>31280</v>
      </c>
      <c r="R50" s="36">
        <f t="shared" si="16"/>
        <v>36220</v>
      </c>
      <c r="S50" s="43">
        <f t="shared" si="16"/>
        <v>41160</v>
      </c>
      <c r="T50" s="37"/>
      <c r="U50" s="42">
        <f t="shared" si="17"/>
        <v>38280</v>
      </c>
      <c r="V50" s="36">
        <f t="shared" si="17"/>
        <v>46920</v>
      </c>
      <c r="W50" s="36">
        <f t="shared" si="17"/>
        <v>54330</v>
      </c>
      <c r="X50" s="43">
        <f t="shared" si="17"/>
        <v>61740</v>
      </c>
      <c r="Y50" s="37"/>
      <c r="Z50" s="36">
        <f t="shared" si="12"/>
        <v>21270</v>
      </c>
      <c r="AA50" s="36">
        <f t="shared" si="12"/>
        <v>26070</v>
      </c>
      <c r="AB50" s="36">
        <f t="shared" si="12"/>
        <v>30180</v>
      </c>
      <c r="AC50" s="36">
        <f t="shared" si="12"/>
        <v>34300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6"/>
        <v>76599.899999999994</v>
      </c>
      <c r="K51" s="36">
        <f t="shared" si="7"/>
        <v>14250</v>
      </c>
      <c r="L51" s="36">
        <f t="shared" si="7"/>
        <v>17465</v>
      </c>
      <c r="M51" s="36">
        <f t="shared" si="7"/>
        <v>20220</v>
      </c>
      <c r="N51" s="36">
        <f t="shared" si="7"/>
        <v>22980</v>
      </c>
      <c r="O51" s="37"/>
      <c r="P51" s="42">
        <f t="shared" si="16"/>
        <v>28495</v>
      </c>
      <c r="Q51" s="36">
        <f t="shared" si="16"/>
        <v>34930</v>
      </c>
      <c r="R51" s="36">
        <f t="shared" si="16"/>
        <v>40445</v>
      </c>
      <c r="S51" s="43">
        <f t="shared" si="16"/>
        <v>45960</v>
      </c>
      <c r="T51" s="37"/>
      <c r="U51" s="42">
        <f t="shared" si="17"/>
        <v>42740</v>
      </c>
      <c r="V51" s="36">
        <f t="shared" si="17"/>
        <v>52390</v>
      </c>
      <c r="W51" s="36">
        <f t="shared" si="17"/>
        <v>60670</v>
      </c>
      <c r="X51" s="43">
        <f t="shared" si="17"/>
        <v>68940</v>
      </c>
      <c r="Y51" s="37"/>
      <c r="Z51" s="36">
        <f t="shared" si="12"/>
        <v>23750</v>
      </c>
      <c r="AA51" s="36">
        <f t="shared" si="12"/>
        <v>29110</v>
      </c>
      <c r="AB51" s="36">
        <f t="shared" si="12"/>
        <v>33700</v>
      </c>
      <c r="AC51" s="36">
        <f t="shared" si="12"/>
        <v>38300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6"/>
        <v>84599.9</v>
      </c>
      <c r="K52" s="36">
        <f t="shared" si="7"/>
        <v>15735</v>
      </c>
      <c r="L52" s="36">
        <f t="shared" si="7"/>
        <v>19290</v>
      </c>
      <c r="M52" s="36">
        <f t="shared" si="7"/>
        <v>22335</v>
      </c>
      <c r="N52" s="36">
        <f t="shared" si="7"/>
        <v>25380</v>
      </c>
      <c r="O52" s="37"/>
      <c r="P52" s="44">
        <f t="shared" si="16"/>
        <v>31470</v>
      </c>
      <c r="Q52" s="45">
        <f t="shared" si="16"/>
        <v>38580</v>
      </c>
      <c r="R52" s="45">
        <f t="shared" si="16"/>
        <v>44670</v>
      </c>
      <c r="S52" s="46">
        <f t="shared" si="16"/>
        <v>50760</v>
      </c>
      <c r="T52" s="37"/>
      <c r="U52" s="44">
        <f t="shared" si="17"/>
        <v>47210</v>
      </c>
      <c r="V52" s="45">
        <f t="shared" si="17"/>
        <v>57870</v>
      </c>
      <c r="W52" s="45">
        <f t="shared" si="17"/>
        <v>67000</v>
      </c>
      <c r="X52" s="46">
        <f t="shared" si="17"/>
        <v>76140</v>
      </c>
      <c r="Y52" s="37"/>
      <c r="Z52" s="36">
        <f t="shared" si="12"/>
        <v>26230</v>
      </c>
      <c r="AA52" s="36">
        <f t="shared" si="12"/>
        <v>32150</v>
      </c>
      <c r="AB52" s="36">
        <f t="shared" si="12"/>
        <v>37220</v>
      </c>
      <c r="AC52" s="36">
        <f t="shared" si="12"/>
        <v>42300</v>
      </c>
      <c r="AD52" s="34"/>
    </row>
    <row r="53" spans="1:30" ht="15.75" thickTop="1" x14ac:dyDescent="0.25"/>
  </sheetData>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AH53"/>
  <sheetViews>
    <sheetView zoomScale="70" zoomScaleNormal="70" workbookViewId="0">
      <selection activeCell="N41" activeCellId="1" sqref="J31 N41"/>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0.32</v>
      </c>
      <c r="C4" s="31">
        <v>0.39</v>
      </c>
      <c r="D4" s="31">
        <v>0.45</v>
      </c>
      <c r="E4" s="31">
        <v>0.52</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0.32</v>
      </c>
      <c r="L18" s="20">
        <f>$C$4</f>
        <v>0.39</v>
      </c>
      <c r="M18" s="20">
        <f>$D$4</f>
        <v>0.45</v>
      </c>
      <c r="N18" s="20">
        <f>$E$4</f>
        <v>0.52</v>
      </c>
      <c r="O18" s="20"/>
      <c r="P18" s="20">
        <f>$B$4</f>
        <v>0.32</v>
      </c>
      <c r="Q18" s="20">
        <f>$C$4</f>
        <v>0.39</v>
      </c>
      <c r="R18" s="20">
        <f>$D$4</f>
        <v>0.45</v>
      </c>
      <c r="S18" s="20">
        <f>$E$4</f>
        <v>0.52</v>
      </c>
      <c r="T18" s="20"/>
      <c r="U18" s="20">
        <f>$B$4</f>
        <v>0.32</v>
      </c>
      <c r="V18" s="20">
        <f>$C$4</f>
        <v>0.39</v>
      </c>
      <c r="W18" s="20">
        <f>$D$4</f>
        <v>0.45</v>
      </c>
      <c r="X18" s="20">
        <f>$E$4</f>
        <v>0.52</v>
      </c>
      <c r="Y18" s="20"/>
      <c r="Z18" s="20">
        <f>$B$4</f>
        <v>0.32</v>
      </c>
      <c r="AA18" s="20">
        <f>$C$4</f>
        <v>0.39</v>
      </c>
      <c r="AB18" s="20">
        <f>$D$4</f>
        <v>0.45</v>
      </c>
      <c r="AC18" s="20">
        <f>$E$4</f>
        <v>0.52</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36"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95</v>
      </c>
      <c r="L23" s="36">
        <f t="shared" si="7"/>
        <v>115</v>
      </c>
      <c r="M23" s="36">
        <f t="shared" si="7"/>
        <v>135</v>
      </c>
      <c r="N23" s="36">
        <f t="shared" si="7"/>
        <v>155</v>
      </c>
      <c r="O23" s="37"/>
      <c r="P23" s="39">
        <f t="shared" si="8"/>
        <v>190</v>
      </c>
      <c r="Q23" s="40">
        <f t="shared" si="8"/>
        <v>235</v>
      </c>
      <c r="R23" s="40">
        <f t="shared" si="8"/>
        <v>270</v>
      </c>
      <c r="S23" s="41">
        <f t="shared" si="8"/>
        <v>310</v>
      </c>
      <c r="T23" s="37"/>
      <c r="U23" s="39">
        <f t="shared" si="9"/>
        <v>290</v>
      </c>
      <c r="V23" s="40">
        <f t="shared" si="9"/>
        <v>350</v>
      </c>
      <c r="W23" s="40">
        <f t="shared" si="9"/>
        <v>400</v>
      </c>
      <c r="X23" s="41">
        <f t="shared" si="9"/>
        <v>470</v>
      </c>
      <c r="Y23" s="37"/>
      <c r="Z23" s="36">
        <f>ROUND(($J23*Z$18)/10,0)*10</f>
        <v>160</v>
      </c>
      <c r="AA23" s="36">
        <f t="shared" si="4"/>
        <v>190</v>
      </c>
      <c r="AB23" s="36">
        <f t="shared" si="4"/>
        <v>220</v>
      </c>
      <c r="AC23" s="36">
        <f t="shared" si="4"/>
        <v>260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120</v>
      </c>
      <c r="L24" s="36">
        <f t="shared" si="7"/>
        <v>145</v>
      </c>
      <c r="M24" s="36">
        <f t="shared" si="7"/>
        <v>170</v>
      </c>
      <c r="N24" s="36">
        <f t="shared" si="7"/>
        <v>195</v>
      </c>
      <c r="O24" s="37"/>
      <c r="P24" s="42">
        <f t="shared" si="8"/>
        <v>240</v>
      </c>
      <c r="Q24" s="36">
        <f t="shared" si="8"/>
        <v>290</v>
      </c>
      <c r="R24" s="36">
        <f t="shared" si="8"/>
        <v>335</v>
      </c>
      <c r="S24" s="43">
        <f t="shared" si="8"/>
        <v>390</v>
      </c>
      <c r="T24" s="37"/>
      <c r="U24" s="42">
        <f t="shared" si="9"/>
        <v>360</v>
      </c>
      <c r="V24" s="36">
        <f t="shared" si="9"/>
        <v>440</v>
      </c>
      <c r="W24" s="36">
        <f t="shared" si="9"/>
        <v>510</v>
      </c>
      <c r="X24" s="43">
        <f t="shared" si="9"/>
        <v>580</v>
      </c>
      <c r="Y24" s="37"/>
      <c r="Z24" s="36">
        <f t="shared" ref="Z24:AC52" si="12">ROUND(($J24*Z$18)/10,0)*10</f>
        <v>200</v>
      </c>
      <c r="AA24" s="36">
        <f t="shared" si="4"/>
        <v>240</v>
      </c>
      <c r="AB24" s="36">
        <f t="shared" si="4"/>
        <v>280</v>
      </c>
      <c r="AC24" s="36">
        <f t="shared" si="4"/>
        <v>320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130</v>
      </c>
      <c r="L25" s="36">
        <f t="shared" si="7"/>
        <v>160</v>
      </c>
      <c r="M25" s="36">
        <f t="shared" si="7"/>
        <v>180</v>
      </c>
      <c r="N25" s="36">
        <f t="shared" si="7"/>
        <v>210</v>
      </c>
      <c r="O25" s="37"/>
      <c r="P25" s="42">
        <f t="shared" si="8"/>
        <v>260</v>
      </c>
      <c r="Q25" s="36">
        <f t="shared" si="8"/>
        <v>315</v>
      </c>
      <c r="R25" s="36">
        <f t="shared" si="8"/>
        <v>365</v>
      </c>
      <c r="S25" s="43">
        <f t="shared" si="8"/>
        <v>420</v>
      </c>
      <c r="T25" s="37"/>
      <c r="U25" s="42">
        <f t="shared" si="9"/>
        <v>390</v>
      </c>
      <c r="V25" s="36">
        <f t="shared" si="9"/>
        <v>470</v>
      </c>
      <c r="W25" s="36">
        <f t="shared" si="9"/>
        <v>550</v>
      </c>
      <c r="X25" s="43">
        <f t="shared" si="9"/>
        <v>630</v>
      </c>
      <c r="Y25" s="37"/>
      <c r="Z25" s="36">
        <f t="shared" si="12"/>
        <v>220</v>
      </c>
      <c r="AA25" s="36">
        <f t="shared" si="4"/>
        <v>260</v>
      </c>
      <c r="AB25" s="36">
        <f t="shared" si="4"/>
        <v>300</v>
      </c>
      <c r="AC25" s="36">
        <f t="shared" si="4"/>
        <v>350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140</v>
      </c>
      <c r="L26" s="36">
        <f t="shared" si="7"/>
        <v>170</v>
      </c>
      <c r="M26" s="36">
        <f t="shared" si="7"/>
        <v>195</v>
      </c>
      <c r="N26" s="36">
        <f t="shared" si="7"/>
        <v>225</v>
      </c>
      <c r="O26" s="37"/>
      <c r="P26" s="42">
        <f t="shared" si="8"/>
        <v>280</v>
      </c>
      <c r="Q26" s="36">
        <f t="shared" si="8"/>
        <v>340</v>
      </c>
      <c r="R26" s="36">
        <f t="shared" si="8"/>
        <v>390</v>
      </c>
      <c r="S26" s="43">
        <f t="shared" si="8"/>
        <v>450</v>
      </c>
      <c r="T26" s="37"/>
      <c r="U26" s="42">
        <f t="shared" si="9"/>
        <v>420</v>
      </c>
      <c r="V26" s="36">
        <f t="shared" si="9"/>
        <v>510</v>
      </c>
      <c r="W26" s="36">
        <f t="shared" si="9"/>
        <v>590</v>
      </c>
      <c r="X26" s="43">
        <f t="shared" si="9"/>
        <v>680</v>
      </c>
      <c r="Y26" s="37"/>
      <c r="Z26" s="36">
        <f t="shared" si="12"/>
        <v>230</v>
      </c>
      <c r="AA26" s="36">
        <f t="shared" si="4"/>
        <v>280</v>
      </c>
      <c r="AB26" s="36">
        <f t="shared" si="4"/>
        <v>330</v>
      </c>
      <c r="AC26" s="36">
        <f t="shared" si="4"/>
        <v>380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150</v>
      </c>
      <c r="L27" s="36">
        <f t="shared" si="7"/>
        <v>180</v>
      </c>
      <c r="M27" s="36">
        <f t="shared" si="7"/>
        <v>210</v>
      </c>
      <c r="N27" s="36">
        <f t="shared" si="7"/>
        <v>240</v>
      </c>
      <c r="O27" s="37"/>
      <c r="P27" s="42">
        <f t="shared" si="8"/>
        <v>300</v>
      </c>
      <c r="Q27" s="36">
        <f t="shared" si="8"/>
        <v>365</v>
      </c>
      <c r="R27" s="36">
        <f t="shared" si="8"/>
        <v>420</v>
      </c>
      <c r="S27" s="43">
        <f t="shared" si="8"/>
        <v>485</v>
      </c>
      <c r="T27" s="37"/>
      <c r="U27" s="42">
        <f t="shared" si="9"/>
        <v>450</v>
      </c>
      <c r="V27" s="36">
        <f t="shared" si="9"/>
        <v>540</v>
      </c>
      <c r="W27" s="36">
        <f t="shared" si="9"/>
        <v>630</v>
      </c>
      <c r="X27" s="43">
        <f t="shared" si="9"/>
        <v>730</v>
      </c>
      <c r="Y27" s="37"/>
      <c r="Z27" s="36">
        <f t="shared" si="12"/>
        <v>250</v>
      </c>
      <c r="AA27" s="36">
        <f t="shared" si="4"/>
        <v>300</v>
      </c>
      <c r="AB27" s="36">
        <f t="shared" si="4"/>
        <v>350</v>
      </c>
      <c r="AC27" s="36">
        <f t="shared" si="4"/>
        <v>400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160</v>
      </c>
      <c r="L28" s="36">
        <f t="shared" si="7"/>
        <v>195</v>
      </c>
      <c r="M28" s="36">
        <f t="shared" si="7"/>
        <v>225</v>
      </c>
      <c r="N28" s="36">
        <f t="shared" si="7"/>
        <v>255</v>
      </c>
      <c r="O28" s="37"/>
      <c r="P28" s="42">
        <f t="shared" si="8"/>
        <v>315</v>
      </c>
      <c r="Q28" s="36">
        <f t="shared" si="8"/>
        <v>385</v>
      </c>
      <c r="R28" s="36">
        <f t="shared" si="8"/>
        <v>445</v>
      </c>
      <c r="S28" s="43">
        <f t="shared" si="8"/>
        <v>515</v>
      </c>
      <c r="T28" s="37"/>
      <c r="U28" s="42">
        <f t="shared" si="9"/>
        <v>480</v>
      </c>
      <c r="V28" s="36">
        <f t="shared" si="9"/>
        <v>580</v>
      </c>
      <c r="W28" s="36">
        <f t="shared" si="9"/>
        <v>670</v>
      </c>
      <c r="X28" s="43">
        <f t="shared" si="9"/>
        <v>770</v>
      </c>
      <c r="Y28" s="37"/>
      <c r="Z28" s="36">
        <f t="shared" si="12"/>
        <v>260</v>
      </c>
      <c r="AA28" s="36">
        <f t="shared" si="4"/>
        <v>320</v>
      </c>
      <c r="AB28" s="36">
        <f t="shared" si="4"/>
        <v>370</v>
      </c>
      <c r="AC28" s="36">
        <f t="shared" si="4"/>
        <v>430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170</v>
      </c>
      <c r="L29" s="36">
        <f t="shared" si="7"/>
        <v>205</v>
      </c>
      <c r="M29" s="36">
        <f t="shared" si="7"/>
        <v>235</v>
      </c>
      <c r="N29" s="36">
        <f t="shared" si="7"/>
        <v>275</v>
      </c>
      <c r="O29" s="37"/>
      <c r="P29" s="42">
        <f t="shared" si="8"/>
        <v>335</v>
      </c>
      <c r="Q29" s="36">
        <f t="shared" si="8"/>
        <v>410</v>
      </c>
      <c r="R29" s="36">
        <f t="shared" si="8"/>
        <v>470</v>
      </c>
      <c r="S29" s="43">
        <f t="shared" si="8"/>
        <v>545</v>
      </c>
      <c r="T29" s="37"/>
      <c r="U29" s="42">
        <f t="shared" si="9"/>
        <v>500</v>
      </c>
      <c r="V29" s="36">
        <f t="shared" si="9"/>
        <v>610</v>
      </c>
      <c r="W29" s="36">
        <f t="shared" si="9"/>
        <v>710</v>
      </c>
      <c r="X29" s="43">
        <f t="shared" si="9"/>
        <v>820</v>
      </c>
      <c r="Y29" s="37"/>
      <c r="Z29" s="36">
        <f t="shared" si="12"/>
        <v>280</v>
      </c>
      <c r="AA29" s="36">
        <f t="shared" si="4"/>
        <v>340</v>
      </c>
      <c r="AB29" s="36">
        <f t="shared" si="4"/>
        <v>390</v>
      </c>
      <c r="AC29" s="36">
        <f t="shared" si="4"/>
        <v>450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180</v>
      </c>
      <c r="L30" s="36">
        <f t="shared" si="7"/>
        <v>215</v>
      </c>
      <c r="M30" s="36">
        <f t="shared" si="7"/>
        <v>250</v>
      </c>
      <c r="N30" s="36">
        <f t="shared" si="7"/>
        <v>290</v>
      </c>
      <c r="O30" s="37"/>
      <c r="P30" s="42">
        <f t="shared" si="8"/>
        <v>355</v>
      </c>
      <c r="Q30" s="36">
        <f t="shared" si="8"/>
        <v>435</v>
      </c>
      <c r="R30" s="36">
        <f t="shared" si="8"/>
        <v>500</v>
      </c>
      <c r="S30" s="43">
        <f t="shared" si="8"/>
        <v>575</v>
      </c>
      <c r="T30" s="37"/>
      <c r="U30" s="42">
        <f t="shared" si="9"/>
        <v>530</v>
      </c>
      <c r="V30" s="36">
        <f t="shared" si="9"/>
        <v>650</v>
      </c>
      <c r="W30" s="36">
        <f t="shared" si="9"/>
        <v>750</v>
      </c>
      <c r="X30" s="43">
        <f t="shared" si="9"/>
        <v>870</v>
      </c>
      <c r="Y30" s="37"/>
      <c r="Z30" s="36">
        <f t="shared" si="12"/>
        <v>300</v>
      </c>
      <c r="AA30" s="36">
        <f t="shared" si="4"/>
        <v>360</v>
      </c>
      <c r="AB30" s="36">
        <f t="shared" si="4"/>
        <v>420</v>
      </c>
      <c r="AC30" s="36">
        <f t="shared" si="4"/>
        <v>480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195</v>
      </c>
      <c r="L31" s="36">
        <f t="shared" si="7"/>
        <v>240</v>
      </c>
      <c r="M31" s="36">
        <f t="shared" si="7"/>
        <v>275</v>
      </c>
      <c r="N31" s="36">
        <f t="shared" si="7"/>
        <v>320</v>
      </c>
      <c r="O31" s="37"/>
      <c r="P31" s="42">
        <f t="shared" si="8"/>
        <v>395</v>
      </c>
      <c r="Q31" s="36">
        <f t="shared" si="8"/>
        <v>480</v>
      </c>
      <c r="R31" s="36">
        <f t="shared" si="8"/>
        <v>555</v>
      </c>
      <c r="S31" s="43">
        <f t="shared" si="8"/>
        <v>640</v>
      </c>
      <c r="T31" s="37"/>
      <c r="U31" s="42">
        <f t="shared" si="9"/>
        <v>590</v>
      </c>
      <c r="V31" s="36">
        <f t="shared" si="9"/>
        <v>720</v>
      </c>
      <c r="W31" s="36">
        <f t="shared" si="9"/>
        <v>830</v>
      </c>
      <c r="X31" s="43">
        <f t="shared" si="9"/>
        <v>960</v>
      </c>
      <c r="Y31" s="37"/>
      <c r="Z31" s="36">
        <f t="shared" si="12"/>
        <v>330</v>
      </c>
      <c r="AA31" s="36">
        <f t="shared" si="4"/>
        <v>400</v>
      </c>
      <c r="AB31" s="36">
        <f t="shared" si="4"/>
        <v>460</v>
      </c>
      <c r="AC31" s="36">
        <f t="shared" si="4"/>
        <v>530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220</v>
      </c>
      <c r="L32" s="36">
        <f t="shared" si="7"/>
        <v>270</v>
      </c>
      <c r="M32" s="36">
        <f t="shared" si="7"/>
        <v>310</v>
      </c>
      <c r="N32" s="36">
        <f t="shared" si="7"/>
        <v>360</v>
      </c>
      <c r="O32" s="37"/>
      <c r="P32" s="42">
        <f t="shared" si="8"/>
        <v>440</v>
      </c>
      <c r="Q32" s="36">
        <f t="shared" si="8"/>
        <v>540</v>
      </c>
      <c r="R32" s="36">
        <f t="shared" si="8"/>
        <v>620</v>
      </c>
      <c r="S32" s="43">
        <f t="shared" si="8"/>
        <v>720</v>
      </c>
      <c r="T32" s="37"/>
      <c r="U32" s="42">
        <f t="shared" si="9"/>
        <v>660</v>
      </c>
      <c r="V32" s="36">
        <f t="shared" si="9"/>
        <v>810</v>
      </c>
      <c r="W32" s="36">
        <f t="shared" si="9"/>
        <v>930</v>
      </c>
      <c r="X32" s="43">
        <f t="shared" si="9"/>
        <v>1080</v>
      </c>
      <c r="Y32" s="37"/>
      <c r="Z32" s="36">
        <f t="shared" si="12"/>
        <v>370</v>
      </c>
      <c r="AA32" s="36">
        <f t="shared" si="4"/>
        <v>450</v>
      </c>
      <c r="AB32" s="36">
        <f t="shared" si="4"/>
        <v>520</v>
      </c>
      <c r="AC32" s="36">
        <f t="shared" si="4"/>
        <v>600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250</v>
      </c>
      <c r="L33" s="36">
        <f t="shared" si="7"/>
        <v>305</v>
      </c>
      <c r="M33" s="36">
        <f t="shared" si="7"/>
        <v>350</v>
      </c>
      <c r="N33" s="36">
        <f t="shared" si="7"/>
        <v>405</v>
      </c>
      <c r="O33" s="37"/>
      <c r="P33" s="42">
        <f t="shared" si="8"/>
        <v>500</v>
      </c>
      <c r="Q33" s="36">
        <f t="shared" si="8"/>
        <v>610</v>
      </c>
      <c r="R33" s="36">
        <f t="shared" si="8"/>
        <v>700</v>
      </c>
      <c r="S33" s="43">
        <f t="shared" si="8"/>
        <v>810</v>
      </c>
      <c r="T33" s="37"/>
      <c r="U33" s="42">
        <f t="shared" si="9"/>
        <v>750</v>
      </c>
      <c r="V33" s="36">
        <f t="shared" si="9"/>
        <v>910</v>
      </c>
      <c r="W33" s="36">
        <f t="shared" si="9"/>
        <v>1050</v>
      </c>
      <c r="X33" s="43">
        <f t="shared" si="9"/>
        <v>1220</v>
      </c>
      <c r="Y33" s="37"/>
      <c r="Z33" s="36">
        <f t="shared" si="12"/>
        <v>420</v>
      </c>
      <c r="AA33" s="36">
        <f t="shared" si="4"/>
        <v>510</v>
      </c>
      <c r="AB33" s="36">
        <f t="shared" si="4"/>
        <v>580</v>
      </c>
      <c r="AC33" s="36">
        <f t="shared" si="4"/>
        <v>680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290</v>
      </c>
      <c r="L34" s="36">
        <f t="shared" si="7"/>
        <v>350</v>
      </c>
      <c r="M34" s="36">
        <f t="shared" si="7"/>
        <v>405</v>
      </c>
      <c r="N34" s="36">
        <f t="shared" si="7"/>
        <v>470</v>
      </c>
      <c r="O34" s="37"/>
      <c r="P34" s="42">
        <f t="shared" si="8"/>
        <v>575</v>
      </c>
      <c r="Q34" s="36">
        <f t="shared" si="8"/>
        <v>700</v>
      </c>
      <c r="R34" s="36">
        <f t="shared" si="8"/>
        <v>810</v>
      </c>
      <c r="S34" s="43">
        <f t="shared" si="8"/>
        <v>935</v>
      </c>
      <c r="T34" s="37"/>
      <c r="U34" s="42">
        <f t="shared" si="9"/>
        <v>860</v>
      </c>
      <c r="V34" s="36">
        <f t="shared" si="9"/>
        <v>1050</v>
      </c>
      <c r="W34" s="36">
        <f t="shared" si="9"/>
        <v>1210</v>
      </c>
      <c r="X34" s="43">
        <f t="shared" si="9"/>
        <v>1400</v>
      </c>
      <c r="Y34" s="37"/>
      <c r="Z34" s="36">
        <f t="shared" si="12"/>
        <v>480</v>
      </c>
      <c r="AA34" s="36">
        <f t="shared" si="4"/>
        <v>580</v>
      </c>
      <c r="AB34" s="36">
        <f t="shared" si="4"/>
        <v>670</v>
      </c>
      <c r="AC34" s="36">
        <f t="shared" si="4"/>
        <v>780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405</v>
      </c>
      <c r="L35" s="36">
        <f t="shared" si="7"/>
        <v>490</v>
      </c>
      <c r="M35" s="36">
        <f t="shared" si="7"/>
        <v>565</v>
      </c>
      <c r="N35" s="36">
        <f t="shared" si="7"/>
        <v>655</v>
      </c>
      <c r="O35" s="37"/>
      <c r="P35" s="42">
        <f t="shared" si="8"/>
        <v>805</v>
      </c>
      <c r="Q35" s="36">
        <f t="shared" si="8"/>
        <v>985</v>
      </c>
      <c r="R35" s="36">
        <f t="shared" si="8"/>
        <v>1135</v>
      </c>
      <c r="S35" s="43">
        <f t="shared" si="8"/>
        <v>1310</v>
      </c>
      <c r="T35" s="37"/>
      <c r="U35" s="42">
        <f t="shared" si="9"/>
        <v>1210</v>
      </c>
      <c r="V35" s="36">
        <f t="shared" si="9"/>
        <v>1470</v>
      </c>
      <c r="W35" s="36">
        <f t="shared" si="9"/>
        <v>1700</v>
      </c>
      <c r="X35" s="43">
        <f t="shared" si="9"/>
        <v>1970</v>
      </c>
      <c r="Y35" s="37"/>
      <c r="Z35" s="36">
        <f t="shared" si="12"/>
        <v>670</v>
      </c>
      <c r="AA35" s="36">
        <f t="shared" si="4"/>
        <v>820</v>
      </c>
      <c r="AB35" s="36">
        <f t="shared" si="4"/>
        <v>940</v>
      </c>
      <c r="AC35" s="36">
        <f t="shared" si="4"/>
        <v>1090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645</v>
      </c>
      <c r="L36" s="36">
        <f t="shared" si="7"/>
        <v>785</v>
      </c>
      <c r="M36" s="36">
        <f t="shared" si="7"/>
        <v>905</v>
      </c>
      <c r="N36" s="36">
        <f t="shared" si="7"/>
        <v>1045</v>
      </c>
      <c r="O36" s="37"/>
      <c r="P36" s="42">
        <f t="shared" si="8"/>
        <v>1285</v>
      </c>
      <c r="Q36" s="36">
        <f t="shared" si="8"/>
        <v>1570</v>
      </c>
      <c r="R36" s="36">
        <f t="shared" si="8"/>
        <v>1810</v>
      </c>
      <c r="S36" s="43">
        <f t="shared" si="8"/>
        <v>2090</v>
      </c>
      <c r="T36" s="37"/>
      <c r="U36" s="42">
        <f t="shared" si="9"/>
        <v>1930</v>
      </c>
      <c r="V36" s="36">
        <f t="shared" si="9"/>
        <v>2350</v>
      </c>
      <c r="W36" s="36">
        <f t="shared" si="9"/>
        <v>2710</v>
      </c>
      <c r="X36" s="43">
        <f t="shared" si="9"/>
        <v>3140</v>
      </c>
      <c r="Y36" s="37"/>
      <c r="Z36" s="36">
        <f t="shared" si="12"/>
        <v>1070</v>
      </c>
      <c r="AA36" s="36">
        <f t="shared" si="4"/>
        <v>1310</v>
      </c>
      <c r="AB36" s="36">
        <f t="shared" si="4"/>
        <v>1510</v>
      </c>
      <c r="AC36" s="36">
        <f t="shared" si="4"/>
        <v>1740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930</v>
      </c>
      <c r="L37" s="36">
        <f t="shared" si="7"/>
        <v>1135</v>
      </c>
      <c r="M37" s="36">
        <f t="shared" si="7"/>
        <v>1310</v>
      </c>
      <c r="N37" s="36">
        <f t="shared" si="7"/>
        <v>1515</v>
      </c>
      <c r="O37" s="37"/>
      <c r="P37" s="42">
        <f t="shared" si="8"/>
        <v>1860</v>
      </c>
      <c r="Q37" s="36">
        <f t="shared" si="8"/>
        <v>2270</v>
      </c>
      <c r="R37" s="36">
        <f t="shared" si="8"/>
        <v>2620</v>
      </c>
      <c r="S37" s="43">
        <f t="shared" si="8"/>
        <v>3025</v>
      </c>
      <c r="T37" s="37"/>
      <c r="U37" s="42">
        <f t="shared" si="9"/>
        <v>2790</v>
      </c>
      <c r="V37" s="36">
        <f t="shared" si="9"/>
        <v>3400</v>
      </c>
      <c r="W37" s="36">
        <f t="shared" si="9"/>
        <v>3930</v>
      </c>
      <c r="X37" s="43">
        <f t="shared" si="9"/>
        <v>4540</v>
      </c>
      <c r="Y37" s="37"/>
      <c r="Z37" s="36">
        <f t="shared" si="12"/>
        <v>1550</v>
      </c>
      <c r="AA37" s="36">
        <f t="shared" si="12"/>
        <v>1890</v>
      </c>
      <c r="AB37" s="36">
        <f t="shared" si="12"/>
        <v>2180</v>
      </c>
      <c r="AC37" s="36">
        <f t="shared" si="12"/>
        <v>2520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1170</v>
      </c>
      <c r="L38" s="36">
        <f t="shared" si="7"/>
        <v>1425</v>
      </c>
      <c r="M38" s="36">
        <f t="shared" si="7"/>
        <v>1645</v>
      </c>
      <c r="N38" s="36">
        <f t="shared" si="7"/>
        <v>1905</v>
      </c>
      <c r="O38" s="37"/>
      <c r="P38" s="42">
        <f t="shared" si="8"/>
        <v>2340</v>
      </c>
      <c r="Q38" s="36">
        <f t="shared" si="8"/>
        <v>2855</v>
      </c>
      <c r="R38" s="36">
        <f t="shared" si="8"/>
        <v>3295</v>
      </c>
      <c r="S38" s="43">
        <f t="shared" si="8"/>
        <v>3805</v>
      </c>
      <c r="T38" s="37"/>
      <c r="U38" s="42">
        <f t="shared" si="9"/>
        <v>3510</v>
      </c>
      <c r="V38" s="36">
        <f t="shared" si="9"/>
        <v>4280</v>
      </c>
      <c r="W38" s="36">
        <f t="shared" si="9"/>
        <v>4940</v>
      </c>
      <c r="X38" s="43">
        <f t="shared" si="9"/>
        <v>5710</v>
      </c>
      <c r="Y38" s="37"/>
      <c r="Z38" s="36">
        <f t="shared" si="12"/>
        <v>1950</v>
      </c>
      <c r="AA38" s="36">
        <f t="shared" si="12"/>
        <v>2380</v>
      </c>
      <c r="AB38" s="36">
        <f t="shared" si="12"/>
        <v>2740</v>
      </c>
      <c r="AC38" s="36">
        <f t="shared" si="12"/>
        <v>3170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6"/>
        <v>7099.9</v>
      </c>
      <c r="K39" s="36">
        <f t="shared" si="7"/>
        <v>1365</v>
      </c>
      <c r="L39" s="36">
        <f t="shared" si="7"/>
        <v>1660</v>
      </c>
      <c r="M39" s="36">
        <f t="shared" si="7"/>
        <v>1915</v>
      </c>
      <c r="N39" s="36">
        <f t="shared" si="7"/>
        <v>2215</v>
      </c>
      <c r="O39" s="37"/>
      <c r="P39" s="42">
        <f t="shared" ref="P39:S52" si="16">ROUND(($G39*P$18)/5,0)*5</f>
        <v>2725</v>
      </c>
      <c r="Q39" s="36">
        <f t="shared" si="16"/>
        <v>3325</v>
      </c>
      <c r="R39" s="36">
        <f t="shared" si="16"/>
        <v>3835</v>
      </c>
      <c r="S39" s="43">
        <f t="shared" si="16"/>
        <v>4430</v>
      </c>
      <c r="T39" s="37"/>
      <c r="U39" s="166">
        <f t="shared" ref="U39:X52" si="17">ROUND(($H39*U$18)/10,0)*10</f>
        <v>4090</v>
      </c>
      <c r="V39" s="167">
        <f t="shared" si="17"/>
        <v>4980</v>
      </c>
      <c r="W39" s="167">
        <f t="shared" si="17"/>
        <v>5750</v>
      </c>
      <c r="X39" s="168">
        <f t="shared" si="17"/>
        <v>6650</v>
      </c>
      <c r="Y39" s="37"/>
      <c r="Z39" s="36">
        <f t="shared" si="12"/>
        <v>2270</v>
      </c>
      <c r="AA39" s="36">
        <f t="shared" si="12"/>
        <v>2770</v>
      </c>
      <c r="AB39" s="36">
        <f t="shared" si="12"/>
        <v>3190</v>
      </c>
      <c r="AC39" s="36">
        <f t="shared" si="12"/>
        <v>3690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6"/>
        <v>8599.9</v>
      </c>
      <c r="K40" s="36">
        <f t="shared" si="7"/>
        <v>1650</v>
      </c>
      <c r="L40" s="36">
        <f t="shared" si="7"/>
        <v>2010</v>
      </c>
      <c r="M40" s="36">
        <f t="shared" si="7"/>
        <v>2320</v>
      </c>
      <c r="N40" s="36">
        <f t="shared" si="7"/>
        <v>2685</v>
      </c>
      <c r="O40" s="37"/>
      <c r="P40" s="42">
        <f t="shared" si="16"/>
        <v>3300</v>
      </c>
      <c r="Q40" s="36">
        <f t="shared" si="16"/>
        <v>4025</v>
      </c>
      <c r="R40" s="36">
        <f t="shared" si="16"/>
        <v>4645</v>
      </c>
      <c r="S40" s="43">
        <f t="shared" si="16"/>
        <v>5365</v>
      </c>
      <c r="T40" s="37"/>
      <c r="U40" s="42">
        <f t="shared" si="17"/>
        <v>4950</v>
      </c>
      <c r="V40" s="36">
        <f t="shared" si="17"/>
        <v>6040</v>
      </c>
      <c r="W40" s="36">
        <f t="shared" si="17"/>
        <v>6970</v>
      </c>
      <c r="X40" s="43">
        <f t="shared" si="17"/>
        <v>8050</v>
      </c>
      <c r="Y40" s="37"/>
      <c r="Z40" s="36">
        <f t="shared" si="12"/>
        <v>2750</v>
      </c>
      <c r="AA40" s="36">
        <f t="shared" si="12"/>
        <v>3350</v>
      </c>
      <c r="AB40" s="36">
        <f t="shared" si="12"/>
        <v>3870</v>
      </c>
      <c r="AC40" s="36">
        <f t="shared" si="12"/>
        <v>4470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6"/>
        <v>10599.9</v>
      </c>
      <c r="K41" s="36">
        <f t="shared" si="7"/>
        <v>2035</v>
      </c>
      <c r="L41" s="36">
        <f t="shared" si="7"/>
        <v>2480</v>
      </c>
      <c r="M41" s="36">
        <f t="shared" si="7"/>
        <v>2860</v>
      </c>
      <c r="N41" s="36">
        <f t="shared" si="7"/>
        <v>3305</v>
      </c>
      <c r="O41" s="37"/>
      <c r="P41" s="42">
        <f t="shared" si="16"/>
        <v>4070</v>
      </c>
      <c r="Q41" s="36">
        <f t="shared" si="16"/>
        <v>4960</v>
      </c>
      <c r="R41" s="36">
        <f t="shared" si="16"/>
        <v>5725</v>
      </c>
      <c r="S41" s="43">
        <f t="shared" si="16"/>
        <v>6615</v>
      </c>
      <c r="T41" s="37"/>
      <c r="U41" s="42">
        <f t="shared" si="17"/>
        <v>6110</v>
      </c>
      <c r="V41" s="36">
        <f t="shared" si="17"/>
        <v>7440</v>
      </c>
      <c r="W41" s="36">
        <f t="shared" si="17"/>
        <v>8590</v>
      </c>
      <c r="X41" s="43">
        <f t="shared" si="17"/>
        <v>9920</v>
      </c>
      <c r="Y41" s="37"/>
      <c r="Z41" s="36">
        <f t="shared" si="12"/>
        <v>3390</v>
      </c>
      <c r="AA41" s="36">
        <f t="shared" si="12"/>
        <v>4130</v>
      </c>
      <c r="AB41" s="36">
        <f t="shared" si="12"/>
        <v>4770</v>
      </c>
      <c r="AC41" s="36">
        <f t="shared" si="12"/>
        <v>5510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6"/>
        <v>13599.9</v>
      </c>
      <c r="K42" s="36">
        <f t="shared" si="7"/>
        <v>2610</v>
      </c>
      <c r="L42" s="36">
        <f t="shared" si="7"/>
        <v>3180</v>
      </c>
      <c r="M42" s="36">
        <f t="shared" si="7"/>
        <v>3670</v>
      </c>
      <c r="N42" s="36">
        <f t="shared" si="7"/>
        <v>4245</v>
      </c>
      <c r="O42" s="37"/>
      <c r="P42" s="42">
        <f t="shared" si="16"/>
        <v>5220</v>
      </c>
      <c r="Q42" s="36">
        <f t="shared" si="16"/>
        <v>6365</v>
      </c>
      <c r="R42" s="36">
        <f t="shared" si="16"/>
        <v>7345</v>
      </c>
      <c r="S42" s="43">
        <f t="shared" si="16"/>
        <v>8485</v>
      </c>
      <c r="T42" s="37"/>
      <c r="U42" s="42">
        <f t="shared" si="17"/>
        <v>7830</v>
      </c>
      <c r="V42" s="36">
        <f t="shared" si="17"/>
        <v>9550</v>
      </c>
      <c r="W42" s="36">
        <f t="shared" si="17"/>
        <v>11020</v>
      </c>
      <c r="X42" s="43">
        <f t="shared" si="17"/>
        <v>12730</v>
      </c>
      <c r="Y42" s="37"/>
      <c r="Z42" s="36">
        <f t="shared" si="12"/>
        <v>4350</v>
      </c>
      <c r="AA42" s="36">
        <f t="shared" si="12"/>
        <v>5300</v>
      </c>
      <c r="AB42" s="36">
        <f t="shared" si="12"/>
        <v>6120</v>
      </c>
      <c r="AC42" s="36">
        <f t="shared" si="12"/>
        <v>7070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6"/>
        <v>17599.900000000001</v>
      </c>
      <c r="K43" s="36">
        <f t="shared" si="7"/>
        <v>3380</v>
      </c>
      <c r="L43" s="36">
        <f t="shared" si="7"/>
        <v>4120</v>
      </c>
      <c r="M43" s="36">
        <f t="shared" si="7"/>
        <v>4750</v>
      </c>
      <c r="N43" s="36">
        <f t="shared" si="7"/>
        <v>5490</v>
      </c>
      <c r="O43" s="37"/>
      <c r="P43" s="42">
        <f t="shared" si="16"/>
        <v>6760</v>
      </c>
      <c r="Q43" s="36">
        <f t="shared" si="16"/>
        <v>8235</v>
      </c>
      <c r="R43" s="36">
        <f t="shared" si="16"/>
        <v>9505</v>
      </c>
      <c r="S43" s="43">
        <f t="shared" si="16"/>
        <v>10980</v>
      </c>
      <c r="T43" s="37"/>
      <c r="U43" s="42">
        <f t="shared" si="17"/>
        <v>10140</v>
      </c>
      <c r="V43" s="36">
        <f t="shared" si="17"/>
        <v>12360</v>
      </c>
      <c r="W43" s="36">
        <f t="shared" si="17"/>
        <v>14260</v>
      </c>
      <c r="X43" s="43">
        <f t="shared" si="17"/>
        <v>16470</v>
      </c>
      <c r="Y43" s="37"/>
      <c r="Z43" s="36">
        <f t="shared" si="12"/>
        <v>5630</v>
      </c>
      <c r="AA43" s="36">
        <f t="shared" si="12"/>
        <v>6860</v>
      </c>
      <c r="AB43" s="36">
        <f t="shared" si="12"/>
        <v>7920</v>
      </c>
      <c r="AC43" s="36">
        <f t="shared" si="12"/>
        <v>9150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6"/>
        <v>22099.899999999998</v>
      </c>
      <c r="K44" s="36">
        <f t="shared" si="7"/>
        <v>4245</v>
      </c>
      <c r="L44" s="36">
        <f t="shared" si="7"/>
        <v>5170</v>
      </c>
      <c r="M44" s="36">
        <f t="shared" si="7"/>
        <v>5965</v>
      </c>
      <c r="N44" s="36">
        <f t="shared" si="7"/>
        <v>6895</v>
      </c>
      <c r="O44" s="37"/>
      <c r="P44" s="42">
        <f t="shared" si="16"/>
        <v>8485</v>
      </c>
      <c r="Q44" s="36">
        <f t="shared" si="16"/>
        <v>10345</v>
      </c>
      <c r="R44" s="36">
        <f t="shared" si="16"/>
        <v>11935</v>
      </c>
      <c r="S44" s="43">
        <f t="shared" si="16"/>
        <v>13790</v>
      </c>
      <c r="T44" s="37"/>
      <c r="U44" s="42">
        <f t="shared" si="17"/>
        <v>12730</v>
      </c>
      <c r="V44" s="36">
        <f t="shared" si="17"/>
        <v>15510</v>
      </c>
      <c r="W44" s="36">
        <f t="shared" si="17"/>
        <v>17900</v>
      </c>
      <c r="X44" s="43">
        <f t="shared" si="17"/>
        <v>20690</v>
      </c>
      <c r="Y44" s="37"/>
      <c r="Z44" s="36">
        <f t="shared" si="12"/>
        <v>7070</v>
      </c>
      <c r="AA44" s="36">
        <f t="shared" si="12"/>
        <v>8620</v>
      </c>
      <c r="AB44" s="36">
        <f t="shared" si="12"/>
        <v>9940</v>
      </c>
      <c r="AC44" s="36">
        <f t="shared" si="12"/>
        <v>11490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6"/>
        <v>28599.899999999998</v>
      </c>
      <c r="K45" s="36">
        <f t="shared" si="7"/>
        <v>5490</v>
      </c>
      <c r="L45" s="36">
        <f t="shared" si="7"/>
        <v>6690</v>
      </c>
      <c r="M45" s="36">
        <f t="shared" si="7"/>
        <v>7720</v>
      </c>
      <c r="N45" s="36">
        <f t="shared" si="7"/>
        <v>8925</v>
      </c>
      <c r="O45" s="37"/>
      <c r="P45" s="42">
        <f t="shared" si="16"/>
        <v>10980</v>
      </c>
      <c r="Q45" s="36">
        <f t="shared" si="16"/>
        <v>13385</v>
      </c>
      <c r="R45" s="36">
        <f t="shared" si="16"/>
        <v>15445</v>
      </c>
      <c r="S45" s="43">
        <f t="shared" si="16"/>
        <v>17845</v>
      </c>
      <c r="T45" s="37"/>
      <c r="U45" s="42">
        <f t="shared" si="17"/>
        <v>16470</v>
      </c>
      <c r="V45" s="36">
        <f t="shared" si="17"/>
        <v>20080</v>
      </c>
      <c r="W45" s="36">
        <f t="shared" si="17"/>
        <v>23170</v>
      </c>
      <c r="X45" s="43">
        <f t="shared" si="17"/>
        <v>26770</v>
      </c>
      <c r="Y45" s="37"/>
      <c r="Z45" s="36">
        <f t="shared" si="12"/>
        <v>9150</v>
      </c>
      <c r="AA45" s="36">
        <f t="shared" si="12"/>
        <v>11150</v>
      </c>
      <c r="AB45" s="36">
        <f t="shared" si="12"/>
        <v>12870</v>
      </c>
      <c r="AC45" s="36">
        <f t="shared" si="12"/>
        <v>14870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6"/>
        <v>36599.899999999994</v>
      </c>
      <c r="K46" s="36">
        <f t="shared" si="7"/>
        <v>7025</v>
      </c>
      <c r="L46" s="36">
        <f t="shared" si="7"/>
        <v>8565</v>
      </c>
      <c r="M46" s="36">
        <f t="shared" si="7"/>
        <v>9880</v>
      </c>
      <c r="N46" s="36">
        <f t="shared" si="7"/>
        <v>11420</v>
      </c>
      <c r="O46" s="37"/>
      <c r="P46" s="42">
        <f t="shared" si="16"/>
        <v>14055</v>
      </c>
      <c r="Q46" s="36">
        <f t="shared" si="16"/>
        <v>17130</v>
      </c>
      <c r="R46" s="36">
        <f t="shared" si="16"/>
        <v>19765</v>
      </c>
      <c r="S46" s="43">
        <f t="shared" si="16"/>
        <v>22840</v>
      </c>
      <c r="T46" s="37"/>
      <c r="U46" s="42">
        <f t="shared" si="17"/>
        <v>21080</v>
      </c>
      <c r="V46" s="36">
        <f t="shared" si="17"/>
        <v>25690</v>
      </c>
      <c r="W46" s="36">
        <f t="shared" si="17"/>
        <v>29650</v>
      </c>
      <c r="X46" s="43">
        <f t="shared" si="17"/>
        <v>34260</v>
      </c>
      <c r="Y46" s="37"/>
      <c r="Z46" s="36">
        <f t="shared" si="12"/>
        <v>11710</v>
      </c>
      <c r="AA46" s="36">
        <f t="shared" si="12"/>
        <v>14270</v>
      </c>
      <c r="AB46" s="36">
        <f t="shared" si="12"/>
        <v>16470</v>
      </c>
      <c r="AC46" s="36">
        <f t="shared" si="12"/>
        <v>19030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6"/>
        <v>44599.899999999994</v>
      </c>
      <c r="K47" s="36">
        <f t="shared" si="7"/>
        <v>8565</v>
      </c>
      <c r="L47" s="36">
        <f t="shared" si="7"/>
        <v>10435</v>
      </c>
      <c r="M47" s="36">
        <f t="shared" si="7"/>
        <v>12040</v>
      </c>
      <c r="N47" s="36">
        <f t="shared" si="7"/>
        <v>13915</v>
      </c>
      <c r="O47" s="37"/>
      <c r="P47" s="42">
        <f t="shared" si="16"/>
        <v>17125</v>
      </c>
      <c r="Q47" s="36">
        <f t="shared" si="16"/>
        <v>20875</v>
      </c>
      <c r="R47" s="36">
        <f t="shared" si="16"/>
        <v>24085</v>
      </c>
      <c r="S47" s="43">
        <f t="shared" si="16"/>
        <v>27830</v>
      </c>
      <c r="T47" s="37"/>
      <c r="U47" s="42">
        <f t="shared" si="17"/>
        <v>25690</v>
      </c>
      <c r="V47" s="36">
        <f t="shared" si="17"/>
        <v>31310</v>
      </c>
      <c r="W47" s="36">
        <f t="shared" si="17"/>
        <v>36130</v>
      </c>
      <c r="X47" s="43">
        <f t="shared" si="17"/>
        <v>41750</v>
      </c>
      <c r="Y47" s="37"/>
      <c r="Z47" s="36">
        <f t="shared" si="12"/>
        <v>14270</v>
      </c>
      <c r="AA47" s="36">
        <f t="shared" si="12"/>
        <v>17390</v>
      </c>
      <c r="AB47" s="36">
        <f t="shared" si="12"/>
        <v>20070</v>
      </c>
      <c r="AC47" s="36">
        <f t="shared" si="12"/>
        <v>23190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6"/>
        <v>52599.899999999994</v>
      </c>
      <c r="K48" s="36">
        <f t="shared" si="7"/>
        <v>10100</v>
      </c>
      <c r="L48" s="36">
        <f t="shared" si="7"/>
        <v>12310</v>
      </c>
      <c r="M48" s="36">
        <f t="shared" si="7"/>
        <v>14200</v>
      </c>
      <c r="N48" s="36">
        <f t="shared" si="7"/>
        <v>16410</v>
      </c>
      <c r="O48" s="37"/>
      <c r="P48" s="42">
        <f t="shared" si="16"/>
        <v>20200</v>
      </c>
      <c r="Q48" s="36">
        <f t="shared" si="16"/>
        <v>24615</v>
      </c>
      <c r="R48" s="36">
        <f t="shared" si="16"/>
        <v>28405</v>
      </c>
      <c r="S48" s="43">
        <f t="shared" si="16"/>
        <v>32820</v>
      </c>
      <c r="T48" s="37"/>
      <c r="U48" s="42">
        <f t="shared" si="17"/>
        <v>30300</v>
      </c>
      <c r="V48" s="36">
        <f t="shared" si="17"/>
        <v>36930</v>
      </c>
      <c r="W48" s="36">
        <f t="shared" si="17"/>
        <v>42610</v>
      </c>
      <c r="X48" s="43">
        <f t="shared" si="17"/>
        <v>49230</v>
      </c>
      <c r="Y48" s="37"/>
      <c r="Z48" s="36">
        <f t="shared" si="12"/>
        <v>16830</v>
      </c>
      <c r="AA48" s="36">
        <f t="shared" si="12"/>
        <v>20510</v>
      </c>
      <c r="AB48" s="36">
        <f t="shared" si="12"/>
        <v>23670</v>
      </c>
      <c r="AC48" s="36">
        <f t="shared" si="12"/>
        <v>27350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6"/>
        <v>60599.899999999994</v>
      </c>
      <c r="K49" s="36">
        <f t="shared" si="7"/>
        <v>11635</v>
      </c>
      <c r="L49" s="36">
        <f t="shared" si="7"/>
        <v>14180</v>
      </c>
      <c r="M49" s="36">
        <f t="shared" si="7"/>
        <v>16360</v>
      </c>
      <c r="N49" s="36">
        <f t="shared" si="7"/>
        <v>18905</v>
      </c>
      <c r="O49" s="37"/>
      <c r="P49" s="42">
        <f t="shared" si="16"/>
        <v>23270</v>
      </c>
      <c r="Q49" s="36">
        <f t="shared" si="16"/>
        <v>28360</v>
      </c>
      <c r="R49" s="36">
        <f t="shared" si="16"/>
        <v>32725</v>
      </c>
      <c r="S49" s="43">
        <f t="shared" si="16"/>
        <v>37815</v>
      </c>
      <c r="T49" s="37"/>
      <c r="U49" s="42">
        <f t="shared" si="17"/>
        <v>34910</v>
      </c>
      <c r="V49" s="36">
        <f t="shared" si="17"/>
        <v>42540</v>
      </c>
      <c r="W49" s="36">
        <f t="shared" si="17"/>
        <v>49090</v>
      </c>
      <c r="X49" s="43">
        <f t="shared" si="17"/>
        <v>56720</v>
      </c>
      <c r="Y49" s="37"/>
      <c r="Z49" s="36">
        <f t="shared" si="12"/>
        <v>19390</v>
      </c>
      <c r="AA49" s="36">
        <f t="shared" si="12"/>
        <v>23630</v>
      </c>
      <c r="AB49" s="36">
        <f t="shared" si="12"/>
        <v>27270</v>
      </c>
      <c r="AC49" s="36">
        <f t="shared" si="12"/>
        <v>31510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6"/>
        <v>68599.899999999994</v>
      </c>
      <c r="K50" s="36">
        <f t="shared" si="7"/>
        <v>13170</v>
      </c>
      <c r="L50" s="36">
        <f t="shared" si="7"/>
        <v>16050</v>
      </c>
      <c r="M50" s="36">
        <f t="shared" si="7"/>
        <v>18520</v>
      </c>
      <c r="N50" s="36">
        <f t="shared" si="7"/>
        <v>21405</v>
      </c>
      <c r="O50" s="37"/>
      <c r="P50" s="42">
        <f t="shared" si="16"/>
        <v>26340</v>
      </c>
      <c r="Q50" s="36">
        <f t="shared" si="16"/>
        <v>32105</v>
      </c>
      <c r="R50" s="36">
        <f t="shared" si="16"/>
        <v>37045</v>
      </c>
      <c r="S50" s="43">
        <f t="shared" si="16"/>
        <v>42805</v>
      </c>
      <c r="T50" s="37"/>
      <c r="U50" s="42">
        <f t="shared" si="17"/>
        <v>39510</v>
      </c>
      <c r="V50" s="36">
        <f t="shared" si="17"/>
        <v>48160</v>
      </c>
      <c r="W50" s="36">
        <f t="shared" si="17"/>
        <v>55570</v>
      </c>
      <c r="X50" s="43">
        <f t="shared" si="17"/>
        <v>64210</v>
      </c>
      <c r="Y50" s="37"/>
      <c r="Z50" s="36">
        <f t="shared" si="12"/>
        <v>21950</v>
      </c>
      <c r="AA50" s="36">
        <f t="shared" si="12"/>
        <v>26750</v>
      </c>
      <c r="AB50" s="36">
        <f t="shared" si="12"/>
        <v>30870</v>
      </c>
      <c r="AC50" s="36">
        <f t="shared" si="12"/>
        <v>35670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6"/>
        <v>76599.899999999994</v>
      </c>
      <c r="K51" s="36">
        <f t="shared" si="7"/>
        <v>14705</v>
      </c>
      <c r="L51" s="36">
        <f t="shared" si="7"/>
        <v>17925</v>
      </c>
      <c r="M51" s="36">
        <f t="shared" si="7"/>
        <v>20680</v>
      </c>
      <c r="N51" s="36">
        <f t="shared" si="7"/>
        <v>23900</v>
      </c>
      <c r="O51" s="37"/>
      <c r="P51" s="42">
        <f t="shared" si="16"/>
        <v>29415</v>
      </c>
      <c r="Q51" s="36">
        <f t="shared" si="16"/>
        <v>35850</v>
      </c>
      <c r="R51" s="36">
        <f t="shared" si="16"/>
        <v>41365</v>
      </c>
      <c r="S51" s="43">
        <f t="shared" si="16"/>
        <v>47800</v>
      </c>
      <c r="T51" s="37"/>
      <c r="U51" s="42">
        <f t="shared" si="17"/>
        <v>44120</v>
      </c>
      <c r="V51" s="36">
        <f t="shared" si="17"/>
        <v>53770</v>
      </c>
      <c r="W51" s="36">
        <f t="shared" si="17"/>
        <v>62050</v>
      </c>
      <c r="X51" s="43">
        <f t="shared" si="17"/>
        <v>71700</v>
      </c>
      <c r="Y51" s="37"/>
      <c r="Z51" s="36">
        <f t="shared" si="12"/>
        <v>24510</v>
      </c>
      <c r="AA51" s="36">
        <f t="shared" si="12"/>
        <v>29870</v>
      </c>
      <c r="AB51" s="36">
        <f t="shared" si="12"/>
        <v>34470</v>
      </c>
      <c r="AC51" s="36">
        <f t="shared" si="12"/>
        <v>39830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6"/>
        <v>84599.9</v>
      </c>
      <c r="K52" s="36">
        <f t="shared" si="7"/>
        <v>16245</v>
      </c>
      <c r="L52" s="36">
        <f t="shared" si="7"/>
        <v>19795</v>
      </c>
      <c r="M52" s="36">
        <f t="shared" si="7"/>
        <v>22840</v>
      </c>
      <c r="N52" s="36">
        <f t="shared" si="7"/>
        <v>26395</v>
      </c>
      <c r="O52" s="37"/>
      <c r="P52" s="44">
        <f t="shared" si="16"/>
        <v>32485</v>
      </c>
      <c r="Q52" s="45">
        <f t="shared" si="16"/>
        <v>39595</v>
      </c>
      <c r="R52" s="45">
        <f t="shared" si="16"/>
        <v>45685</v>
      </c>
      <c r="S52" s="46">
        <f t="shared" si="16"/>
        <v>52790</v>
      </c>
      <c r="T52" s="37"/>
      <c r="U52" s="44">
        <f t="shared" si="17"/>
        <v>48730</v>
      </c>
      <c r="V52" s="45">
        <f t="shared" si="17"/>
        <v>59390</v>
      </c>
      <c r="W52" s="45">
        <f t="shared" si="17"/>
        <v>68530</v>
      </c>
      <c r="X52" s="46">
        <f t="shared" si="17"/>
        <v>79190</v>
      </c>
      <c r="Y52" s="37"/>
      <c r="Z52" s="36">
        <f t="shared" si="12"/>
        <v>27070</v>
      </c>
      <c r="AA52" s="36">
        <f t="shared" si="12"/>
        <v>32990</v>
      </c>
      <c r="AB52" s="36">
        <f t="shared" si="12"/>
        <v>38070</v>
      </c>
      <c r="AC52" s="36">
        <f t="shared" si="12"/>
        <v>43990</v>
      </c>
      <c r="AD52" s="34"/>
    </row>
    <row r="53" spans="1:30" ht="15.75" thickTop="1" x14ac:dyDescent="0.25"/>
  </sheetData>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tabColor rgb="FFFF0000"/>
  </sheetPr>
  <dimension ref="A1:G79"/>
  <sheetViews>
    <sheetView zoomScaleNormal="100" workbookViewId="0">
      <selection activeCell="J31" sqref="J31"/>
    </sheetView>
  </sheetViews>
  <sheetFormatPr defaultRowHeight="15" x14ac:dyDescent="0.25"/>
  <cols>
    <col min="1" max="4" width="13" style="23" customWidth="1"/>
    <col min="6" max="7" width="9" style="177"/>
  </cols>
  <sheetData>
    <row r="1" spans="1:7" x14ac:dyDescent="0.25">
      <c r="A1" s="176" t="s">
        <v>236</v>
      </c>
    </row>
    <row r="3" spans="1:7" x14ac:dyDescent="0.25">
      <c r="A3" s="25" t="s">
        <v>233</v>
      </c>
      <c r="B3" s="25" t="s">
        <v>234</v>
      </c>
      <c r="C3" s="25" t="s">
        <v>235</v>
      </c>
      <c r="D3" s="25" t="s">
        <v>232</v>
      </c>
    </row>
    <row r="4" spans="1:7" x14ac:dyDescent="0.25">
      <c r="A4" s="23">
        <v>0</v>
      </c>
      <c r="B4" s="23">
        <v>10</v>
      </c>
      <c r="C4" s="23" t="str">
        <f>A4&amp;" - "&amp;B4</f>
        <v>0 - 10</v>
      </c>
      <c r="D4" s="170">
        <v>1</v>
      </c>
      <c r="F4" s="178">
        <v>0.35</v>
      </c>
      <c r="G4" s="177">
        <f>+D4*F4</f>
        <v>0.35</v>
      </c>
    </row>
    <row r="5" spans="1:7" x14ac:dyDescent="0.25">
      <c r="A5" s="23">
        <f>+B4+1</f>
        <v>11</v>
      </c>
      <c r="B5" s="23">
        <f>+A5+9</f>
        <v>20</v>
      </c>
      <c r="C5" s="23" t="str">
        <f t="shared" ref="C5:C28" si="0">A5&amp;" - "&amp;B5</f>
        <v>11 - 20</v>
      </c>
      <c r="D5" s="170">
        <v>1</v>
      </c>
      <c r="F5" s="178">
        <v>0.35</v>
      </c>
      <c r="G5" s="177">
        <f t="shared" ref="G5:G24" si="1">+D5*F5</f>
        <v>0.35</v>
      </c>
    </row>
    <row r="6" spans="1:7" x14ac:dyDescent="0.25">
      <c r="A6" s="23">
        <f t="shared" ref="A6:A69" si="2">+B5+1</f>
        <v>21</v>
      </c>
      <c r="B6" s="23">
        <f t="shared" ref="B6:B69" si="3">+A6+9</f>
        <v>30</v>
      </c>
      <c r="C6" s="23" t="str">
        <f t="shared" si="0"/>
        <v>21 - 30</v>
      </c>
      <c r="D6" s="171">
        <v>1.2</v>
      </c>
      <c r="F6" s="178">
        <v>0.35</v>
      </c>
      <c r="G6" s="177">
        <f t="shared" si="1"/>
        <v>0.42</v>
      </c>
    </row>
    <row r="7" spans="1:7" x14ac:dyDescent="0.25">
      <c r="A7" s="23">
        <f t="shared" si="2"/>
        <v>31</v>
      </c>
      <c r="B7" s="23">
        <f t="shared" si="3"/>
        <v>40</v>
      </c>
      <c r="C7" s="23" t="str">
        <f t="shared" si="0"/>
        <v>31 - 40</v>
      </c>
      <c r="D7" s="171">
        <v>1.2</v>
      </c>
      <c r="F7" s="178">
        <v>0.35</v>
      </c>
      <c r="G7" s="177">
        <f t="shared" si="1"/>
        <v>0.42</v>
      </c>
    </row>
    <row r="8" spans="1:7" x14ac:dyDescent="0.25">
      <c r="A8" s="23">
        <f t="shared" si="2"/>
        <v>41</v>
      </c>
      <c r="B8" s="23">
        <f t="shared" si="3"/>
        <v>50</v>
      </c>
      <c r="C8" s="23" t="str">
        <f t="shared" si="0"/>
        <v>41 - 50</v>
      </c>
      <c r="D8" s="172">
        <v>1.35</v>
      </c>
      <c r="F8" s="178">
        <v>0.35</v>
      </c>
      <c r="G8" s="177">
        <f t="shared" si="1"/>
        <v>0.47249999999999998</v>
      </c>
    </row>
    <row r="9" spans="1:7" x14ac:dyDescent="0.25">
      <c r="A9" s="23">
        <f t="shared" si="2"/>
        <v>51</v>
      </c>
      <c r="B9" s="23">
        <f t="shared" si="3"/>
        <v>60</v>
      </c>
      <c r="C9" s="23" t="str">
        <f t="shared" si="0"/>
        <v>51 - 60</v>
      </c>
      <c r="D9" s="172">
        <v>1.35</v>
      </c>
      <c r="F9" s="178">
        <v>0.35</v>
      </c>
      <c r="G9" s="177">
        <f t="shared" si="1"/>
        <v>0.47249999999999998</v>
      </c>
    </row>
    <row r="10" spans="1:7" x14ac:dyDescent="0.25">
      <c r="A10" s="23">
        <f t="shared" si="2"/>
        <v>61</v>
      </c>
      <c r="B10" s="23">
        <f t="shared" si="3"/>
        <v>70</v>
      </c>
      <c r="C10" s="23" t="str">
        <f t="shared" si="0"/>
        <v>61 - 70</v>
      </c>
      <c r="D10" s="172">
        <v>1.35</v>
      </c>
      <c r="F10" s="178">
        <v>0.35</v>
      </c>
      <c r="G10" s="177">
        <f t="shared" si="1"/>
        <v>0.47249999999999998</v>
      </c>
    </row>
    <row r="11" spans="1:7" x14ac:dyDescent="0.25">
      <c r="A11" s="23">
        <f t="shared" si="2"/>
        <v>71</v>
      </c>
      <c r="B11" s="23">
        <f t="shared" si="3"/>
        <v>80</v>
      </c>
      <c r="C11" s="23" t="str">
        <f t="shared" si="0"/>
        <v>71 - 80</v>
      </c>
      <c r="D11" s="172">
        <v>1.35</v>
      </c>
      <c r="F11" s="178">
        <v>0.35</v>
      </c>
      <c r="G11" s="177">
        <f t="shared" si="1"/>
        <v>0.47249999999999998</v>
      </c>
    </row>
    <row r="12" spans="1:7" x14ac:dyDescent="0.25">
      <c r="A12" s="23">
        <f t="shared" si="2"/>
        <v>81</v>
      </c>
      <c r="B12" s="23">
        <f t="shared" si="3"/>
        <v>90</v>
      </c>
      <c r="C12" s="23" t="str">
        <f t="shared" si="0"/>
        <v>81 - 90</v>
      </c>
      <c r="D12" s="172">
        <v>1.35</v>
      </c>
      <c r="F12" s="178">
        <v>0.35</v>
      </c>
      <c r="G12" s="177">
        <f t="shared" si="1"/>
        <v>0.47249999999999998</v>
      </c>
    </row>
    <row r="13" spans="1:7" x14ac:dyDescent="0.25">
      <c r="A13" s="23">
        <f t="shared" si="2"/>
        <v>91</v>
      </c>
      <c r="B13" s="23">
        <f t="shared" si="3"/>
        <v>100</v>
      </c>
      <c r="C13" s="23" t="str">
        <f t="shared" si="0"/>
        <v>91 - 100</v>
      </c>
      <c r="D13" s="172">
        <v>1.35</v>
      </c>
      <c r="F13" s="178">
        <v>0.35</v>
      </c>
      <c r="G13" s="177">
        <f t="shared" si="1"/>
        <v>0.47249999999999998</v>
      </c>
    </row>
    <row r="14" spans="1:7" x14ac:dyDescent="0.25">
      <c r="A14" s="23">
        <f t="shared" si="2"/>
        <v>101</v>
      </c>
      <c r="B14" s="23">
        <f t="shared" si="3"/>
        <v>110</v>
      </c>
      <c r="C14" s="23" t="str">
        <f t="shared" si="0"/>
        <v>101 - 110</v>
      </c>
      <c r="D14" s="172">
        <v>1.35</v>
      </c>
      <c r="F14" s="178">
        <v>0.35</v>
      </c>
      <c r="G14" s="177">
        <f t="shared" si="1"/>
        <v>0.47249999999999998</v>
      </c>
    </row>
    <row r="15" spans="1:7" x14ac:dyDescent="0.25">
      <c r="A15" s="23">
        <f t="shared" si="2"/>
        <v>111</v>
      </c>
      <c r="B15" s="23">
        <f t="shared" si="3"/>
        <v>120</v>
      </c>
      <c r="C15" s="23" t="str">
        <f t="shared" si="0"/>
        <v>111 - 120</v>
      </c>
      <c r="D15" s="172">
        <v>1.35</v>
      </c>
      <c r="F15" s="178">
        <v>0.35</v>
      </c>
      <c r="G15" s="177">
        <f t="shared" si="1"/>
        <v>0.47249999999999998</v>
      </c>
    </row>
    <row r="16" spans="1:7" x14ac:dyDescent="0.25">
      <c r="A16" s="23">
        <f t="shared" si="2"/>
        <v>121</v>
      </c>
      <c r="B16" s="23">
        <f t="shared" si="3"/>
        <v>130</v>
      </c>
      <c r="C16" s="23" t="str">
        <f t="shared" si="0"/>
        <v>121 - 130</v>
      </c>
      <c r="D16" s="172">
        <v>1.35</v>
      </c>
      <c r="F16" s="178">
        <v>0.35</v>
      </c>
      <c r="G16" s="177">
        <f t="shared" si="1"/>
        <v>0.47249999999999998</v>
      </c>
    </row>
    <row r="17" spans="1:7" x14ac:dyDescent="0.25">
      <c r="A17" s="23">
        <f t="shared" si="2"/>
        <v>131</v>
      </c>
      <c r="B17" s="23">
        <f t="shared" si="3"/>
        <v>140</v>
      </c>
      <c r="C17" s="23" t="str">
        <f t="shared" si="0"/>
        <v>131 - 140</v>
      </c>
      <c r="D17" s="172">
        <v>1.35</v>
      </c>
      <c r="F17" s="178">
        <v>0.35</v>
      </c>
      <c r="G17" s="177">
        <f t="shared" si="1"/>
        <v>0.47249999999999998</v>
      </c>
    </row>
    <row r="18" spans="1:7" x14ac:dyDescent="0.25">
      <c r="A18" s="23">
        <f t="shared" si="2"/>
        <v>141</v>
      </c>
      <c r="B18" s="23">
        <f t="shared" si="3"/>
        <v>150</v>
      </c>
      <c r="C18" s="23" t="str">
        <f t="shared" si="0"/>
        <v>141 - 150</v>
      </c>
      <c r="D18" s="172">
        <v>1.35</v>
      </c>
      <c r="F18" s="178">
        <v>0.35</v>
      </c>
      <c r="G18" s="177">
        <f t="shared" si="1"/>
        <v>0.47249999999999998</v>
      </c>
    </row>
    <row r="19" spans="1:7" x14ac:dyDescent="0.25">
      <c r="A19" s="23">
        <f t="shared" si="2"/>
        <v>151</v>
      </c>
      <c r="B19" s="23">
        <f t="shared" si="3"/>
        <v>160</v>
      </c>
      <c r="C19" s="23" t="str">
        <f t="shared" si="0"/>
        <v>151 - 160</v>
      </c>
      <c r="D19" s="172">
        <v>1.35</v>
      </c>
      <c r="F19" s="178">
        <v>0.35</v>
      </c>
      <c r="G19" s="177">
        <f t="shared" si="1"/>
        <v>0.47249999999999998</v>
      </c>
    </row>
    <row r="20" spans="1:7" x14ac:dyDescent="0.25">
      <c r="A20" s="23">
        <f t="shared" si="2"/>
        <v>161</v>
      </c>
      <c r="B20" s="23">
        <f t="shared" si="3"/>
        <v>170</v>
      </c>
      <c r="C20" s="23" t="str">
        <f t="shared" si="0"/>
        <v>161 - 170</v>
      </c>
      <c r="D20" s="172">
        <v>1.35</v>
      </c>
      <c r="F20" s="178">
        <v>0.35</v>
      </c>
      <c r="G20" s="177">
        <f t="shared" si="1"/>
        <v>0.47249999999999998</v>
      </c>
    </row>
    <row r="21" spans="1:7" x14ac:dyDescent="0.25">
      <c r="A21" s="23">
        <f t="shared" si="2"/>
        <v>171</v>
      </c>
      <c r="B21" s="23">
        <f t="shared" si="3"/>
        <v>180</v>
      </c>
      <c r="C21" s="23" t="str">
        <f t="shared" si="0"/>
        <v>171 - 180</v>
      </c>
      <c r="D21" s="172">
        <v>1.35</v>
      </c>
      <c r="F21" s="178">
        <v>0.35</v>
      </c>
      <c r="G21" s="177">
        <f t="shared" si="1"/>
        <v>0.47249999999999998</v>
      </c>
    </row>
    <row r="22" spans="1:7" x14ac:dyDescent="0.25">
      <c r="A22" s="23">
        <f t="shared" si="2"/>
        <v>181</v>
      </c>
      <c r="B22" s="23">
        <f t="shared" si="3"/>
        <v>190</v>
      </c>
      <c r="C22" s="23" t="str">
        <f t="shared" si="0"/>
        <v>181 - 190</v>
      </c>
      <c r="D22" s="172">
        <v>1.35</v>
      </c>
      <c r="F22" s="178">
        <v>0.35</v>
      </c>
      <c r="G22" s="177">
        <f t="shared" si="1"/>
        <v>0.47249999999999998</v>
      </c>
    </row>
    <row r="23" spans="1:7" x14ac:dyDescent="0.25">
      <c r="A23" s="23">
        <f t="shared" si="2"/>
        <v>191</v>
      </c>
      <c r="B23" s="23">
        <f t="shared" si="3"/>
        <v>200</v>
      </c>
      <c r="C23" s="23" t="str">
        <f t="shared" si="0"/>
        <v>191 - 200</v>
      </c>
      <c r="D23" s="172">
        <v>1.35</v>
      </c>
      <c r="F23" s="178">
        <v>0.35</v>
      </c>
      <c r="G23" s="177">
        <f t="shared" si="1"/>
        <v>0.47249999999999998</v>
      </c>
    </row>
    <row r="24" spans="1:7" x14ac:dyDescent="0.25">
      <c r="A24" s="23">
        <f t="shared" si="2"/>
        <v>201</v>
      </c>
      <c r="B24" s="23">
        <f t="shared" si="3"/>
        <v>210</v>
      </c>
      <c r="C24" s="23" t="str">
        <f t="shared" si="0"/>
        <v>201 - 210</v>
      </c>
      <c r="D24" s="173">
        <v>1.45</v>
      </c>
      <c r="F24" s="178">
        <v>0.35</v>
      </c>
      <c r="G24" s="177">
        <f t="shared" si="1"/>
        <v>0.50749999999999995</v>
      </c>
    </row>
    <row r="25" spans="1:7" x14ac:dyDescent="0.25">
      <c r="A25" s="23">
        <f t="shared" si="2"/>
        <v>211</v>
      </c>
      <c r="B25" s="23">
        <f t="shared" si="3"/>
        <v>220</v>
      </c>
      <c r="C25" s="23" t="str">
        <f t="shared" si="0"/>
        <v>211 - 220</v>
      </c>
      <c r="D25" s="173">
        <v>1.45</v>
      </c>
      <c r="F25" s="178">
        <v>0.35</v>
      </c>
      <c r="G25" s="177">
        <f t="shared" ref="G25:G79" si="4">+D25*F25</f>
        <v>0.50749999999999995</v>
      </c>
    </row>
    <row r="26" spans="1:7" x14ac:dyDescent="0.25">
      <c r="A26" s="23">
        <f t="shared" si="2"/>
        <v>221</v>
      </c>
      <c r="B26" s="23">
        <f t="shared" si="3"/>
        <v>230</v>
      </c>
      <c r="C26" s="23" t="str">
        <f t="shared" si="0"/>
        <v>221 - 230</v>
      </c>
      <c r="D26" s="173">
        <v>1.45</v>
      </c>
      <c r="F26" s="178">
        <v>0.35</v>
      </c>
      <c r="G26" s="177">
        <f t="shared" si="4"/>
        <v>0.50749999999999995</v>
      </c>
    </row>
    <row r="27" spans="1:7" x14ac:dyDescent="0.25">
      <c r="A27" s="23">
        <f t="shared" si="2"/>
        <v>231</v>
      </c>
      <c r="B27" s="23">
        <f t="shared" si="3"/>
        <v>240</v>
      </c>
      <c r="C27" s="23" t="str">
        <f t="shared" si="0"/>
        <v>231 - 240</v>
      </c>
      <c r="D27" s="173">
        <v>1.45</v>
      </c>
      <c r="F27" s="178">
        <v>0.35</v>
      </c>
      <c r="G27" s="177">
        <f t="shared" si="4"/>
        <v>0.50749999999999995</v>
      </c>
    </row>
    <row r="28" spans="1:7" x14ac:dyDescent="0.25">
      <c r="A28" s="23">
        <f t="shared" si="2"/>
        <v>241</v>
      </c>
      <c r="B28" s="23">
        <f t="shared" si="3"/>
        <v>250</v>
      </c>
      <c r="C28" s="23" t="str">
        <f t="shared" si="0"/>
        <v>241 - 250</v>
      </c>
      <c r="D28" s="173">
        <v>1.45</v>
      </c>
      <c r="F28" s="178">
        <v>0.35</v>
      </c>
      <c r="G28" s="177">
        <f t="shared" si="4"/>
        <v>0.50749999999999995</v>
      </c>
    </row>
    <row r="29" spans="1:7" x14ac:dyDescent="0.25">
      <c r="A29" s="23">
        <f t="shared" si="2"/>
        <v>251</v>
      </c>
      <c r="B29" s="23">
        <f t="shared" si="3"/>
        <v>260</v>
      </c>
      <c r="C29" s="23" t="str">
        <f t="shared" ref="C29:C46" si="5">A29&amp;" - "&amp;B29</f>
        <v>251 - 260</v>
      </c>
      <c r="D29" s="173">
        <v>1.45</v>
      </c>
      <c r="F29" s="178">
        <v>0.35</v>
      </c>
      <c r="G29" s="177">
        <f t="shared" si="4"/>
        <v>0.50749999999999995</v>
      </c>
    </row>
    <row r="30" spans="1:7" x14ac:dyDescent="0.25">
      <c r="A30" s="23">
        <f t="shared" si="2"/>
        <v>261</v>
      </c>
      <c r="B30" s="23">
        <f t="shared" si="3"/>
        <v>270</v>
      </c>
      <c r="C30" s="23" t="str">
        <f t="shared" si="5"/>
        <v>261 - 270</v>
      </c>
      <c r="D30" s="173">
        <v>1.45</v>
      </c>
      <c r="F30" s="178">
        <v>0.35</v>
      </c>
      <c r="G30" s="177">
        <f t="shared" si="4"/>
        <v>0.50749999999999995</v>
      </c>
    </row>
    <row r="31" spans="1:7" x14ac:dyDescent="0.25">
      <c r="A31" s="23">
        <f t="shared" si="2"/>
        <v>271</v>
      </c>
      <c r="B31" s="23">
        <f t="shared" si="3"/>
        <v>280</v>
      </c>
      <c r="C31" s="23" t="str">
        <f t="shared" si="5"/>
        <v>271 - 280</v>
      </c>
      <c r="D31" s="173">
        <v>1.45</v>
      </c>
      <c r="F31" s="178">
        <v>0.35</v>
      </c>
      <c r="G31" s="177">
        <f t="shared" si="4"/>
        <v>0.50749999999999995</v>
      </c>
    </row>
    <row r="32" spans="1:7" x14ac:dyDescent="0.25">
      <c r="A32" s="23">
        <f t="shared" si="2"/>
        <v>281</v>
      </c>
      <c r="B32" s="23">
        <f t="shared" si="3"/>
        <v>290</v>
      </c>
      <c r="C32" s="23" t="str">
        <f t="shared" si="5"/>
        <v>281 - 290</v>
      </c>
      <c r="D32" s="173">
        <v>1.45</v>
      </c>
      <c r="F32" s="178">
        <v>0.35</v>
      </c>
      <c r="G32" s="177">
        <f t="shared" si="4"/>
        <v>0.50749999999999995</v>
      </c>
    </row>
    <row r="33" spans="1:7" x14ac:dyDescent="0.25">
      <c r="A33" s="23">
        <f t="shared" si="2"/>
        <v>291</v>
      </c>
      <c r="B33" s="23">
        <f t="shared" si="3"/>
        <v>300</v>
      </c>
      <c r="C33" s="23" t="str">
        <f t="shared" si="5"/>
        <v>291 - 300</v>
      </c>
      <c r="D33" s="173">
        <v>1.45</v>
      </c>
      <c r="F33" s="178">
        <v>0.35</v>
      </c>
      <c r="G33" s="177">
        <f t="shared" si="4"/>
        <v>0.50749999999999995</v>
      </c>
    </row>
    <row r="34" spans="1:7" x14ac:dyDescent="0.25">
      <c r="A34" s="23">
        <f t="shared" si="2"/>
        <v>301</v>
      </c>
      <c r="B34" s="23">
        <f t="shared" si="3"/>
        <v>310</v>
      </c>
      <c r="C34" s="23" t="str">
        <f t="shared" si="5"/>
        <v>301 - 310</v>
      </c>
      <c r="D34" s="174">
        <v>1.5</v>
      </c>
      <c r="F34" s="178">
        <v>0.35</v>
      </c>
      <c r="G34" s="177">
        <f t="shared" si="4"/>
        <v>0.52499999999999991</v>
      </c>
    </row>
    <row r="35" spans="1:7" x14ac:dyDescent="0.25">
      <c r="A35" s="23">
        <f t="shared" si="2"/>
        <v>311</v>
      </c>
      <c r="B35" s="23">
        <f t="shared" si="3"/>
        <v>320</v>
      </c>
      <c r="C35" s="23" t="str">
        <f t="shared" si="5"/>
        <v>311 - 320</v>
      </c>
      <c r="D35" s="174">
        <v>1.5</v>
      </c>
      <c r="F35" s="178">
        <v>0.35</v>
      </c>
      <c r="G35" s="177">
        <f t="shared" si="4"/>
        <v>0.52499999999999991</v>
      </c>
    </row>
    <row r="36" spans="1:7" x14ac:dyDescent="0.25">
      <c r="A36" s="23">
        <f t="shared" si="2"/>
        <v>321</v>
      </c>
      <c r="B36" s="23">
        <f t="shared" si="3"/>
        <v>330</v>
      </c>
      <c r="C36" s="23" t="str">
        <f t="shared" si="5"/>
        <v>321 - 330</v>
      </c>
      <c r="D36" s="174">
        <v>1.5</v>
      </c>
      <c r="F36" s="178">
        <v>0.35</v>
      </c>
      <c r="G36" s="177">
        <f t="shared" si="4"/>
        <v>0.52499999999999991</v>
      </c>
    </row>
    <row r="37" spans="1:7" x14ac:dyDescent="0.25">
      <c r="A37" s="23">
        <f t="shared" si="2"/>
        <v>331</v>
      </c>
      <c r="B37" s="23">
        <f t="shared" si="3"/>
        <v>340</v>
      </c>
      <c r="C37" s="23" t="str">
        <f t="shared" si="5"/>
        <v>331 - 340</v>
      </c>
      <c r="D37" s="174">
        <v>1.5</v>
      </c>
      <c r="F37" s="178">
        <v>0.35</v>
      </c>
      <c r="G37" s="177">
        <f t="shared" si="4"/>
        <v>0.52499999999999991</v>
      </c>
    </row>
    <row r="38" spans="1:7" x14ac:dyDescent="0.25">
      <c r="A38" s="23">
        <f t="shared" si="2"/>
        <v>341</v>
      </c>
      <c r="B38" s="23">
        <f t="shared" si="3"/>
        <v>350</v>
      </c>
      <c r="C38" s="23" t="str">
        <f t="shared" si="5"/>
        <v>341 - 350</v>
      </c>
      <c r="D38" s="174">
        <v>1.5</v>
      </c>
      <c r="F38" s="178">
        <v>0.35</v>
      </c>
      <c r="G38" s="177">
        <f t="shared" si="4"/>
        <v>0.52499999999999991</v>
      </c>
    </row>
    <row r="39" spans="1:7" x14ac:dyDescent="0.25">
      <c r="A39" s="23">
        <f t="shared" si="2"/>
        <v>351</v>
      </c>
      <c r="B39" s="23">
        <f t="shared" si="3"/>
        <v>360</v>
      </c>
      <c r="C39" s="23" t="str">
        <f t="shared" si="5"/>
        <v>351 - 360</v>
      </c>
      <c r="D39" s="174">
        <v>1.5</v>
      </c>
      <c r="F39" s="178">
        <v>0.35</v>
      </c>
      <c r="G39" s="177">
        <f t="shared" si="4"/>
        <v>0.52499999999999991</v>
      </c>
    </row>
    <row r="40" spans="1:7" x14ac:dyDescent="0.25">
      <c r="A40" s="23">
        <f t="shared" si="2"/>
        <v>361</v>
      </c>
      <c r="B40" s="23">
        <f t="shared" si="3"/>
        <v>370</v>
      </c>
      <c r="C40" s="23" t="str">
        <f t="shared" si="5"/>
        <v>361 - 370</v>
      </c>
      <c r="D40" s="174">
        <v>1.5</v>
      </c>
      <c r="F40" s="178">
        <v>0.35</v>
      </c>
      <c r="G40" s="177">
        <f t="shared" si="4"/>
        <v>0.52499999999999991</v>
      </c>
    </row>
    <row r="41" spans="1:7" x14ac:dyDescent="0.25">
      <c r="A41" s="23">
        <f t="shared" si="2"/>
        <v>371</v>
      </c>
      <c r="B41" s="23">
        <f t="shared" si="3"/>
        <v>380</v>
      </c>
      <c r="C41" s="23" t="str">
        <f t="shared" si="5"/>
        <v>371 - 380</v>
      </c>
      <c r="D41" s="174">
        <v>1.5</v>
      </c>
      <c r="F41" s="178">
        <v>0.35</v>
      </c>
      <c r="G41" s="177">
        <f t="shared" si="4"/>
        <v>0.52499999999999991</v>
      </c>
    </row>
    <row r="42" spans="1:7" x14ac:dyDescent="0.25">
      <c r="A42" s="23">
        <f t="shared" si="2"/>
        <v>381</v>
      </c>
      <c r="B42" s="23">
        <f t="shared" si="3"/>
        <v>390</v>
      </c>
      <c r="C42" s="23" t="str">
        <f t="shared" si="5"/>
        <v>381 - 390</v>
      </c>
      <c r="D42" s="174">
        <v>1.5</v>
      </c>
      <c r="F42" s="178">
        <v>0.35</v>
      </c>
      <c r="G42" s="177">
        <f t="shared" si="4"/>
        <v>0.52499999999999991</v>
      </c>
    </row>
    <row r="43" spans="1:7" x14ac:dyDescent="0.25">
      <c r="A43" s="23">
        <f t="shared" si="2"/>
        <v>391</v>
      </c>
      <c r="B43" s="23">
        <f t="shared" si="3"/>
        <v>400</v>
      </c>
      <c r="C43" s="23" t="str">
        <f t="shared" si="5"/>
        <v>391 - 400</v>
      </c>
      <c r="D43" s="174">
        <v>1.5</v>
      </c>
      <c r="F43" s="178">
        <v>0.35</v>
      </c>
      <c r="G43" s="177">
        <f t="shared" si="4"/>
        <v>0.52499999999999991</v>
      </c>
    </row>
    <row r="44" spans="1:7" x14ac:dyDescent="0.25">
      <c r="A44" s="23">
        <f t="shared" si="2"/>
        <v>401</v>
      </c>
      <c r="B44" s="23">
        <f t="shared" si="3"/>
        <v>410</v>
      </c>
      <c r="C44" s="23" t="str">
        <f t="shared" si="5"/>
        <v>401 - 410</v>
      </c>
      <c r="D44" s="175">
        <v>1.65</v>
      </c>
      <c r="F44" s="178">
        <v>0.35</v>
      </c>
      <c r="G44" s="177">
        <f t="shared" si="4"/>
        <v>0.5774999999999999</v>
      </c>
    </row>
    <row r="45" spans="1:7" x14ac:dyDescent="0.25">
      <c r="A45" s="23">
        <f t="shared" si="2"/>
        <v>411</v>
      </c>
      <c r="B45" s="23">
        <f t="shared" si="3"/>
        <v>420</v>
      </c>
      <c r="C45" s="23" t="str">
        <f t="shared" si="5"/>
        <v>411 - 420</v>
      </c>
      <c r="D45" s="175">
        <v>1.65</v>
      </c>
      <c r="F45" s="178">
        <v>0.35</v>
      </c>
      <c r="G45" s="177">
        <f t="shared" si="4"/>
        <v>0.5774999999999999</v>
      </c>
    </row>
    <row r="46" spans="1:7" x14ac:dyDescent="0.25">
      <c r="A46" s="23">
        <f t="shared" si="2"/>
        <v>421</v>
      </c>
      <c r="B46" s="23">
        <f t="shared" si="3"/>
        <v>430</v>
      </c>
      <c r="C46" s="23" t="str">
        <f t="shared" si="5"/>
        <v>421 - 430</v>
      </c>
      <c r="D46" s="175">
        <v>1.65</v>
      </c>
      <c r="F46" s="178">
        <v>0.35</v>
      </c>
      <c r="G46" s="177">
        <f t="shared" si="4"/>
        <v>0.5774999999999999</v>
      </c>
    </row>
    <row r="47" spans="1:7" x14ac:dyDescent="0.25">
      <c r="A47" s="23">
        <f t="shared" si="2"/>
        <v>431</v>
      </c>
      <c r="B47" s="23">
        <f t="shared" si="3"/>
        <v>440</v>
      </c>
      <c r="C47" s="23" t="str">
        <f t="shared" ref="C47:C55" si="6">A47&amp;" - "&amp;B47</f>
        <v>431 - 440</v>
      </c>
      <c r="D47" s="175">
        <v>1.65</v>
      </c>
      <c r="F47" s="178">
        <v>0.35</v>
      </c>
      <c r="G47" s="177">
        <f t="shared" si="4"/>
        <v>0.5774999999999999</v>
      </c>
    </row>
    <row r="48" spans="1:7" x14ac:dyDescent="0.25">
      <c r="A48" s="23">
        <f t="shared" si="2"/>
        <v>441</v>
      </c>
      <c r="B48" s="23">
        <f t="shared" si="3"/>
        <v>450</v>
      </c>
      <c r="C48" s="23" t="str">
        <f t="shared" si="6"/>
        <v>441 - 450</v>
      </c>
      <c r="D48" s="175">
        <v>1.65</v>
      </c>
      <c r="F48" s="178">
        <v>0.35</v>
      </c>
      <c r="G48" s="177">
        <f t="shared" si="4"/>
        <v>0.5774999999999999</v>
      </c>
    </row>
    <row r="49" spans="1:7" x14ac:dyDescent="0.25">
      <c r="A49" s="23">
        <f t="shared" si="2"/>
        <v>451</v>
      </c>
      <c r="B49" s="23">
        <f t="shared" si="3"/>
        <v>460</v>
      </c>
      <c r="C49" s="23" t="str">
        <f t="shared" si="6"/>
        <v>451 - 460</v>
      </c>
      <c r="D49" s="175">
        <v>1.65</v>
      </c>
      <c r="F49" s="178">
        <v>0.35</v>
      </c>
      <c r="G49" s="177">
        <f t="shared" si="4"/>
        <v>0.5774999999999999</v>
      </c>
    </row>
    <row r="50" spans="1:7" x14ac:dyDescent="0.25">
      <c r="A50" s="23">
        <f t="shared" si="2"/>
        <v>461</v>
      </c>
      <c r="B50" s="23">
        <f t="shared" si="3"/>
        <v>470</v>
      </c>
      <c r="C50" s="23" t="str">
        <f t="shared" si="6"/>
        <v>461 - 470</v>
      </c>
      <c r="D50" s="175">
        <v>1.65</v>
      </c>
      <c r="F50" s="178">
        <v>0.35</v>
      </c>
      <c r="G50" s="177">
        <f t="shared" si="4"/>
        <v>0.5774999999999999</v>
      </c>
    </row>
    <row r="51" spans="1:7" x14ac:dyDescent="0.25">
      <c r="A51" s="23">
        <f t="shared" si="2"/>
        <v>471</v>
      </c>
      <c r="B51" s="23">
        <f t="shared" si="3"/>
        <v>480</v>
      </c>
      <c r="C51" s="23" t="str">
        <f t="shared" si="6"/>
        <v>471 - 480</v>
      </c>
      <c r="D51" s="175">
        <v>1.65</v>
      </c>
      <c r="F51" s="178">
        <v>0.35</v>
      </c>
      <c r="G51" s="177">
        <f t="shared" si="4"/>
        <v>0.5774999999999999</v>
      </c>
    </row>
    <row r="52" spans="1:7" x14ac:dyDescent="0.25">
      <c r="A52" s="23">
        <f t="shared" si="2"/>
        <v>481</v>
      </c>
      <c r="B52" s="23">
        <f t="shared" si="3"/>
        <v>490</v>
      </c>
      <c r="C52" s="23" t="str">
        <f t="shared" si="6"/>
        <v>481 - 490</v>
      </c>
      <c r="D52" s="175">
        <v>1.65</v>
      </c>
      <c r="F52" s="178">
        <v>0.35</v>
      </c>
      <c r="G52" s="177">
        <f t="shared" si="4"/>
        <v>0.5774999999999999</v>
      </c>
    </row>
    <row r="53" spans="1:7" x14ac:dyDescent="0.25">
      <c r="A53" s="23">
        <f t="shared" si="2"/>
        <v>491</v>
      </c>
      <c r="B53" s="23">
        <f t="shared" si="3"/>
        <v>500</v>
      </c>
      <c r="C53" s="23" t="str">
        <f t="shared" si="6"/>
        <v>491 - 500</v>
      </c>
      <c r="D53" s="175">
        <v>1.65</v>
      </c>
      <c r="F53" s="178">
        <v>0.35</v>
      </c>
      <c r="G53" s="177">
        <f t="shared" si="4"/>
        <v>0.5774999999999999</v>
      </c>
    </row>
    <row r="54" spans="1:7" x14ac:dyDescent="0.25">
      <c r="A54" s="23">
        <f t="shared" si="2"/>
        <v>501</v>
      </c>
      <c r="B54" s="23">
        <f t="shared" si="3"/>
        <v>510</v>
      </c>
      <c r="C54" s="23" t="str">
        <f t="shared" si="6"/>
        <v>501 - 510</v>
      </c>
      <c r="D54" s="175">
        <v>1.65</v>
      </c>
      <c r="F54" s="178">
        <v>0.35</v>
      </c>
      <c r="G54" s="177">
        <f t="shared" si="4"/>
        <v>0.5774999999999999</v>
      </c>
    </row>
    <row r="55" spans="1:7" x14ac:dyDescent="0.25">
      <c r="A55" s="23">
        <f t="shared" si="2"/>
        <v>511</v>
      </c>
      <c r="B55" s="23">
        <f t="shared" si="3"/>
        <v>520</v>
      </c>
      <c r="C55" s="23" t="str">
        <f t="shared" si="6"/>
        <v>511 - 520</v>
      </c>
      <c r="D55" s="175">
        <v>1.65</v>
      </c>
      <c r="F55" s="178">
        <v>0.35</v>
      </c>
      <c r="G55" s="177">
        <f t="shared" si="4"/>
        <v>0.5774999999999999</v>
      </c>
    </row>
    <row r="56" spans="1:7" x14ac:dyDescent="0.25">
      <c r="A56" s="23">
        <f t="shared" si="2"/>
        <v>521</v>
      </c>
      <c r="B56" s="23">
        <f t="shared" si="3"/>
        <v>530</v>
      </c>
      <c r="C56" s="23" t="str">
        <f t="shared" ref="C56:C79" si="7">A56&amp;" - "&amp;B56</f>
        <v>521 - 530</v>
      </c>
      <c r="D56" s="175">
        <v>1.65</v>
      </c>
      <c r="F56" s="178">
        <v>0.35</v>
      </c>
      <c r="G56" s="177">
        <f t="shared" si="4"/>
        <v>0.5774999999999999</v>
      </c>
    </row>
    <row r="57" spans="1:7" x14ac:dyDescent="0.25">
      <c r="A57" s="23">
        <f t="shared" si="2"/>
        <v>531</v>
      </c>
      <c r="B57" s="23">
        <f t="shared" si="3"/>
        <v>540</v>
      </c>
      <c r="C57" s="23" t="str">
        <f t="shared" si="7"/>
        <v>531 - 540</v>
      </c>
      <c r="D57" s="175">
        <v>1.65</v>
      </c>
      <c r="F57" s="178">
        <v>0.35</v>
      </c>
      <c r="G57" s="177">
        <f t="shared" si="4"/>
        <v>0.5774999999999999</v>
      </c>
    </row>
    <row r="58" spans="1:7" x14ac:dyDescent="0.25">
      <c r="A58" s="23">
        <f t="shared" si="2"/>
        <v>541</v>
      </c>
      <c r="B58" s="23">
        <f t="shared" si="3"/>
        <v>550</v>
      </c>
      <c r="C58" s="23" t="str">
        <f t="shared" si="7"/>
        <v>541 - 550</v>
      </c>
      <c r="D58" s="175">
        <v>1.65</v>
      </c>
      <c r="F58" s="178">
        <v>0.35</v>
      </c>
      <c r="G58" s="177">
        <f t="shared" si="4"/>
        <v>0.5774999999999999</v>
      </c>
    </row>
    <row r="59" spans="1:7" x14ac:dyDescent="0.25">
      <c r="A59" s="23">
        <f t="shared" si="2"/>
        <v>551</v>
      </c>
      <c r="B59" s="23">
        <f t="shared" si="3"/>
        <v>560</v>
      </c>
      <c r="C59" s="23" t="str">
        <f t="shared" si="7"/>
        <v>551 - 560</v>
      </c>
      <c r="D59" s="175">
        <v>1.65</v>
      </c>
      <c r="F59" s="178">
        <v>0.35</v>
      </c>
      <c r="G59" s="177">
        <f t="shared" si="4"/>
        <v>0.5774999999999999</v>
      </c>
    </row>
    <row r="60" spans="1:7" x14ac:dyDescent="0.25">
      <c r="A60" s="23">
        <f t="shared" si="2"/>
        <v>561</v>
      </c>
      <c r="B60" s="23">
        <f t="shared" si="3"/>
        <v>570</v>
      </c>
      <c r="C60" s="23" t="str">
        <f t="shared" si="7"/>
        <v>561 - 570</v>
      </c>
      <c r="D60" s="175">
        <v>1.65</v>
      </c>
      <c r="F60" s="178">
        <v>0.35</v>
      </c>
      <c r="G60" s="177">
        <f t="shared" si="4"/>
        <v>0.5774999999999999</v>
      </c>
    </row>
    <row r="61" spans="1:7" x14ac:dyDescent="0.25">
      <c r="A61" s="23">
        <f t="shared" si="2"/>
        <v>571</v>
      </c>
      <c r="B61" s="23">
        <f t="shared" si="3"/>
        <v>580</v>
      </c>
      <c r="C61" s="23" t="str">
        <f t="shared" si="7"/>
        <v>571 - 580</v>
      </c>
      <c r="D61" s="175">
        <v>1.65</v>
      </c>
      <c r="F61" s="178">
        <v>0.35</v>
      </c>
      <c r="G61" s="177">
        <f t="shared" si="4"/>
        <v>0.5774999999999999</v>
      </c>
    </row>
    <row r="62" spans="1:7" x14ac:dyDescent="0.25">
      <c r="A62" s="23">
        <f t="shared" si="2"/>
        <v>581</v>
      </c>
      <c r="B62" s="23">
        <f t="shared" si="3"/>
        <v>590</v>
      </c>
      <c r="C62" s="23" t="str">
        <f t="shared" si="7"/>
        <v>581 - 590</v>
      </c>
      <c r="D62" s="175">
        <v>1.65</v>
      </c>
      <c r="F62" s="178">
        <v>0.35</v>
      </c>
      <c r="G62" s="177">
        <f t="shared" si="4"/>
        <v>0.5774999999999999</v>
      </c>
    </row>
    <row r="63" spans="1:7" x14ac:dyDescent="0.25">
      <c r="A63" s="23">
        <f t="shared" si="2"/>
        <v>591</v>
      </c>
      <c r="B63" s="23">
        <f t="shared" si="3"/>
        <v>600</v>
      </c>
      <c r="C63" s="23" t="str">
        <f t="shared" si="7"/>
        <v>591 - 600</v>
      </c>
      <c r="D63" s="175">
        <v>1.65</v>
      </c>
      <c r="F63" s="178">
        <v>0.35</v>
      </c>
      <c r="G63" s="177">
        <f t="shared" si="4"/>
        <v>0.5774999999999999</v>
      </c>
    </row>
    <row r="64" spans="1:7" x14ac:dyDescent="0.25">
      <c r="A64" s="23">
        <f t="shared" si="2"/>
        <v>601</v>
      </c>
      <c r="B64" s="23">
        <f t="shared" si="3"/>
        <v>610</v>
      </c>
      <c r="C64" s="23" t="str">
        <f t="shared" si="7"/>
        <v>601 - 610</v>
      </c>
      <c r="D64" s="175">
        <v>1.65</v>
      </c>
      <c r="F64" s="178">
        <v>0.35</v>
      </c>
      <c r="G64" s="177">
        <f t="shared" si="4"/>
        <v>0.5774999999999999</v>
      </c>
    </row>
    <row r="65" spans="1:7" x14ac:dyDescent="0.25">
      <c r="A65" s="23">
        <f t="shared" si="2"/>
        <v>611</v>
      </c>
      <c r="B65" s="23">
        <f t="shared" si="3"/>
        <v>620</v>
      </c>
      <c r="C65" s="23" t="str">
        <f t="shared" si="7"/>
        <v>611 - 620</v>
      </c>
      <c r="D65" s="175">
        <v>1.65</v>
      </c>
      <c r="F65" s="178">
        <v>0.35</v>
      </c>
      <c r="G65" s="177">
        <f t="shared" si="4"/>
        <v>0.5774999999999999</v>
      </c>
    </row>
    <row r="66" spans="1:7" x14ac:dyDescent="0.25">
      <c r="A66" s="23">
        <f t="shared" si="2"/>
        <v>621</v>
      </c>
      <c r="B66" s="23">
        <f t="shared" si="3"/>
        <v>630</v>
      </c>
      <c r="C66" s="23" t="str">
        <f t="shared" si="7"/>
        <v>621 - 630</v>
      </c>
      <c r="D66" s="175">
        <v>1.65</v>
      </c>
      <c r="F66" s="178">
        <v>0.35</v>
      </c>
      <c r="G66" s="177">
        <f t="shared" si="4"/>
        <v>0.5774999999999999</v>
      </c>
    </row>
    <row r="67" spans="1:7" x14ac:dyDescent="0.25">
      <c r="A67" s="23">
        <f t="shared" si="2"/>
        <v>631</v>
      </c>
      <c r="B67" s="23">
        <f t="shared" si="3"/>
        <v>640</v>
      </c>
      <c r="C67" s="23" t="str">
        <f t="shared" si="7"/>
        <v>631 - 640</v>
      </c>
      <c r="D67" s="175">
        <v>1.65</v>
      </c>
      <c r="F67" s="178">
        <v>0.35</v>
      </c>
      <c r="G67" s="177">
        <f t="shared" si="4"/>
        <v>0.5774999999999999</v>
      </c>
    </row>
    <row r="68" spans="1:7" x14ac:dyDescent="0.25">
      <c r="A68" s="23">
        <f t="shared" si="2"/>
        <v>641</v>
      </c>
      <c r="B68" s="23">
        <f t="shared" si="3"/>
        <v>650</v>
      </c>
      <c r="C68" s="23" t="str">
        <f t="shared" si="7"/>
        <v>641 - 650</v>
      </c>
      <c r="D68" s="175">
        <v>1.65</v>
      </c>
      <c r="F68" s="178">
        <v>0.35</v>
      </c>
      <c r="G68" s="177">
        <f t="shared" si="4"/>
        <v>0.5774999999999999</v>
      </c>
    </row>
    <row r="69" spans="1:7" x14ac:dyDescent="0.25">
      <c r="A69" s="23">
        <f t="shared" si="2"/>
        <v>651</v>
      </c>
      <c r="B69" s="23">
        <f t="shared" si="3"/>
        <v>660</v>
      </c>
      <c r="C69" s="23" t="str">
        <f t="shared" si="7"/>
        <v>651 - 660</v>
      </c>
      <c r="D69" s="175">
        <v>1.65</v>
      </c>
      <c r="F69" s="178">
        <v>0.35</v>
      </c>
      <c r="G69" s="177">
        <f t="shared" si="4"/>
        <v>0.5774999999999999</v>
      </c>
    </row>
    <row r="70" spans="1:7" x14ac:dyDescent="0.25">
      <c r="A70" s="23">
        <f t="shared" ref="A70:A79" si="8">+B69+1</f>
        <v>661</v>
      </c>
      <c r="B70" s="23">
        <f t="shared" ref="B70:B79" si="9">+A70+9</f>
        <v>670</v>
      </c>
      <c r="C70" s="23" t="str">
        <f t="shared" si="7"/>
        <v>661 - 670</v>
      </c>
      <c r="D70" s="175">
        <v>1.65</v>
      </c>
      <c r="F70" s="178">
        <v>0.35</v>
      </c>
      <c r="G70" s="177">
        <f t="shared" si="4"/>
        <v>0.5774999999999999</v>
      </c>
    </row>
    <row r="71" spans="1:7" x14ac:dyDescent="0.25">
      <c r="A71" s="23">
        <f t="shared" si="8"/>
        <v>671</v>
      </c>
      <c r="B71" s="23">
        <f t="shared" si="9"/>
        <v>680</v>
      </c>
      <c r="C71" s="23" t="str">
        <f t="shared" si="7"/>
        <v>671 - 680</v>
      </c>
      <c r="D71" s="175">
        <v>1.65</v>
      </c>
      <c r="F71" s="178">
        <v>0.35</v>
      </c>
      <c r="G71" s="177">
        <f t="shared" si="4"/>
        <v>0.5774999999999999</v>
      </c>
    </row>
    <row r="72" spans="1:7" x14ac:dyDescent="0.25">
      <c r="A72" s="23">
        <f t="shared" si="8"/>
        <v>681</v>
      </c>
      <c r="B72" s="23">
        <f t="shared" si="9"/>
        <v>690</v>
      </c>
      <c r="C72" s="23" t="str">
        <f t="shared" si="7"/>
        <v>681 - 690</v>
      </c>
      <c r="D72" s="175">
        <v>1.65</v>
      </c>
      <c r="F72" s="178">
        <v>0.35</v>
      </c>
      <c r="G72" s="177">
        <f t="shared" si="4"/>
        <v>0.5774999999999999</v>
      </c>
    </row>
    <row r="73" spans="1:7" x14ac:dyDescent="0.25">
      <c r="A73" s="23">
        <f t="shared" si="8"/>
        <v>691</v>
      </c>
      <c r="B73" s="23">
        <f t="shared" si="9"/>
        <v>700</v>
      </c>
      <c r="C73" s="23" t="str">
        <f t="shared" si="7"/>
        <v>691 - 700</v>
      </c>
      <c r="D73" s="175">
        <v>1.65</v>
      </c>
      <c r="F73" s="178">
        <v>0.35</v>
      </c>
      <c r="G73" s="177">
        <f t="shared" si="4"/>
        <v>0.5774999999999999</v>
      </c>
    </row>
    <row r="74" spans="1:7" x14ac:dyDescent="0.25">
      <c r="A74" s="23">
        <f t="shared" si="8"/>
        <v>701</v>
      </c>
      <c r="B74" s="23">
        <f t="shared" si="9"/>
        <v>710</v>
      </c>
      <c r="C74" s="23" t="str">
        <f t="shared" si="7"/>
        <v>701 - 710</v>
      </c>
      <c r="D74" s="175">
        <v>1.65</v>
      </c>
      <c r="F74" s="178">
        <v>0.35</v>
      </c>
      <c r="G74" s="177">
        <f t="shared" si="4"/>
        <v>0.5774999999999999</v>
      </c>
    </row>
    <row r="75" spans="1:7" x14ac:dyDescent="0.25">
      <c r="A75" s="23">
        <f t="shared" si="8"/>
        <v>711</v>
      </c>
      <c r="B75" s="23">
        <f t="shared" si="9"/>
        <v>720</v>
      </c>
      <c r="C75" s="23" t="str">
        <f t="shared" si="7"/>
        <v>711 - 720</v>
      </c>
      <c r="D75" s="175">
        <v>1.65</v>
      </c>
      <c r="F75" s="178">
        <v>0.35</v>
      </c>
      <c r="G75" s="177">
        <f t="shared" si="4"/>
        <v>0.5774999999999999</v>
      </c>
    </row>
    <row r="76" spans="1:7" x14ac:dyDescent="0.25">
      <c r="A76" s="23">
        <f t="shared" si="8"/>
        <v>721</v>
      </c>
      <c r="B76" s="23">
        <f t="shared" si="9"/>
        <v>730</v>
      </c>
      <c r="C76" s="23" t="str">
        <f t="shared" si="7"/>
        <v>721 - 730</v>
      </c>
      <c r="D76" s="175">
        <v>1.65</v>
      </c>
      <c r="F76" s="178">
        <v>0.35</v>
      </c>
      <c r="G76" s="177">
        <f t="shared" si="4"/>
        <v>0.5774999999999999</v>
      </c>
    </row>
    <row r="77" spans="1:7" x14ac:dyDescent="0.25">
      <c r="A77" s="23">
        <f t="shared" si="8"/>
        <v>731</v>
      </c>
      <c r="B77" s="23">
        <f t="shared" si="9"/>
        <v>740</v>
      </c>
      <c r="C77" s="23" t="str">
        <f t="shared" si="7"/>
        <v>731 - 740</v>
      </c>
      <c r="D77" s="175">
        <v>1.65</v>
      </c>
      <c r="F77" s="178">
        <v>0.35</v>
      </c>
      <c r="G77" s="177">
        <f t="shared" si="4"/>
        <v>0.5774999999999999</v>
      </c>
    </row>
    <row r="78" spans="1:7" x14ac:dyDescent="0.25">
      <c r="A78" s="23">
        <f t="shared" si="8"/>
        <v>741</v>
      </c>
      <c r="B78" s="23">
        <f t="shared" si="9"/>
        <v>750</v>
      </c>
      <c r="C78" s="23" t="str">
        <f t="shared" si="7"/>
        <v>741 - 750</v>
      </c>
      <c r="D78" s="175">
        <v>1.65</v>
      </c>
      <c r="F78" s="178">
        <v>0.35</v>
      </c>
      <c r="G78" s="177">
        <f t="shared" si="4"/>
        <v>0.5774999999999999</v>
      </c>
    </row>
    <row r="79" spans="1:7" x14ac:dyDescent="0.25">
      <c r="A79" s="23">
        <f t="shared" si="8"/>
        <v>751</v>
      </c>
      <c r="B79" s="23">
        <f t="shared" si="9"/>
        <v>760</v>
      </c>
      <c r="C79" s="23" t="str">
        <f t="shared" si="7"/>
        <v>751 - 760</v>
      </c>
      <c r="D79" s="175">
        <v>1.65</v>
      </c>
      <c r="F79" s="178">
        <v>0.35</v>
      </c>
      <c r="G79" s="177">
        <f t="shared" si="4"/>
        <v>0.5774999999999999</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tabColor rgb="FFC00000"/>
  </sheetPr>
  <dimension ref="B2:I29"/>
  <sheetViews>
    <sheetView workbookViewId="0">
      <selection activeCell="L21" sqref="L21"/>
    </sheetView>
  </sheetViews>
  <sheetFormatPr defaultRowHeight="15" x14ac:dyDescent="0.25"/>
  <sheetData>
    <row r="2" spans="2:9" x14ac:dyDescent="0.25">
      <c r="B2" s="20">
        <v>0</v>
      </c>
      <c r="E2" t="s">
        <v>226</v>
      </c>
    </row>
    <row r="3" spans="2:9" x14ac:dyDescent="0.25">
      <c r="B3" s="20">
        <v>0.01</v>
      </c>
      <c r="E3" t="s">
        <v>227</v>
      </c>
      <c r="I3" s="294" t="s">
        <v>609</v>
      </c>
    </row>
    <row r="4" spans="2:9" x14ac:dyDescent="0.25">
      <c r="B4" s="20">
        <v>0.02</v>
      </c>
      <c r="I4" s="294" t="s">
        <v>610</v>
      </c>
    </row>
    <row r="5" spans="2:9" x14ac:dyDescent="0.25">
      <c r="B5" s="20">
        <v>0.03</v>
      </c>
      <c r="I5" s="294" t="s">
        <v>611</v>
      </c>
    </row>
    <row r="6" spans="2:9" x14ac:dyDescent="0.25">
      <c r="B6" s="20">
        <v>0.04</v>
      </c>
      <c r="I6" s="294" t="s">
        <v>612</v>
      </c>
    </row>
    <row r="7" spans="2:9" x14ac:dyDescent="0.25">
      <c r="B7" s="20">
        <v>0.05</v>
      </c>
      <c r="I7" s="294" t="s">
        <v>613</v>
      </c>
    </row>
    <row r="8" spans="2:9" x14ac:dyDescent="0.25">
      <c r="B8" s="20">
        <v>0.06</v>
      </c>
      <c r="I8" s="294" t="s">
        <v>614</v>
      </c>
    </row>
    <row r="9" spans="2:9" x14ac:dyDescent="0.25">
      <c r="B9" s="20">
        <v>7.0000000000000007E-2</v>
      </c>
      <c r="I9" s="294" t="s">
        <v>615</v>
      </c>
    </row>
    <row r="10" spans="2:9" x14ac:dyDescent="0.25">
      <c r="B10" s="20">
        <v>0.08</v>
      </c>
      <c r="I10" s="294" t="s">
        <v>616</v>
      </c>
    </row>
    <row r="11" spans="2:9" x14ac:dyDescent="0.25">
      <c r="B11" s="20">
        <v>0.09</v>
      </c>
      <c r="I11" s="294" t="s">
        <v>617</v>
      </c>
    </row>
    <row r="12" spans="2:9" x14ac:dyDescent="0.25">
      <c r="B12" s="20">
        <v>0.1</v>
      </c>
      <c r="I12" s="294" t="s">
        <v>618</v>
      </c>
    </row>
    <row r="13" spans="2:9" x14ac:dyDescent="0.25">
      <c r="B13" s="20">
        <v>0.11</v>
      </c>
      <c r="I13" s="294" t="s">
        <v>613</v>
      </c>
    </row>
    <row r="14" spans="2:9" x14ac:dyDescent="0.25">
      <c r="B14" s="20">
        <v>0.12</v>
      </c>
      <c r="I14" s="294" t="s">
        <v>614</v>
      </c>
    </row>
    <row r="15" spans="2:9" x14ac:dyDescent="0.25">
      <c r="B15" s="20">
        <v>0.13</v>
      </c>
    </row>
    <row r="16" spans="2:9" x14ac:dyDescent="0.25">
      <c r="B16" s="20">
        <v>0.14000000000000001</v>
      </c>
    </row>
    <row r="17" spans="2:9" x14ac:dyDescent="0.25">
      <c r="B17" s="20">
        <v>0.15</v>
      </c>
      <c r="I17" s="294"/>
    </row>
    <row r="18" spans="2:9" x14ac:dyDescent="0.25">
      <c r="B18" s="20">
        <v>0.16</v>
      </c>
      <c r="I18" s="294"/>
    </row>
    <row r="19" spans="2:9" x14ac:dyDescent="0.25">
      <c r="B19" s="20">
        <v>0.17</v>
      </c>
      <c r="I19" s="294"/>
    </row>
    <row r="20" spans="2:9" x14ac:dyDescent="0.25">
      <c r="B20" s="20">
        <v>0.18</v>
      </c>
      <c r="I20" s="294"/>
    </row>
    <row r="21" spans="2:9" x14ac:dyDescent="0.25">
      <c r="B21" s="20">
        <v>0.19</v>
      </c>
      <c r="I21" s="294"/>
    </row>
    <row r="22" spans="2:9" x14ac:dyDescent="0.25">
      <c r="B22" s="20">
        <v>0.2</v>
      </c>
      <c r="I22" s="294"/>
    </row>
    <row r="23" spans="2:9" x14ac:dyDescent="0.25">
      <c r="B23" s="20">
        <v>0.21</v>
      </c>
      <c r="I23" s="294"/>
    </row>
    <row r="24" spans="2:9" x14ac:dyDescent="0.25">
      <c r="B24" s="20">
        <v>0.22</v>
      </c>
      <c r="I24" s="294"/>
    </row>
    <row r="25" spans="2:9" x14ac:dyDescent="0.25">
      <c r="B25" s="20">
        <v>0.23</v>
      </c>
      <c r="I25" s="294"/>
    </row>
    <row r="26" spans="2:9" x14ac:dyDescent="0.25">
      <c r="B26" s="20">
        <v>0.24</v>
      </c>
      <c r="I26" s="294"/>
    </row>
    <row r="27" spans="2:9" x14ac:dyDescent="0.25">
      <c r="B27" s="20">
        <v>0.25</v>
      </c>
      <c r="I27" s="294"/>
    </row>
    <row r="28" spans="2:9" x14ac:dyDescent="0.25">
      <c r="B28" s="20"/>
      <c r="I28" s="294"/>
    </row>
    <row r="29" spans="2:9" x14ac:dyDescent="0.25">
      <c r="I29" s="29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5:A11"/>
  <sheetViews>
    <sheetView workbookViewId="0">
      <selection activeCell="L19" sqref="L19"/>
    </sheetView>
  </sheetViews>
  <sheetFormatPr defaultColWidth="9" defaultRowHeight="15" x14ac:dyDescent="0.25"/>
  <cols>
    <col min="1" max="16384" width="9" style="119"/>
  </cols>
  <sheetData>
    <row r="5" ht="37.5" customHeight="1" x14ac:dyDescent="0.25"/>
    <row r="8" ht="26.25" customHeight="1" x14ac:dyDescent="0.25"/>
    <row r="11" ht="30" customHeight="1" x14ac:dyDescent="0.2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tabColor rgb="FFFF0000"/>
    <pageSetUpPr fitToPage="1"/>
  </sheetPr>
  <dimension ref="A1:Z814"/>
  <sheetViews>
    <sheetView zoomScale="55" zoomScaleNormal="55" workbookViewId="0">
      <selection activeCell="J31" sqref="J31"/>
    </sheetView>
  </sheetViews>
  <sheetFormatPr defaultColWidth="9" defaultRowHeight="12.75" x14ac:dyDescent="0.25"/>
  <cols>
    <col min="1" max="1" width="30" style="113" customWidth="1"/>
    <col min="2" max="2" width="33" style="113" customWidth="1"/>
    <col min="3" max="3" width="25.28515625" style="113" customWidth="1"/>
    <col min="4" max="4" width="26" style="86" customWidth="1"/>
    <col min="5" max="5" width="25.5703125" style="86" customWidth="1"/>
    <col min="6" max="6" width="39" style="86" customWidth="1"/>
    <col min="7" max="7" width="25" style="86" customWidth="1"/>
    <col min="8" max="8" width="25.42578125" style="267" customWidth="1"/>
    <col min="9" max="9" width="25.42578125" style="86" customWidth="1"/>
    <col min="10" max="10" width="27.42578125" style="86" customWidth="1"/>
    <col min="11" max="11" width="27" style="86" customWidth="1"/>
    <col min="12" max="12" width="25.42578125" style="86" customWidth="1"/>
    <col min="13" max="13" width="25.42578125" style="85" customWidth="1"/>
    <col min="14" max="14" width="27.42578125" style="86" customWidth="1"/>
    <col min="15" max="15" width="27.42578125" style="85" customWidth="1"/>
    <col min="16" max="16" width="25.42578125" style="85" customWidth="1"/>
    <col min="17" max="17" width="25.42578125" style="86" customWidth="1"/>
    <col min="18" max="26" width="25.42578125" style="85" customWidth="1"/>
    <col min="27" max="16384" width="9" style="85"/>
  </cols>
  <sheetData>
    <row r="1" spans="1:26" s="89" customFormat="1" ht="57" customHeight="1" x14ac:dyDescent="0.25">
      <c r="A1" s="428" t="s">
        <v>24</v>
      </c>
      <c r="B1" s="428"/>
      <c r="C1" s="428"/>
      <c r="D1" s="428"/>
      <c r="E1" s="428"/>
      <c r="F1" s="428"/>
      <c r="G1" s="428"/>
      <c r="H1" s="429"/>
      <c r="I1" s="428"/>
      <c r="J1" s="428"/>
      <c r="K1" s="428"/>
      <c r="L1" s="428"/>
      <c r="M1" s="428"/>
      <c r="N1" s="428"/>
      <c r="O1" s="428"/>
      <c r="P1" s="428"/>
      <c r="Q1" s="230"/>
      <c r="R1" s="230"/>
      <c r="S1" s="230"/>
      <c r="T1" s="230"/>
      <c r="U1" s="230"/>
      <c r="V1" s="230"/>
      <c r="W1" s="230"/>
      <c r="X1" s="230"/>
      <c r="Y1" s="230"/>
      <c r="Z1" s="230"/>
    </row>
    <row r="2" spans="1:26" s="79" customFormat="1" ht="16.5" customHeight="1" x14ac:dyDescent="0.25">
      <c r="A2" s="51"/>
      <c r="B2" s="51"/>
      <c r="C2" s="52"/>
      <c r="D2" s="51"/>
      <c r="E2" s="52"/>
      <c r="F2" s="51"/>
      <c r="G2" s="51"/>
      <c r="H2" s="435"/>
      <c r="I2" s="51"/>
      <c r="J2" s="51"/>
      <c r="K2" s="51"/>
      <c r="L2" s="51"/>
      <c r="M2" s="51"/>
      <c r="N2" s="51"/>
      <c r="O2" s="51"/>
      <c r="P2" s="51"/>
      <c r="Q2" s="51"/>
      <c r="R2" s="51"/>
      <c r="S2" s="51"/>
      <c r="T2" s="51"/>
      <c r="U2" s="51"/>
      <c r="V2" s="51"/>
      <c r="W2" s="51"/>
      <c r="X2" s="51"/>
      <c r="Y2" s="51"/>
      <c r="Z2" s="51"/>
    </row>
    <row r="3" spans="1:26" s="79" customFormat="1" ht="16.5" customHeight="1" x14ac:dyDescent="0.25">
      <c r="A3" s="55" t="s">
        <v>25</v>
      </c>
      <c r="B3" s="59" t="s">
        <v>362</v>
      </c>
      <c r="C3" s="56"/>
      <c r="D3" s="51"/>
      <c r="E3" s="52"/>
      <c r="F3" s="51"/>
      <c r="G3" s="51"/>
      <c r="H3" s="435"/>
      <c r="I3" s="51"/>
      <c r="J3" s="51"/>
      <c r="K3" s="51"/>
      <c r="L3" s="51"/>
      <c r="M3" s="51"/>
      <c r="N3" s="51"/>
      <c r="O3" s="51"/>
      <c r="P3" s="51"/>
      <c r="Q3" s="51"/>
      <c r="R3" s="51"/>
      <c r="S3" s="51"/>
      <c r="T3" s="51"/>
      <c r="U3" s="51"/>
      <c r="V3" s="51"/>
      <c r="W3" s="51"/>
      <c r="X3" s="51"/>
      <c r="Y3" s="51"/>
      <c r="Z3" s="51"/>
    </row>
    <row r="4" spans="1:26" s="79" customFormat="1" ht="18" x14ac:dyDescent="0.25">
      <c r="A4" s="58" t="s">
        <v>26</v>
      </c>
      <c r="B4" s="59">
        <v>43222</v>
      </c>
      <c r="C4" s="60" t="s">
        <v>27</v>
      </c>
      <c r="D4" s="51"/>
      <c r="E4" s="52"/>
      <c r="F4" s="51"/>
      <c r="G4" s="51"/>
      <c r="H4" s="51"/>
      <c r="I4" s="231"/>
      <c r="J4" s="51"/>
      <c r="K4" s="51"/>
      <c r="L4" s="51"/>
      <c r="M4" s="54"/>
      <c r="N4" s="61"/>
      <c r="O4" s="51"/>
      <c r="P4" s="53"/>
      <c r="Q4" s="61"/>
      <c r="R4" s="51"/>
      <c r="S4" s="57"/>
      <c r="T4" s="57"/>
      <c r="U4" s="57"/>
      <c r="V4" s="53"/>
      <c r="W4" s="53"/>
      <c r="X4" s="53"/>
      <c r="Y4" s="53"/>
      <c r="Z4" s="53"/>
    </row>
    <row r="5" spans="1:26" s="79" customFormat="1" ht="18" x14ac:dyDescent="0.25">
      <c r="A5" s="55" t="s">
        <v>29</v>
      </c>
      <c r="B5" s="62" t="s">
        <v>363</v>
      </c>
      <c r="C5" s="63"/>
      <c r="D5" s="51"/>
      <c r="E5" s="52"/>
      <c r="F5" s="51"/>
      <c r="G5" s="51"/>
      <c r="H5" s="51"/>
      <c r="I5" s="51"/>
      <c r="J5" s="51"/>
      <c r="K5" s="51"/>
      <c r="L5" s="51"/>
      <c r="M5" s="54"/>
      <c r="N5" s="61"/>
      <c r="O5" s="51"/>
      <c r="P5" s="53"/>
      <c r="Q5" s="61" t="s">
        <v>28</v>
      </c>
      <c r="R5" s="51"/>
      <c r="S5" s="57"/>
      <c r="T5" s="57"/>
      <c r="U5" s="57"/>
      <c r="V5" s="53"/>
      <c r="W5" s="53"/>
      <c r="X5" s="53"/>
      <c r="Y5" s="53"/>
      <c r="Z5" s="53"/>
    </row>
    <row r="6" spans="1:26" s="79" customFormat="1" ht="18" x14ac:dyDescent="0.25">
      <c r="A6" s="55"/>
      <c r="B6" s="64"/>
      <c r="C6" s="65"/>
      <c r="D6" s="51"/>
      <c r="E6" s="52"/>
      <c r="F6" s="51"/>
      <c r="G6" s="51"/>
      <c r="H6" s="51"/>
      <c r="I6" s="51"/>
      <c r="J6" s="51"/>
      <c r="K6" s="51"/>
      <c r="L6" s="51"/>
      <c r="M6" s="54"/>
      <c r="N6" s="61"/>
      <c r="O6" s="51"/>
      <c r="P6" s="53"/>
      <c r="Q6" s="61"/>
      <c r="R6" s="51"/>
      <c r="S6" s="57"/>
      <c r="T6" s="57"/>
      <c r="U6" s="57"/>
      <c r="V6" s="53"/>
      <c r="W6" s="53"/>
      <c r="X6" s="53"/>
      <c r="Y6" s="53"/>
      <c r="Z6" s="53"/>
    </row>
    <row r="7" spans="1:26" s="79" customFormat="1" ht="18" x14ac:dyDescent="0.25">
      <c r="A7" s="66"/>
      <c r="B7" s="53" t="s">
        <v>30</v>
      </c>
      <c r="C7" s="53"/>
      <c r="D7" s="51"/>
      <c r="E7" s="52"/>
      <c r="F7" s="51"/>
      <c r="G7" s="51"/>
      <c r="H7" s="51"/>
      <c r="I7" s="51"/>
      <c r="J7" s="51"/>
      <c r="K7" s="51"/>
      <c r="L7" s="51"/>
      <c r="M7" s="54"/>
      <c r="N7" s="61"/>
      <c r="O7" s="51"/>
      <c r="P7" s="53"/>
      <c r="Q7" s="61"/>
      <c r="R7" s="51"/>
      <c r="S7" s="57"/>
      <c r="T7" s="57"/>
      <c r="U7" s="57"/>
      <c r="V7" s="53"/>
      <c r="W7" s="53"/>
      <c r="X7" s="53"/>
      <c r="Y7" s="53"/>
      <c r="Z7" s="53"/>
    </row>
    <row r="8" spans="1:26" s="79" customFormat="1" ht="16.5" customHeight="1" x14ac:dyDescent="0.25">
      <c r="A8" s="67"/>
      <c r="B8" s="53" t="s">
        <v>31</v>
      </c>
      <c r="C8" s="53"/>
      <c r="D8" s="51"/>
      <c r="E8" s="51"/>
      <c r="F8" s="51"/>
      <c r="G8" s="51"/>
      <c r="H8" s="51"/>
      <c r="I8" s="51"/>
      <c r="J8" s="51"/>
      <c r="K8" s="51"/>
      <c r="L8" s="51"/>
      <c r="M8" s="54"/>
      <c r="N8" s="51"/>
      <c r="O8" s="51"/>
      <c r="P8" s="54"/>
      <c r="Q8" s="51"/>
      <c r="R8" s="51"/>
      <c r="S8" s="57"/>
      <c r="T8" s="57"/>
      <c r="U8" s="57"/>
      <c r="V8" s="54"/>
      <c r="W8" s="54"/>
      <c r="X8" s="54"/>
      <c r="Y8" s="54"/>
      <c r="Z8" s="54"/>
    </row>
    <row r="9" spans="1:26" s="79" customFormat="1" ht="16.5" customHeight="1" x14ac:dyDescent="0.25">
      <c r="A9" s="68"/>
      <c r="B9" s="53" t="s">
        <v>32</v>
      </c>
      <c r="C9" s="53"/>
      <c r="D9" s="51"/>
      <c r="E9" s="51"/>
      <c r="F9" s="51"/>
      <c r="G9" s="51"/>
      <c r="H9" s="51"/>
      <c r="I9" s="51"/>
      <c r="J9" s="51"/>
      <c r="K9" s="51"/>
      <c r="L9" s="51"/>
      <c r="M9" s="54"/>
      <c r="N9" s="51"/>
      <c r="O9" s="51"/>
      <c r="P9" s="54"/>
      <c r="Q9" s="51"/>
      <c r="R9" s="51"/>
      <c r="S9" s="57"/>
      <c r="T9" s="57"/>
      <c r="U9" s="57"/>
      <c r="V9" s="54"/>
      <c r="W9" s="54"/>
      <c r="X9" s="54"/>
      <c r="Y9" s="54"/>
      <c r="Z9" s="54"/>
    </row>
    <row r="10" spans="1:26" s="79" customFormat="1" ht="16.5" customHeight="1" x14ac:dyDescent="0.25">
      <c r="A10" s="69"/>
      <c r="B10" s="53"/>
      <c r="C10" s="53"/>
      <c r="D10" s="51"/>
      <c r="E10" s="51"/>
      <c r="F10" s="51"/>
      <c r="G10" s="51"/>
      <c r="H10" s="51"/>
      <c r="I10" s="51"/>
      <c r="J10" s="51"/>
      <c r="K10" s="51"/>
      <c r="L10" s="51"/>
      <c r="M10" s="54"/>
      <c r="N10" s="51"/>
      <c r="O10" s="51"/>
      <c r="P10" s="54"/>
      <c r="Q10" s="51"/>
      <c r="R10" s="51"/>
      <c r="S10" s="57"/>
      <c r="T10" s="57"/>
      <c r="U10" s="57"/>
      <c r="V10" s="54"/>
      <c r="W10" s="54"/>
      <c r="X10" s="54"/>
      <c r="Y10" s="54"/>
      <c r="Z10" s="54"/>
    </row>
    <row r="11" spans="1:26" s="79" customFormat="1" ht="16.5" customHeight="1" x14ac:dyDescent="0.25">
      <c r="A11" s="55" t="s">
        <v>33</v>
      </c>
      <c r="B11" s="53" t="s">
        <v>34</v>
      </c>
      <c r="C11" s="53"/>
      <c r="D11" s="51"/>
      <c r="E11" s="51"/>
      <c r="F11" s="51"/>
      <c r="G11" s="51"/>
      <c r="H11" s="51"/>
      <c r="I11" s="51"/>
      <c r="J11" s="51"/>
      <c r="K11" s="51"/>
      <c r="L11" s="51"/>
      <c r="M11" s="54"/>
      <c r="N11" s="51"/>
      <c r="O11" s="51"/>
      <c r="P11" s="54"/>
      <c r="Q11" s="232"/>
      <c r="R11" s="51"/>
      <c r="S11" s="57"/>
      <c r="T11" s="57"/>
      <c r="U11" s="57"/>
      <c r="V11" s="54"/>
      <c r="W11" s="54"/>
      <c r="X11" s="54"/>
      <c r="Y11" s="54"/>
      <c r="Z11" s="54"/>
    </row>
    <row r="12" spans="1:26" s="79" customFormat="1" ht="16.5" customHeight="1" x14ac:dyDescent="0.25">
      <c r="A12" s="69"/>
      <c r="B12" s="53" t="s">
        <v>35</v>
      </c>
      <c r="C12" s="53"/>
      <c r="D12" s="51"/>
      <c r="E12" s="51"/>
      <c r="F12" s="51"/>
      <c r="G12" s="51"/>
      <c r="I12" s="51"/>
      <c r="J12" s="51"/>
      <c r="K12" s="51"/>
      <c r="L12" s="51"/>
      <c r="M12" s="54"/>
      <c r="N12" s="51"/>
      <c r="O12" s="51"/>
      <c r="P12" s="54"/>
      <c r="Q12" s="51"/>
      <c r="R12" s="51"/>
      <c r="S12" s="57"/>
      <c r="T12" s="57"/>
      <c r="U12" s="57"/>
      <c r="V12" s="54"/>
      <c r="W12" s="54"/>
      <c r="X12" s="54"/>
      <c r="Y12" s="54"/>
      <c r="Z12" s="54"/>
    </row>
    <row r="13" spans="1:26" s="79" customFormat="1" ht="16.5" customHeight="1" x14ac:dyDescent="0.25">
      <c r="A13" s="69"/>
      <c r="B13" s="53"/>
      <c r="C13" s="53"/>
      <c r="D13" s="51"/>
      <c r="E13" s="51"/>
      <c r="F13" s="51"/>
      <c r="G13" s="51"/>
      <c r="I13" s="51"/>
      <c r="J13" s="51"/>
      <c r="K13" s="51"/>
      <c r="L13" s="51"/>
      <c r="M13" s="54"/>
      <c r="N13" s="51"/>
      <c r="O13" s="51"/>
      <c r="P13" s="54"/>
      <c r="Q13" s="51"/>
      <c r="R13" s="51"/>
      <c r="S13" s="54"/>
      <c r="T13" s="54"/>
      <c r="U13" s="54"/>
      <c r="V13" s="51"/>
      <c r="W13" s="51"/>
      <c r="X13" s="54"/>
      <c r="Y13" s="54"/>
      <c r="Z13" s="54"/>
    </row>
    <row r="14" spans="1:26" s="79" customFormat="1" ht="16.5" customHeight="1" x14ac:dyDescent="0.25">
      <c r="A14" s="55" t="s">
        <v>36</v>
      </c>
      <c r="B14" s="53" t="s">
        <v>37</v>
      </c>
      <c r="C14" s="53"/>
      <c r="D14" s="51"/>
      <c r="E14" s="51"/>
      <c r="F14" s="51"/>
      <c r="G14" s="51"/>
      <c r="I14" s="51"/>
      <c r="J14" s="51"/>
      <c r="K14" s="51"/>
      <c r="L14" s="51"/>
      <c r="M14" s="54"/>
      <c r="N14" s="51"/>
      <c r="O14" s="51"/>
      <c r="P14" s="54"/>
      <c r="Q14" s="51"/>
      <c r="R14" s="51"/>
      <c r="S14" s="54"/>
      <c r="T14" s="54"/>
      <c r="U14" s="54"/>
      <c r="V14" s="51"/>
      <c r="W14" s="51"/>
      <c r="X14" s="54"/>
      <c r="Y14" s="54"/>
      <c r="Z14" s="54"/>
    </row>
    <row r="15" spans="1:26" s="79" customFormat="1" ht="16.5" customHeight="1" x14ac:dyDescent="0.25">
      <c r="A15" s="69"/>
      <c r="B15" s="53" t="s">
        <v>38</v>
      </c>
      <c r="C15" s="53"/>
      <c r="D15" s="51"/>
      <c r="E15" s="51"/>
      <c r="F15" s="51"/>
      <c r="G15" s="51"/>
      <c r="I15" s="51"/>
      <c r="J15" s="51"/>
      <c r="K15" s="51"/>
      <c r="L15" s="51"/>
      <c r="M15" s="54"/>
      <c r="N15" s="51"/>
      <c r="O15" s="51"/>
      <c r="P15" s="54"/>
      <c r="Q15" s="51"/>
      <c r="R15" s="51"/>
      <c r="S15" s="54"/>
      <c r="T15" s="54"/>
      <c r="U15" s="54"/>
      <c r="V15" s="54"/>
      <c r="W15" s="54"/>
      <c r="X15" s="54"/>
      <c r="Y15" s="54"/>
      <c r="Z15" s="54"/>
    </row>
    <row r="16" spans="1:26" s="79" customFormat="1" ht="18" x14ac:dyDescent="0.25">
      <c r="A16" s="69"/>
      <c r="B16" s="69"/>
      <c r="C16" s="69"/>
      <c r="D16" s="61"/>
      <c r="E16" s="51"/>
      <c r="F16" s="51"/>
      <c r="G16" s="51"/>
      <c r="I16" s="51"/>
      <c r="J16" s="51"/>
      <c r="K16" s="51"/>
      <c r="L16" s="51"/>
      <c r="M16" s="51"/>
      <c r="N16" s="430"/>
      <c r="O16" s="431"/>
      <c r="P16" s="431"/>
      <c r="Q16" s="233"/>
      <c r="R16" s="233"/>
      <c r="S16" s="233"/>
      <c r="T16" s="234"/>
      <c r="U16" s="70"/>
      <c r="V16" s="51"/>
      <c r="W16" s="51"/>
      <c r="X16" s="51"/>
      <c r="Y16" s="51"/>
      <c r="Z16" s="51"/>
    </row>
    <row r="17" spans="1:26" s="79" customFormat="1" ht="48" customHeight="1" x14ac:dyDescent="0.25">
      <c r="A17" s="432" t="s">
        <v>39</v>
      </c>
      <c r="B17" s="433"/>
      <c r="C17" s="433"/>
      <c r="D17" s="433"/>
      <c r="E17" s="433"/>
      <c r="F17" s="434"/>
      <c r="G17" s="71" t="s">
        <v>40</v>
      </c>
      <c r="H17" s="71" t="s">
        <v>41</v>
      </c>
      <c r="I17" s="71" t="s">
        <v>42</v>
      </c>
      <c r="J17" s="71" t="s">
        <v>43</v>
      </c>
      <c r="K17" s="71" t="s">
        <v>44</v>
      </c>
      <c r="L17" s="71" t="s">
        <v>45</v>
      </c>
      <c r="M17" s="71" t="s">
        <v>42</v>
      </c>
      <c r="N17" s="71" t="s">
        <v>46</v>
      </c>
      <c r="O17" s="71" t="s">
        <v>47</v>
      </c>
      <c r="P17" s="71" t="s">
        <v>48</v>
      </c>
      <c r="Q17" s="72" t="s">
        <v>49</v>
      </c>
      <c r="R17" s="72" t="s">
        <v>50</v>
      </c>
      <c r="S17" s="72" t="s">
        <v>51</v>
      </c>
      <c r="T17" s="72" t="s">
        <v>364</v>
      </c>
      <c r="U17" s="72" t="s">
        <v>52</v>
      </c>
      <c r="V17" s="72" t="s">
        <v>53</v>
      </c>
      <c r="W17" s="72" t="s">
        <v>54</v>
      </c>
      <c r="X17" s="72" t="s">
        <v>55</v>
      </c>
      <c r="Y17" s="72" t="s">
        <v>365</v>
      </c>
      <c r="Z17" s="72" t="s">
        <v>56</v>
      </c>
    </row>
    <row r="18" spans="1:26" s="235" customFormat="1" ht="54" x14ac:dyDescent="0.25">
      <c r="A18" s="73" t="s">
        <v>57</v>
      </c>
      <c r="B18" s="73" t="s">
        <v>58</v>
      </c>
      <c r="C18" s="73" t="s">
        <v>59</v>
      </c>
      <c r="D18" s="71" t="s">
        <v>60</v>
      </c>
      <c r="E18" s="71" t="s">
        <v>61</v>
      </c>
      <c r="F18" s="71" t="s">
        <v>62</v>
      </c>
      <c r="G18" s="71" t="s">
        <v>63</v>
      </c>
      <c r="H18" s="71" t="s">
        <v>64</v>
      </c>
      <c r="I18" s="71" t="s">
        <v>65</v>
      </c>
      <c r="J18" s="71" t="s">
        <v>66</v>
      </c>
      <c r="K18" s="71" t="s">
        <v>67</v>
      </c>
      <c r="L18" s="71" t="s">
        <v>68</v>
      </c>
      <c r="M18" s="71" t="s">
        <v>69</v>
      </c>
      <c r="N18" s="71" t="s">
        <v>70</v>
      </c>
      <c r="O18" s="71" t="s">
        <v>71</v>
      </c>
      <c r="P18" s="71" t="s">
        <v>72</v>
      </c>
      <c r="Q18" s="72" t="s">
        <v>73</v>
      </c>
      <c r="R18" s="72" t="s">
        <v>74</v>
      </c>
      <c r="S18" s="72" t="s">
        <v>75</v>
      </c>
      <c r="T18" s="72" t="s">
        <v>366</v>
      </c>
      <c r="U18" s="72" t="s">
        <v>76</v>
      </c>
      <c r="V18" s="72" t="s">
        <v>77</v>
      </c>
      <c r="W18" s="72" t="s">
        <v>78</v>
      </c>
      <c r="X18" s="72" t="s">
        <v>79</v>
      </c>
      <c r="Y18" s="72" t="s">
        <v>367</v>
      </c>
      <c r="Z18" s="72" t="s">
        <v>80</v>
      </c>
    </row>
    <row r="19" spans="1:26" s="235" customFormat="1" ht="28.5" customHeight="1" x14ac:dyDescent="0.25">
      <c r="A19" s="236" t="s">
        <v>81</v>
      </c>
      <c r="B19" s="75">
        <v>43313</v>
      </c>
      <c r="C19" s="236" t="s">
        <v>105</v>
      </c>
      <c r="D19" s="76" t="s">
        <v>368</v>
      </c>
      <c r="E19" s="76" t="s">
        <v>369</v>
      </c>
      <c r="F19" s="76" t="s">
        <v>370</v>
      </c>
      <c r="G19" s="77">
        <v>140</v>
      </c>
      <c r="H19" s="77">
        <v>150</v>
      </c>
      <c r="I19" s="76" t="s">
        <v>40</v>
      </c>
      <c r="J19" s="76" t="s">
        <v>40</v>
      </c>
      <c r="K19" s="76" t="s">
        <v>40</v>
      </c>
      <c r="L19" s="76" t="s">
        <v>40</v>
      </c>
      <c r="M19" s="76" t="s">
        <v>40</v>
      </c>
      <c r="N19" s="76" t="s">
        <v>40</v>
      </c>
      <c r="O19" s="76" t="s">
        <v>40</v>
      </c>
      <c r="P19" s="76" t="s">
        <v>40</v>
      </c>
      <c r="Q19" s="76" t="s">
        <v>40</v>
      </c>
      <c r="R19" s="76" t="s">
        <v>40</v>
      </c>
      <c r="S19" s="76" t="s">
        <v>40</v>
      </c>
      <c r="T19" s="76" t="s">
        <v>40</v>
      </c>
      <c r="U19" s="76" t="s">
        <v>40</v>
      </c>
      <c r="V19" s="76" t="s">
        <v>40</v>
      </c>
      <c r="W19" s="76" t="s">
        <v>40</v>
      </c>
      <c r="X19" s="76" t="s">
        <v>40</v>
      </c>
      <c r="Y19" s="76" t="s">
        <v>40</v>
      </c>
      <c r="Z19" s="76" t="s">
        <v>40</v>
      </c>
    </row>
    <row r="20" spans="1:26" s="79" customFormat="1" ht="28.5" customHeight="1" x14ac:dyDescent="0.25">
      <c r="A20" s="74" t="s">
        <v>81</v>
      </c>
      <c r="B20" s="75">
        <v>43221</v>
      </c>
      <c r="C20" s="75" t="s">
        <v>82</v>
      </c>
      <c r="D20" s="76" t="s">
        <v>83</v>
      </c>
      <c r="E20" s="76" t="s">
        <v>85</v>
      </c>
      <c r="F20" s="118" t="s">
        <v>371</v>
      </c>
      <c r="G20" s="77">
        <v>540</v>
      </c>
      <c r="H20" s="77">
        <v>625</v>
      </c>
      <c r="I20" s="77">
        <v>478.99</v>
      </c>
      <c r="J20" s="77">
        <v>0</v>
      </c>
      <c r="K20" s="77">
        <v>0</v>
      </c>
      <c r="L20" s="78">
        <v>0</v>
      </c>
      <c r="M20" s="77">
        <v>478.99</v>
      </c>
      <c r="N20" s="77">
        <v>0</v>
      </c>
      <c r="O20" s="77">
        <v>0</v>
      </c>
      <c r="P20" s="78">
        <v>0</v>
      </c>
      <c r="Q20" s="77">
        <v>525</v>
      </c>
      <c r="R20" s="77">
        <v>180</v>
      </c>
      <c r="S20" s="77">
        <v>125</v>
      </c>
      <c r="T20" s="77">
        <v>25</v>
      </c>
      <c r="U20" s="77">
        <v>0</v>
      </c>
      <c r="V20" s="77">
        <v>525</v>
      </c>
      <c r="W20" s="77">
        <v>265</v>
      </c>
      <c r="X20" s="77">
        <v>125</v>
      </c>
      <c r="Y20" s="77">
        <v>25</v>
      </c>
      <c r="Z20" s="77">
        <v>0</v>
      </c>
    </row>
    <row r="21" spans="1:26" s="79" customFormat="1" ht="28.5" customHeight="1" x14ac:dyDescent="0.25">
      <c r="A21" s="74" t="s">
        <v>81</v>
      </c>
      <c r="B21" s="75">
        <v>43221</v>
      </c>
      <c r="C21" s="75" t="s">
        <v>82</v>
      </c>
      <c r="D21" s="76" t="s">
        <v>83</v>
      </c>
      <c r="E21" s="76" t="s">
        <v>86</v>
      </c>
      <c r="F21" s="118" t="s">
        <v>371</v>
      </c>
      <c r="G21" s="77">
        <v>540</v>
      </c>
      <c r="H21" s="77">
        <v>625</v>
      </c>
      <c r="I21" s="77">
        <v>478.99</v>
      </c>
      <c r="J21" s="77">
        <v>0</v>
      </c>
      <c r="K21" s="77">
        <v>0</v>
      </c>
      <c r="L21" s="78">
        <v>0</v>
      </c>
      <c r="M21" s="77">
        <v>478.99</v>
      </c>
      <c r="N21" s="77">
        <v>0</v>
      </c>
      <c r="O21" s="77">
        <v>0</v>
      </c>
      <c r="P21" s="78">
        <v>0</v>
      </c>
      <c r="Q21" s="77">
        <v>525</v>
      </c>
      <c r="R21" s="77">
        <v>180</v>
      </c>
      <c r="S21" s="77">
        <v>125</v>
      </c>
      <c r="T21" s="77">
        <v>25</v>
      </c>
      <c r="U21" s="77">
        <v>0</v>
      </c>
      <c r="V21" s="77">
        <v>525</v>
      </c>
      <c r="W21" s="77">
        <v>265</v>
      </c>
      <c r="X21" s="77">
        <v>125</v>
      </c>
      <c r="Y21" s="77">
        <v>25</v>
      </c>
      <c r="Z21" s="77">
        <v>0</v>
      </c>
    </row>
    <row r="22" spans="1:26" s="79" customFormat="1" ht="28.5" customHeight="1" x14ac:dyDescent="0.25">
      <c r="A22" s="236" t="s">
        <v>84</v>
      </c>
      <c r="B22" s="75" t="s">
        <v>40</v>
      </c>
      <c r="C22" s="75" t="s">
        <v>82</v>
      </c>
      <c r="D22" s="76" t="s">
        <v>83</v>
      </c>
      <c r="E22" s="76" t="s">
        <v>372</v>
      </c>
      <c r="F22" s="118" t="s">
        <v>373</v>
      </c>
      <c r="G22" s="77">
        <v>469</v>
      </c>
      <c r="H22" s="77">
        <v>499</v>
      </c>
      <c r="I22" s="77">
        <v>399</v>
      </c>
      <c r="J22" s="77">
        <v>399</v>
      </c>
      <c r="K22" s="77">
        <v>399</v>
      </c>
      <c r="L22" s="77">
        <v>0</v>
      </c>
      <c r="M22" s="77">
        <v>399</v>
      </c>
      <c r="N22" s="77">
        <v>399</v>
      </c>
      <c r="O22" s="77">
        <v>399</v>
      </c>
      <c r="P22" s="77">
        <v>0</v>
      </c>
      <c r="Q22" s="77">
        <v>399</v>
      </c>
      <c r="R22" s="77">
        <v>139</v>
      </c>
      <c r="S22" s="77">
        <v>0</v>
      </c>
      <c r="T22" s="77">
        <v>0</v>
      </c>
      <c r="U22" s="77">
        <v>0</v>
      </c>
      <c r="V22" s="77">
        <v>399</v>
      </c>
      <c r="W22" s="77">
        <v>139</v>
      </c>
      <c r="X22" s="77">
        <v>0</v>
      </c>
      <c r="Y22" s="77">
        <v>0</v>
      </c>
      <c r="Z22" s="77">
        <v>0</v>
      </c>
    </row>
    <row r="23" spans="1:26" s="79" customFormat="1" ht="28.5" customHeight="1" x14ac:dyDescent="0.25">
      <c r="A23" s="74" t="s">
        <v>81</v>
      </c>
      <c r="B23" s="75">
        <v>43160</v>
      </c>
      <c r="C23" s="75" t="s">
        <v>82</v>
      </c>
      <c r="D23" s="76" t="s">
        <v>83</v>
      </c>
      <c r="E23" s="76" t="s">
        <v>87</v>
      </c>
      <c r="F23" s="118" t="s">
        <v>374</v>
      </c>
      <c r="G23" s="77">
        <v>849</v>
      </c>
      <c r="H23" s="77">
        <v>859</v>
      </c>
      <c r="I23" s="77">
        <v>759</v>
      </c>
      <c r="J23" s="77">
        <v>759</v>
      </c>
      <c r="K23" s="77">
        <v>759</v>
      </c>
      <c r="L23" s="78">
        <v>399</v>
      </c>
      <c r="M23" s="77">
        <v>759</v>
      </c>
      <c r="N23" s="77">
        <v>759</v>
      </c>
      <c r="O23" s="77">
        <v>759</v>
      </c>
      <c r="P23" s="78">
        <v>399</v>
      </c>
      <c r="Q23" s="77">
        <v>759</v>
      </c>
      <c r="R23" s="77">
        <v>729</v>
      </c>
      <c r="S23" s="77">
        <v>359</v>
      </c>
      <c r="T23" s="77">
        <v>259</v>
      </c>
      <c r="U23" s="77">
        <v>159</v>
      </c>
      <c r="V23" s="77">
        <v>759</v>
      </c>
      <c r="W23" s="77">
        <v>499</v>
      </c>
      <c r="X23" s="77">
        <v>359</v>
      </c>
      <c r="Y23" s="77">
        <v>259</v>
      </c>
      <c r="Z23" s="77">
        <v>159</v>
      </c>
    </row>
    <row r="24" spans="1:26" s="79" customFormat="1" ht="28.5" customHeight="1" x14ac:dyDescent="0.25">
      <c r="A24" s="74" t="s">
        <v>81</v>
      </c>
      <c r="B24" s="75">
        <v>43009</v>
      </c>
      <c r="C24" s="75" t="s">
        <v>82</v>
      </c>
      <c r="D24" s="76" t="s">
        <v>83</v>
      </c>
      <c r="E24" s="76" t="s">
        <v>88</v>
      </c>
      <c r="F24" s="118" t="s">
        <v>374</v>
      </c>
      <c r="G24" s="77">
        <v>849</v>
      </c>
      <c r="H24" s="77">
        <v>859</v>
      </c>
      <c r="I24" s="77">
        <v>759</v>
      </c>
      <c r="J24" s="77">
        <v>759</v>
      </c>
      <c r="K24" s="77">
        <v>759</v>
      </c>
      <c r="L24" s="78">
        <v>399</v>
      </c>
      <c r="M24" s="77">
        <v>759</v>
      </c>
      <c r="N24" s="77">
        <v>759</v>
      </c>
      <c r="O24" s="77">
        <v>759</v>
      </c>
      <c r="P24" s="78">
        <v>399</v>
      </c>
      <c r="Q24" s="77">
        <v>759</v>
      </c>
      <c r="R24" s="77">
        <v>729</v>
      </c>
      <c r="S24" s="77">
        <v>359</v>
      </c>
      <c r="T24" s="77">
        <v>259</v>
      </c>
      <c r="U24" s="77">
        <v>159</v>
      </c>
      <c r="V24" s="77">
        <v>759</v>
      </c>
      <c r="W24" s="77">
        <v>499</v>
      </c>
      <c r="X24" s="77">
        <v>359</v>
      </c>
      <c r="Y24" s="77">
        <v>259</v>
      </c>
      <c r="Z24" s="77">
        <v>159</v>
      </c>
    </row>
    <row r="25" spans="1:26" s="79" customFormat="1" ht="28.5" customHeight="1" x14ac:dyDescent="0.25">
      <c r="A25" s="75" t="s">
        <v>81</v>
      </c>
      <c r="B25" s="75" t="s">
        <v>40</v>
      </c>
      <c r="C25" s="75" t="s">
        <v>82</v>
      </c>
      <c r="D25" s="76" t="s">
        <v>83</v>
      </c>
      <c r="E25" s="118" t="s">
        <v>375</v>
      </c>
      <c r="F25" s="118" t="s">
        <v>376</v>
      </c>
      <c r="G25" s="237">
        <v>599</v>
      </c>
      <c r="H25" s="237">
        <v>629</v>
      </c>
      <c r="I25" s="237">
        <v>529</v>
      </c>
      <c r="J25" s="237">
        <v>529</v>
      </c>
      <c r="K25" s="237">
        <v>529</v>
      </c>
      <c r="L25" s="237">
        <v>129</v>
      </c>
      <c r="M25" s="237">
        <v>529</v>
      </c>
      <c r="N25" s="237">
        <v>529</v>
      </c>
      <c r="O25" s="237">
        <v>529</v>
      </c>
      <c r="P25" s="237">
        <v>129</v>
      </c>
      <c r="Q25" s="77">
        <v>529</v>
      </c>
      <c r="R25" s="77">
        <v>269</v>
      </c>
      <c r="S25" s="77">
        <v>129</v>
      </c>
      <c r="T25" s="77">
        <v>29</v>
      </c>
      <c r="U25" s="77">
        <v>0</v>
      </c>
      <c r="V25" s="77">
        <v>529</v>
      </c>
      <c r="W25" s="77">
        <v>269</v>
      </c>
      <c r="X25" s="77">
        <v>129</v>
      </c>
      <c r="Y25" s="77">
        <v>29</v>
      </c>
      <c r="Z25" s="77">
        <v>0</v>
      </c>
    </row>
    <row r="26" spans="1:26" s="79" customFormat="1" ht="28.5" customHeight="1" x14ac:dyDescent="0.25">
      <c r="A26" s="75" t="s">
        <v>84</v>
      </c>
      <c r="B26" s="75" t="s">
        <v>40</v>
      </c>
      <c r="C26" s="75" t="s">
        <v>82</v>
      </c>
      <c r="D26" s="76" t="s">
        <v>83</v>
      </c>
      <c r="E26" s="118" t="s">
        <v>377</v>
      </c>
      <c r="F26" s="118" t="s">
        <v>376</v>
      </c>
      <c r="G26" s="237">
        <v>599</v>
      </c>
      <c r="H26" s="237">
        <v>629</v>
      </c>
      <c r="I26" s="77">
        <v>529</v>
      </c>
      <c r="J26" s="77">
        <v>529</v>
      </c>
      <c r="K26" s="77">
        <v>529</v>
      </c>
      <c r="L26" s="238">
        <v>129</v>
      </c>
      <c r="M26" s="77">
        <v>529</v>
      </c>
      <c r="N26" s="77">
        <v>529</v>
      </c>
      <c r="O26" s="77">
        <v>529</v>
      </c>
      <c r="P26" s="238">
        <v>129</v>
      </c>
      <c r="Q26" s="77">
        <v>529</v>
      </c>
      <c r="R26" s="77">
        <v>269</v>
      </c>
      <c r="S26" s="77">
        <v>129</v>
      </c>
      <c r="T26" s="77">
        <v>29</v>
      </c>
      <c r="U26" s="77">
        <v>0</v>
      </c>
      <c r="V26" s="77">
        <v>529</v>
      </c>
      <c r="W26" s="77">
        <v>269</v>
      </c>
      <c r="X26" s="77">
        <v>129</v>
      </c>
      <c r="Y26" s="77">
        <v>29</v>
      </c>
      <c r="Z26" s="77">
        <v>0</v>
      </c>
    </row>
    <row r="27" spans="1:26" s="79" customFormat="1" ht="28.5" customHeight="1" x14ac:dyDescent="0.25">
      <c r="A27" s="75" t="s">
        <v>84</v>
      </c>
      <c r="B27" s="75" t="s">
        <v>40</v>
      </c>
      <c r="C27" s="75" t="s">
        <v>82</v>
      </c>
      <c r="D27" s="76" t="s">
        <v>83</v>
      </c>
      <c r="E27" s="118" t="s">
        <v>378</v>
      </c>
      <c r="F27" s="118" t="s">
        <v>376</v>
      </c>
      <c r="G27" s="237">
        <v>599</v>
      </c>
      <c r="H27" s="237">
        <v>629</v>
      </c>
      <c r="I27" s="77">
        <v>529</v>
      </c>
      <c r="J27" s="77">
        <v>529</v>
      </c>
      <c r="K27" s="77">
        <v>529</v>
      </c>
      <c r="L27" s="238">
        <v>129</v>
      </c>
      <c r="M27" s="77">
        <v>529</v>
      </c>
      <c r="N27" s="77">
        <v>529</v>
      </c>
      <c r="O27" s="77">
        <v>529</v>
      </c>
      <c r="P27" s="238">
        <v>129</v>
      </c>
      <c r="Q27" s="77">
        <v>529</v>
      </c>
      <c r="R27" s="77">
        <v>269</v>
      </c>
      <c r="S27" s="77">
        <v>129</v>
      </c>
      <c r="T27" s="77">
        <v>29</v>
      </c>
      <c r="U27" s="77">
        <v>0</v>
      </c>
      <c r="V27" s="77">
        <v>529</v>
      </c>
      <c r="W27" s="77">
        <v>269</v>
      </c>
      <c r="X27" s="77">
        <v>129</v>
      </c>
      <c r="Y27" s="77">
        <v>29</v>
      </c>
      <c r="Z27" s="77">
        <v>0</v>
      </c>
    </row>
    <row r="28" spans="1:26" s="79" customFormat="1" ht="28.5" customHeight="1" x14ac:dyDescent="0.25">
      <c r="A28" s="75" t="s">
        <v>81</v>
      </c>
      <c r="B28" s="75" t="s">
        <v>40</v>
      </c>
      <c r="C28" s="75" t="s">
        <v>82</v>
      </c>
      <c r="D28" s="76" t="s">
        <v>83</v>
      </c>
      <c r="E28" s="118" t="s">
        <v>379</v>
      </c>
      <c r="F28" s="118" t="s">
        <v>376</v>
      </c>
      <c r="G28" s="237">
        <v>599</v>
      </c>
      <c r="H28" s="237">
        <v>629</v>
      </c>
      <c r="I28" s="77">
        <v>529</v>
      </c>
      <c r="J28" s="77">
        <v>529</v>
      </c>
      <c r="K28" s="77">
        <v>529</v>
      </c>
      <c r="L28" s="238">
        <v>129</v>
      </c>
      <c r="M28" s="77">
        <v>529</v>
      </c>
      <c r="N28" s="77">
        <v>529</v>
      </c>
      <c r="O28" s="77">
        <v>529</v>
      </c>
      <c r="P28" s="238">
        <v>129</v>
      </c>
      <c r="Q28" s="77">
        <v>529</v>
      </c>
      <c r="R28" s="77">
        <v>269</v>
      </c>
      <c r="S28" s="77">
        <v>129</v>
      </c>
      <c r="T28" s="77">
        <v>29</v>
      </c>
      <c r="U28" s="77">
        <v>0</v>
      </c>
      <c r="V28" s="77">
        <v>529</v>
      </c>
      <c r="W28" s="77">
        <v>269</v>
      </c>
      <c r="X28" s="77">
        <v>129</v>
      </c>
      <c r="Y28" s="77">
        <v>29</v>
      </c>
      <c r="Z28" s="77">
        <v>0</v>
      </c>
    </row>
    <row r="29" spans="1:26" s="79" customFormat="1" ht="28.5" customHeight="1" x14ac:dyDescent="0.25">
      <c r="A29" s="75" t="s">
        <v>84</v>
      </c>
      <c r="B29" s="75" t="s">
        <v>40</v>
      </c>
      <c r="C29" s="75" t="s">
        <v>82</v>
      </c>
      <c r="D29" s="76" t="s">
        <v>83</v>
      </c>
      <c r="E29" s="76" t="s">
        <v>89</v>
      </c>
      <c r="F29" s="118" t="s">
        <v>380</v>
      </c>
      <c r="G29" s="77">
        <v>739</v>
      </c>
      <c r="H29" s="77">
        <v>759</v>
      </c>
      <c r="I29" s="77">
        <v>659</v>
      </c>
      <c r="J29" s="77">
        <v>659</v>
      </c>
      <c r="K29" s="77">
        <v>659</v>
      </c>
      <c r="L29" s="78">
        <v>249</v>
      </c>
      <c r="M29" s="77">
        <v>659</v>
      </c>
      <c r="N29" s="77">
        <v>659</v>
      </c>
      <c r="O29" s="77">
        <v>659</v>
      </c>
      <c r="P29" s="78">
        <v>249</v>
      </c>
      <c r="Q29" s="77">
        <v>659</v>
      </c>
      <c r="R29" s="77">
        <v>399</v>
      </c>
      <c r="S29" s="77">
        <v>259</v>
      </c>
      <c r="T29" s="77">
        <v>159</v>
      </c>
      <c r="U29" s="77">
        <v>59</v>
      </c>
      <c r="V29" s="77">
        <v>659</v>
      </c>
      <c r="W29" s="77">
        <v>399</v>
      </c>
      <c r="X29" s="77">
        <v>259</v>
      </c>
      <c r="Y29" s="77">
        <v>159</v>
      </c>
      <c r="Z29" s="77">
        <v>59</v>
      </c>
    </row>
    <row r="30" spans="1:26" s="79" customFormat="1" ht="28.5" customHeight="1" x14ac:dyDescent="0.25">
      <c r="A30" s="75" t="s">
        <v>81</v>
      </c>
      <c r="B30" s="75">
        <v>43344</v>
      </c>
      <c r="C30" s="75" t="s">
        <v>82</v>
      </c>
      <c r="D30" s="76" t="s">
        <v>83</v>
      </c>
      <c r="E30" s="76" t="s">
        <v>90</v>
      </c>
      <c r="F30" s="118" t="s">
        <v>380</v>
      </c>
      <c r="G30" s="77">
        <v>739</v>
      </c>
      <c r="H30" s="77">
        <v>759</v>
      </c>
      <c r="I30" s="77">
        <v>659</v>
      </c>
      <c r="J30" s="77">
        <v>659</v>
      </c>
      <c r="K30" s="77">
        <v>659</v>
      </c>
      <c r="L30" s="78">
        <v>249</v>
      </c>
      <c r="M30" s="77">
        <v>659</v>
      </c>
      <c r="N30" s="77">
        <v>659</v>
      </c>
      <c r="O30" s="77">
        <v>659</v>
      </c>
      <c r="P30" s="78">
        <v>249</v>
      </c>
      <c r="Q30" s="77">
        <v>659</v>
      </c>
      <c r="R30" s="77">
        <v>399</v>
      </c>
      <c r="S30" s="77">
        <v>259</v>
      </c>
      <c r="T30" s="77">
        <v>159</v>
      </c>
      <c r="U30" s="77">
        <v>59</v>
      </c>
      <c r="V30" s="77">
        <v>659</v>
      </c>
      <c r="W30" s="77">
        <v>399</v>
      </c>
      <c r="X30" s="77">
        <v>259</v>
      </c>
      <c r="Y30" s="77">
        <v>159</v>
      </c>
      <c r="Z30" s="77">
        <v>59</v>
      </c>
    </row>
    <row r="31" spans="1:26" s="79" customFormat="1" ht="28.5" customHeight="1" x14ac:dyDescent="0.25">
      <c r="A31" s="75" t="s">
        <v>81</v>
      </c>
      <c r="B31" s="75">
        <v>43282</v>
      </c>
      <c r="C31" s="75" t="s">
        <v>82</v>
      </c>
      <c r="D31" s="76" t="s">
        <v>83</v>
      </c>
      <c r="E31" s="76" t="s">
        <v>91</v>
      </c>
      <c r="F31" s="118" t="s">
        <v>380</v>
      </c>
      <c r="G31" s="77">
        <v>739</v>
      </c>
      <c r="H31" s="77">
        <v>759</v>
      </c>
      <c r="I31" s="77">
        <v>659</v>
      </c>
      <c r="J31" s="77">
        <v>659</v>
      </c>
      <c r="K31" s="77">
        <v>659</v>
      </c>
      <c r="L31" s="78">
        <v>249</v>
      </c>
      <c r="M31" s="77">
        <v>659</v>
      </c>
      <c r="N31" s="77">
        <v>659</v>
      </c>
      <c r="O31" s="77">
        <v>659</v>
      </c>
      <c r="P31" s="78">
        <v>249</v>
      </c>
      <c r="Q31" s="77">
        <v>659</v>
      </c>
      <c r="R31" s="77">
        <v>399</v>
      </c>
      <c r="S31" s="77">
        <v>259</v>
      </c>
      <c r="T31" s="77">
        <v>159</v>
      </c>
      <c r="U31" s="77">
        <v>59</v>
      </c>
      <c r="V31" s="77">
        <v>659</v>
      </c>
      <c r="W31" s="77">
        <v>399</v>
      </c>
      <c r="X31" s="77">
        <v>259</v>
      </c>
      <c r="Y31" s="77">
        <v>159</v>
      </c>
      <c r="Z31" s="77">
        <v>59</v>
      </c>
    </row>
    <row r="32" spans="1:26" s="79" customFormat="1" ht="28.5" customHeight="1" x14ac:dyDescent="0.25">
      <c r="A32" s="75" t="s">
        <v>84</v>
      </c>
      <c r="B32" s="75" t="s">
        <v>40</v>
      </c>
      <c r="C32" s="75" t="s">
        <v>82</v>
      </c>
      <c r="D32" s="76" t="s">
        <v>83</v>
      </c>
      <c r="E32" s="76" t="s">
        <v>92</v>
      </c>
      <c r="F32" s="118" t="s">
        <v>380</v>
      </c>
      <c r="G32" s="77">
        <v>739</v>
      </c>
      <c r="H32" s="77">
        <v>759</v>
      </c>
      <c r="I32" s="77">
        <v>659</v>
      </c>
      <c r="J32" s="77">
        <v>659</v>
      </c>
      <c r="K32" s="77">
        <v>659</v>
      </c>
      <c r="L32" s="78">
        <v>249</v>
      </c>
      <c r="M32" s="77">
        <v>659</v>
      </c>
      <c r="N32" s="77">
        <v>659</v>
      </c>
      <c r="O32" s="77">
        <v>659</v>
      </c>
      <c r="P32" s="78">
        <v>249</v>
      </c>
      <c r="Q32" s="77">
        <v>659</v>
      </c>
      <c r="R32" s="77">
        <v>399</v>
      </c>
      <c r="S32" s="77">
        <v>259</v>
      </c>
      <c r="T32" s="77">
        <v>159</v>
      </c>
      <c r="U32" s="77">
        <v>59</v>
      </c>
      <c r="V32" s="77">
        <v>659</v>
      </c>
      <c r="W32" s="77">
        <v>399</v>
      </c>
      <c r="X32" s="77">
        <v>259</v>
      </c>
      <c r="Y32" s="77">
        <v>159</v>
      </c>
      <c r="Z32" s="77">
        <v>59</v>
      </c>
    </row>
    <row r="33" spans="1:26" s="79" customFormat="1" ht="28.5" customHeight="1" x14ac:dyDescent="0.25">
      <c r="A33" s="75" t="s">
        <v>81</v>
      </c>
      <c r="B33" s="75">
        <v>43282</v>
      </c>
      <c r="C33" s="75" t="s">
        <v>82</v>
      </c>
      <c r="D33" s="239" t="s">
        <v>83</v>
      </c>
      <c r="E33" s="118" t="s">
        <v>381</v>
      </c>
      <c r="F33" s="118" t="s">
        <v>382</v>
      </c>
      <c r="G33" s="237">
        <v>739</v>
      </c>
      <c r="H33" s="237">
        <v>759</v>
      </c>
      <c r="I33" s="77">
        <v>659</v>
      </c>
      <c r="J33" s="77">
        <v>659</v>
      </c>
      <c r="K33" s="77">
        <v>659</v>
      </c>
      <c r="L33" s="238">
        <v>249</v>
      </c>
      <c r="M33" s="77">
        <v>659</v>
      </c>
      <c r="N33" s="77">
        <v>659</v>
      </c>
      <c r="O33" s="77">
        <v>659</v>
      </c>
      <c r="P33" s="238">
        <v>249</v>
      </c>
      <c r="Q33" s="77">
        <v>659</v>
      </c>
      <c r="R33" s="77">
        <v>399</v>
      </c>
      <c r="S33" s="77">
        <v>259</v>
      </c>
      <c r="T33" s="77">
        <v>159</v>
      </c>
      <c r="U33" s="77">
        <v>59</v>
      </c>
      <c r="V33" s="77">
        <v>659</v>
      </c>
      <c r="W33" s="77">
        <v>399</v>
      </c>
      <c r="X33" s="77">
        <v>259</v>
      </c>
      <c r="Y33" s="77">
        <v>159</v>
      </c>
      <c r="Z33" s="77">
        <v>59</v>
      </c>
    </row>
    <row r="34" spans="1:26" s="79" customFormat="1" ht="28.5" customHeight="1" x14ac:dyDescent="0.25">
      <c r="A34" s="75" t="s">
        <v>84</v>
      </c>
      <c r="B34" s="75">
        <v>43344</v>
      </c>
      <c r="C34" s="75" t="s">
        <v>82</v>
      </c>
      <c r="D34" s="239" t="s">
        <v>83</v>
      </c>
      <c r="E34" s="118" t="s">
        <v>383</v>
      </c>
      <c r="F34" s="118" t="s">
        <v>382</v>
      </c>
      <c r="G34" s="237">
        <v>739</v>
      </c>
      <c r="H34" s="237">
        <v>759</v>
      </c>
      <c r="I34" s="77">
        <v>659</v>
      </c>
      <c r="J34" s="77">
        <v>659</v>
      </c>
      <c r="K34" s="77">
        <v>659</v>
      </c>
      <c r="L34" s="238">
        <v>249</v>
      </c>
      <c r="M34" s="77">
        <v>659</v>
      </c>
      <c r="N34" s="77">
        <v>659</v>
      </c>
      <c r="O34" s="77">
        <v>659</v>
      </c>
      <c r="P34" s="238">
        <v>249</v>
      </c>
      <c r="Q34" s="77">
        <v>659</v>
      </c>
      <c r="R34" s="77">
        <v>399</v>
      </c>
      <c r="S34" s="77">
        <v>259</v>
      </c>
      <c r="T34" s="77">
        <v>159</v>
      </c>
      <c r="U34" s="77">
        <v>59</v>
      </c>
      <c r="V34" s="77">
        <v>659</v>
      </c>
      <c r="W34" s="77">
        <v>399</v>
      </c>
      <c r="X34" s="77">
        <v>259</v>
      </c>
      <c r="Y34" s="77">
        <v>159</v>
      </c>
      <c r="Z34" s="77">
        <v>59</v>
      </c>
    </row>
    <row r="35" spans="1:26" s="79" customFormat="1" ht="28.5" customHeight="1" x14ac:dyDescent="0.25">
      <c r="A35" s="75" t="s">
        <v>81</v>
      </c>
      <c r="B35" s="75">
        <v>43344</v>
      </c>
      <c r="C35" s="75" t="s">
        <v>82</v>
      </c>
      <c r="D35" s="239" t="s">
        <v>83</v>
      </c>
      <c r="E35" s="118" t="s">
        <v>384</v>
      </c>
      <c r="F35" s="118" t="s">
        <v>382</v>
      </c>
      <c r="G35" s="237">
        <v>739</v>
      </c>
      <c r="H35" s="237">
        <v>759</v>
      </c>
      <c r="I35" s="77">
        <v>659</v>
      </c>
      <c r="J35" s="77">
        <v>659</v>
      </c>
      <c r="K35" s="77">
        <v>659</v>
      </c>
      <c r="L35" s="238">
        <v>249</v>
      </c>
      <c r="M35" s="77">
        <v>659</v>
      </c>
      <c r="N35" s="77">
        <v>659</v>
      </c>
      <c r="O35" s="77">
        <v>659</v>
      </c>
      <c r="P35" s="238">
        <v>249</v>
      </c>
      <c r="Q35" s="77">
        <v>659</v>
      </c>
      <c r="R35" s="77">
        <v>399</v>
      </c>
      <c r="S35" s="77">
        <v>259</v>
      </c>
      <c r="T35" s="77">
        <v>159</v>
      </c>
      <c r="U35" s="77">
        <v>59</v>
      </c>
      <c r="V35" s="77">
        <v>659</v>
      </c>
      <c r="W35" s="77">
        <v>399</v>
      </c>
      <c r="X35" s="77">
        <v>259</v>
      </c>
      <c r="Y35" s="77">
        <v>159</v>
      </c>
      <c r="Z35" s="77">
        <v>59</v>
      </c>
    </row>
    <row r="36" spans="1:26" s="79" customFormat="1" ht="28.5" customHeight="1" x14ac:dyDescent="0.25">
      <c r="A36" s="75" t="s">
        <v>81</v>
      </c>
      <c r="B36" s="75">
        <v>43313</v>
      </c>
      <c r="C36" s="75" t="s">
        <v>82</v>
      </c>
      <c r="D36" s="239" t="s">
        <v>83</v>
      </c>
      <c r="E36" s="118" t="s">
        <v>385</v>
      </c>
      <c r="F36" s="118" t="s">
        <v>382</v>
      </c>
      <c r="G36" s="237">
        <v>739</v>
      </c>
      <c r="H36" s="237">
        <v>759</v>
      </c>
      <c r="I36" s="77">
        <v>659</v>
      </c>
      <c r="J36" s="77">
        <v>659</v>
      </c>
      <c r="K36" s="77">
        <v>659</v>
      </c>
      <c r="L36" s="238">
        <v>249</v>
      </c>
      <c r="M36" s="77">
        <v>659</v>
      </c>
      <c r="N36" s="77">
        <v>659</v>
      </c>
      <c r="O36" s="77">
        <v>659</v>
      </c>
      <c r="P36" s="238">
        <v>249</v>
      </c>
      <c r="Q36" s="77">
        <v>659</v>
      </c>
      <c r="R36" s="77">
        <v>399</v>
      </c>
      <c r="S36" s="77">
        <v>259</v>
      </c>
      <c r="T36" s="77">
        <v>159</v>
      </c>
      <c r="U36" s="77">
        <v>59</v>
      </c>
      <c r="V36" s="77">
        <v>659</v>
      </c>
      <c r="W36" s="77">
        <v>399</v>
      </c>
      <c r="X36" s="77">
        <v>259</v>
      </c>
      <c r="Y36" s="77">
        <v>159</v>
      </c>
      <c r="Z36" s="77">
        <v>59</v>
      </c>
    </row>
    <row r="37" spans="1:26" s="79" customFormat="1" ht="28.5" customHeight="1" x14ac:dyDescent="0.25">
      <c r="A37" s="75" t="s">
        <v>81</v>
      </c>
      <c r="B37" s="75">
        <v>43344</v>
      </c>
      <c r="C37" s="75" t="s">
        <v>82</v>
      </c>
      <c r="D37" s="76" t="s">
        <v>83</v>
      </c>
      <c r="E37" s="76" t="s">
        <v>93</v>
      </c>
      <c r="F37" s="118" t="s">
        <v>386</v>
      </c>
      <c r="G37" s="77">
        <v>869</v>
      </c>
      <c r="H37" s="77">
        <v>899</v>
      </c>
      <c r="I37" s="77">
        <v>799</v>
      </c>
      <c r="J37" s="77">
        <v>799</v>
      </c>
      <c r="K37" s="77">
        <v>799</v>
      </c>
      <c r="L37" s="78">
        <v>379</v>
      </c>
      <c r="M37" s="77">
        <v>799</v>
      </c>
      <c r="N37" s="77">
        <v>799</v>
      </c>
      <c r="O37" s="77">
        <v>799</v>
      </c>
      <c r="P37" s="78">
        <v>379</v>
      </c>
      <c r="Q37" s="77">
        <v>799</v>
      </c>
      <c r="R37" s="77">
        <v>539</v>
      </c>
      <c r="S37" s="77">
        <v>399</v>
      </c>
      <c r="T37" s="77">
        <v>299</v>
      </c>
      <c r="U37" s="77">
        <v>199</v>
      </c>
      <c r="V37" s="77">
        <v>799</v>
      </c>
      <c r="W37" s="77">
        <v>539</v>
      </c>
      <c r="X37" s="77">
        <v>399</v>
      </c>
      <c r="Y37" s="77">
        <v>299</v>
      </c>
      <c r="Z37" s="77">
        <v>199</v>
      </c>
    </row>
    <row r="38" spans="1:26" s="79" customFormat="1" ht="28.5" customHeight="1" x14ac:dyDescent="0.25">
      <c r="A38" s="75" t="s">
        <v>81</v>
      </c>
      <c r="B38" s="75">
        <v>43344</v>
      </c>
      <c r="C38" s="75" t="s">
        <v>82</v>
      </c>
      <c r="D38" s="76" t="s">
        <v>83</v>
      </c>
      <c r="E38" s="76" t="s">
        <v>94</v>
      </c>
      <c r="F38" s="118" t="s">
        <v>386</v>
      </c>
      <c r="G38" s="77">
        <v>869</v>
      </c>
      <c r="H38" s="77">
        <v>899</v>
      </c>
      <c r="I38" s="77">
        <v>799</v>
      </c>
      <c r="J38" s="77">
        <v>799</v>
      </c>
      <c r="K38" s="77">
        <v>799</v>
      </c>
      <c r="L38" s="78">
        <v>379</v>
      </c>
      <c r="M38" s="77">
        <v>799</v>
      </c>
      <c r="N38" s="77">
        <v>799</v>
      </c>
      <c r="O38" s="77">
        <v>799</v>
      </c>
      <c r="P38" s="78">
        <v>379</v>
      </c>
      <c r="Q38" s="77">
        <v>799</v>
      </c>
      <c r="R38" s="77">
        <v>539</v>
      </c>
      <c r="S38" s="77">
        <v>399</v>
      </c>
      <c r="T38" s="77">
        <v>299</v>
      </c>
      <c r="U38" s="77">
        <v>199</v>
      </c>
      <c r="V38" s="77">
        <v>799</v>
      </c>
      <c r="W38" s="77">
        <v>539</v>
      </c>
      <c r="X38" s="77">
        <v>399</v>
      </c>
      <c r="Y38" s="77">
        <v>299</v>
      </c>
      <c r="Z38" s="77">
        <v>199</v>
      </c>
    </row>
    <row r="39" spans="1:26" s="79" customFormat="1" ht="28.5" customHeight="1" x14ac:dyDescent="0.25">
      <c r="A39" s="75" t="s">
        <v>81</v>
      </c>
      <c r="B39" s="75">
        <v>43344</v>
      </c>
      <c r="C39" s="75" t="s">
        <v>82</v>
      </c>
      <c r="D39" s="76" t="s">
        <v>83</v>
      </c>
      <c r="E39" s="76" t="s">
        <v>95</v>
      </c>
      <c r="F39" s="118" t="s">
        <v>386</v>
      </c>
      <c r="G39" s="77">
        <v>869</v>
      </c>
      <c r="H39" s="77">
        <v>899</v>
      </c>
      <c r="I39" s="77">
        <v>799</v>
      </c>
      <c r="J39" s="77">
        <v>799</v>
      </c>
      <c r="K39" s="77">
        <v>799</v>
      </c>
      <c r="L39" s="78">
        <v>379</v>
      </c>
      <c r="M39" s="77">
        <v>799</v>
      </c>
      <c r="N39" s="77">
        <v>799</v>
      </c>
      <c r="O39" s="77">
        <v>799</v>
      </c>
      <c r="P39" s="78">
        <v>379</v>
      </c>
      <c r="Q39" s="77">
        <v>799</v>
      </c>
      <c r="R39" s="77">
        <v>539</v>
      </c>
      <c r="S39" s="77">
        <v>399</v>
      </c>
      <c r="T39" s="77">
        <v>299</v>
      </c>
      <c r="U39" s="77">
        <v>199</v>
      </c>
      <c r="V39" s="77">
        <v>799</v>
      </c>
      <c r="W39" s="77">
        <v>539</v>
      </c>
      <c r="X39" s="77">
        <v>399</v>
      </c>
      <c r="Y39" s="77">
        <v>299</v>
      </c>
      <c r="Z39" s="77">
        <v>199</v>
      </c>
    </row>
    <row r="40" spans="1:26" s="79" customFormat="1" ht="28.5" customHeight="1" x14ac:dyDescent="0.25">
      <c r="A40" s="75" t="s">
        <v>81</v>
      </c>
      <c r="B40" s="75">
        <v>43344</v>
      </c>
      <c r="C40" s="75" t="s">
        <v>82</v>
      </c>
      <c r="D40" s="76" t="s">
        <v>83</v>
      </c>
      <c r="E40" s="76" t="s">
        <v>96</v>
      </c>
      <c r="F40" s="118" t="s">
        <v>386</v>
      </c>
      <c r="G40" s="77">
        <v>869</v>
      </c>
      <c r="H40" s="77">
        <v>899</v>
      </c>
      <c r="I40" s="77">
        <v>799</v>
      </c>
      <c r="J40" s="77">
        <v>799</v>
      </c>
      <c r="K40" s="77">
        <v>799</v>
      </c>
      <c r="L40" s="78">
        <v>379</v>
      </c>
      <c r="M40" s="77">
        <v>799</v>
      </c>
      <c r="N40" s="77">
        <v>799</v>
      </c>
      <c r="O40" s="77">
        <v>799</v>
      </c>
      <c r="P40" s="78">
        <v>379</v>
      </c>
      <c r="Q40" s="77">
        <v>799</v>
      </c>
      <c r="R40" s="77">
        <v>539</v>
      </c>
      <c r="S40" s="77">
        <v>399</v>
      </c>
      <c r="T40" s="77">
        <v>299</v>
      </c>
      <c r="U40" s="77">
        <v>199</v>
      </c>
      <c r="V40" s="77">
        <v>799</v>
      </c>
      <c r="W40" s="77">
        <v>539</v>
      </c>
      <c r="X40" s="77">
        <v>399</v>
      </c>
      <c r="Y40" s="77">
        <v>299</v>
      </c>
      <c r="Z40" s="77">
        <v>199</v>
      </c>
    </row>
    <row r="41" spans="1:26" s="79" customFormat="1" ht="28.5" customHeight="1" x14ac:dyDescent="0.25">
      <c r="A41" s="75" t="s">
        <v>81</v>
      </c>
      <c r="B41" s="75">
        <v>43221</v>
      </c>
      <c r="C41" s="75" t="s">
        <v>82</v>
      </c>
      <c r="D41" s="76" t="s">
        <v>83</v>
      </c>
      <c r="E41" s="76" t="s">
        <v>97</v>
      </c>
      <c r="F41" s="118" t="s">
        <v>387</v>
      </c>
      <c r="G41" s="77">
        <v>569</v>
      </c>
      <c r="H41" s="77">
        <v>599</v>
      </c>
      <c r="I41" s="77">
        <v>499</v>
      </c>
      <c r="J41" s="77">
        <v>499</v>
      </c>
      <c r="K41" s="77">
        <v>499</v>
      </c>
      <c r="L41" s="78">
        <v>0</v>
      </c>
      <c r="M41" s="77">
        <v>499</v>
      </c>
      <c r="N41" s="77">
        <v>499</v>
      </c>
      <c r="O41" s="77">
        <v>499</v>
      </c>
      <c r="P41" s="78">
        <v>0</v>
      </c>
      <c r="Q41" s="77">
        <v>499</v>
      </c>
      <c r="R41" s="77">
        <v>239</v>
      </c>
      <c r="S41" s="77">
        <v>99</v>
      </c>
      <c r="T41" s="77">
        <v>0</v>
      </c>
      <c r="U41" s="77">
        <v>0</v>
      </c>
      <c r="V41" s="77">
        <v>499</v>
      </c>
      <c r="W41" s="77">
        <v>239</v>
      </c>
      <c r="X41" s="77">
        <v>99</v>
      </c>
      <c r="Y41" s="77">
        <v>0</v>
      </c>
      <c r="Z41" s="77">
        <v>0</v>
      </c>
    </row>
    <row r="42" spans="1:26" s="79" customFormat="1" ht="28.5" customHeight="1" x14ac:dyDescent="0.25">
      <c r="A42" s="74" t="s">
        <v>81</v>
      </c>
      <c r="B42" s="75">
        <v>43160</v>
      </c>
      <c r="C42" s="75" t="s">
        <v>82</v>
      </c>
      <c r="D42" s="76" t="s">
        <v>83</v>
      </c>
      <c r="E42" s="76" t="s">
        <v>98</v>
      </c>
      <c r="F42" s="118" t="s">
        <v>387</v>
      </c>
      <c r="G42" s="77">
        <v>569</v>
      </c>
      <c r="H42" s="77">
        <v>599</v>
      </c>
      <c r="I42" s="77">
        <v>499</v>
      </c>
      <c r="J42" s="77">
        <v>499</v>
      </c>
      <c r="K42" s="77">
        <v>499</v>
      </c>
      <c r="L42" s="78">
        <v>0</v>
      </c>
      <c r="M42" s="77">
        <v>499</v>
      </c>
      <c r="N42" s="77">
        <v>499</v>
      </c>
      <c r="O42" s="77">
        <v>499</v>
      </c>
      <c r="P42" s="78">
        <v>0</v>
      </c>
      <c r="Q42" s="77">
        <v>499</v>
      </c>
      <c r="R42" s="77">
        <v>239</v>
      </c>
      <c r="S42" s="77">
        <v>99</v>
      </c>
      <c r="T42" s="77">
        <v>0</v>
      </c>
      <c r="U42" s="77">
        <v>0</v>
      </c>
      <c r="V42" s="77">
        <v>499</v>
      </c>
      <c r="W42" s="77">
        <v>239</v>
      </c>
      <c r="X42" s="77">
        <v>99</v>
      </c>
      <c r="Y42" s="77">
        <v>0</v>
      </c>
      <c r="Z42" s="77">
        <v>0</v>
      </c>
    </row>
    <row r="43" spans="1:26" s="79" customFormat="1" ht="28.5" customHeight="1" x14ac:dyDescent="0.25">
      <c r="A43" s="74" t="s">
        <v>81</v>
      </c>
      <c r="B43" s="75">
        <v>43252</v>
      </c>
      <c r="C43" s="75" t="s">
        <v>82</v>
      </c>
      <c r="D43" s="76" t="s">
        <v>83</v>
      </c>
      <c r="E43" s="76" t="s">
        <v>99</v>
      </c>
      <c r="F43" s="118" t="s">
        <v>387</v>
      </c>
      <c r="G43" s="77">
        <v>569</v>
      </c>
      <c r="H43" s="77">
        <v>599</v>
      </c>
      <c r="I43" s="77">
        <v>499</v>
      </c>
      <c r="J43" s="77">
        <v>499</v>
      </c>
      <c r="K43" s="77">
        <v>499</v>
      </c>
      <c r="L43" s="78">
        <v>0</v>
      </c>
      <c r="M43" s="77">
        <v>499</v>
      </c>
      <c r="N43" s="77">
        <v>499</v>
      </c>
      <c r="O43" s="77">
        <v>499</v>
      </c>
      <c r="P43" s="78">
        <v>0</v>
      </c>
      <c r="Q43" s="77">
        <v>499</v>
      </c>
      <c r="R43" s="77">
        <v>239</v>
      </c>
      <c r="S43" s="77">
        <v>99</v>
      </c>
      <c r="T43" s="77">
        <v>0</v>
      </c>
      <c r="U43" s="77">
        <v>0</v>
      </c>
      <c r="V43" s="77">
        <v>499</v>
      </c>
      <c r="W43" s="77">
        <v>239</v>
      </c>
      <c r="X43" s="77">
        <v>99</v>
      </c>
      <c r="Y43" s="77">
        <v>0</v>
      </c>
      <c r="Z43" s="77">
        <v>0</v>
      </c>
    </row>
    <row r="44" spans="1:26" s="79" customFormat="1" ht="28.5" customHeight="1" x14ac:dyDescent="0.25">
      <c r="A44" s="75" t="s">
        <v>81</v>
      </c>
      <c r="B44" s="75">
        <v>43221</v>
      </c>
      <c r="C44" s="75" t="s">
        <v>82</v>
      </c>
      <c r="D44" s="76" t="s">
        <v>83</v>
      </c>
      <c r="E44" s="76" t="s">
        <v>100</v>
      </c>
      <c r="F44" s="118" t="s">
        <v>387</v>
      </c>
      <c r="G44" s="77">
        <v>569</v>
      </c>
      <c r="H44" s="77">
        <v>599</v>
      </c>
      <c r="I44" s="77">
        <v>499</v>
      </c>
      <c r="J44" s="77">
        <v>499</v>
      </c>
      <c r="K44" s="77">
        <v>499</v>
      </c>
      <c r="L44" s="78">
        <v>0</v>
      </c>
      <c r="M44" s="77">
        <v>499</v>
      </c>
      <c r="N44" s="77">
        <v>499</v>
      </c>
      <c r="O44" s="77">
        <v>499</v>
      </c>
      <c r="P44" s="78">
        <v>0</v>
      </c>
      <c r="Q44" s="77">
        <v>499</v>
      </c>
      <c r="R44" s="77">
        <v>239</v>
      </c>
      <c r="S44" s="77">
        <v>99</v>
      </c>
      <c r="T44" s="77">
        <v>0</v>
      </c>
      <c r="U44" s="77">
        <v>0</v>
      </c>
      <c r="V44" s="77">
        <v>499</v>
      </c>
      <c r="W44" s="77">
        <v>239</v>
      </c>
      <c r="X44" s="77">
        <v>99</v>
      </c>
      <c r="Y44" s="77">
        <v>0</v>
      </c>
      <c r="Z44" s="77">
        <v>0</v>
      </c>
    </row>
    <row r="45" spans="1:26" s="79" customFormat="1" ht="28.5" customHeight="1" x14ac:dyDescent="0.25">
      <c r="A45" s="75" t="s">
        <v>84</v>
      </c>
      <c r="B45" s="75">
        <v>43344</v>
      </c>
      <c r="C45" s="75" t="s">
        <v>82</v>
      </c>
      <c r="D45" s="76" t="s">
        <v>83</v>
      </c>
      <c r="E45" s="76" t="s">
        <v>388</v>
      </c>
      <c r="F45" s="118" t="s">
        <v>389</v>
      </c>
      <c r="G45" s="77">
        <v>469</v>
      </c>
      <c r="H45" s="77">
        <v>489</v>
      </c>
      <c r="I45" s="77">
        <v>389</v>
      </c>
      <c r="J45" s="77">
        <v>389</v>
      </c>
      <c r="K45" s="77">
        <v>389</v>
      </c>
      <c r="L45" s="78">
        <v>0</v>
      </c>
      <c r="M45" s="77">
        <v>389</v>
      </c>
      <c r="N45" s="77">
        <v>389</v>
      </c>
      <c r="O45" s="77">
        <v>389</v>
      </c>
      <c r="P45" s="78">
        <v>0</v>
      </c>
      <c r="Q45" s="77">
        <v>389</v>
      </c>
      <c r="R45" s="77">
        <v>129</v>
      </c>
      <c r="S45" s="77">
        <v>0</v>
      </c>
      <c r="T45" s="77">
        <v>0</v>
      </c>
      <c r="U45" s="77">
        <v>0</v>
      </c>
      <c r="V45" s="77">
        <v>389</v>
      </c>
      <c r="W45" s="77">
        <v>129</v>
      </c>
      <c r="X45" s="77">
        <v>0</v>
      </c>
      <c r="Y45" s="77">
        <v>0</v>
      </c>
      <c r="Z45" s="77">
        <v>0</v>
      </c>
    </row>
    <row r="46" spans="1:26" s="79" customFormat="1" ht="28.5" customHeight="1" x14ac:dyDescent="0.25">
      <c r="A46" s="75" t="s">
        <v>81</v>
      </c>
      <c r="B46" s="75">
        <v>43344</v>
      </c>
      <c r="C46" s="75" t="s">
        <v>82</v>
      </c>
      <c r="D46" s="76" t="s">
        <v>83</v>
      </c>
      <c r="E46" s="76" t="s">
        <v>390</v>
      </c>
      <c r="F46" s="118" t="s">
        <v>389</v>
      </c>
      <c r="G46" s="77">
        <v>469</v>
      </c>
      <c r="H46" s="77">
        <v>489</v>
      </c>
      <c r="I46" s="77">
        <v>389</v>
      </c>
      <c r="J46" s="77">
        <v>389</v>
      </c>
      <c r="K46" s="77">
        <v>389</v>
      </c>
      <c r="L46" s="78">
        <v>0</v>
      </c>
      <c r="M46" s="77">
        <v>389</v>
      </c>
      <c r="N46" s="77">
        <v>389</v>
      </c>
      <c r="O46" s="77">
        <v>389</v>
      </c>
      <c r="P46" s="78">
        <v>0</v>
      </c>
      <c r="Q46" s="77">
        <v>389</v>
      </c>
      <c r="R46" s="77">
        <v>129</v>
      </c>
      <c r="S46" s="77">
        <v>0</v>
      </c>
      <c r="T46" s="77">
        <v>0</v>
      </c>
      <c r="U46" s="77">
        <v>0</v>
      </c>
      <c r="V46" s="77">
        <v>389</v>
      </c>
      <c r="W46" s="77">
        <v>129</v>
      </c>
      <c r="X46" s="77">
        <v>0</v>
      </c>
      <c r="Y46" s="77">
        <v>0</v>
      </c>
      <c r="Z46" s="77">
        <v>0</v>
      </c>
    </row>
    <row r="47" spans="1:26" s="79" customFormat="1" ht="28.5" customHeight="1" x14ac:dyDescent="0.25">
      <c r="A47" s="75" t="s">
        <v>81</v>
      </c>
      <c r="B47" s="75">
        <v>43313</v>
      </c>
      <c r="C47" s="75" t="s">
        <v>82</v>
      </c>
      <c r="D47" s="76" t="s">
        <v>83</v>
      </c>
      <c r="E47" s="76" t="s">
        <v>391</v>
      </c>
      <c r="F47" s="118" t="s">
        <v>389</v>
      </c>
      <c r="G47" s="77">
        <v>469</v>
      </c>
      <c r="H47" s="77">
        <v>489</v>
      </c>
      <c r="I47" s="77">
        <v>389</v>
      </c>
      <c r="J47" s="77">
        <v>389</v>
      </c>
      <c r="K47" s="77">
        <v>389</v>
      </c>
      <c r="L47" s="78">
        <v>0</v>
      </c>
      <c r="M47" s="77">
        <v>389</v>
      </c>
      <c r="N47" s="77">
        <v>389</v>
      </c>
      <c r="O47" s="77">
        <v>389</v>
      </c>
      <c r="P47" s="78">
        <v>0</v>
      </c>
      <c r="Q47" s="77">
        <v>389</v>
      </c>
      <c r="R47" s="77">
        <v>129</v>
      </c>
      <c r="S47" s="77">
        <v>0</v>
      </c>
      <c r="T47" s="77">
        <v>0</v>
      </c>
      <c r="U47" s="77">
        <v>0</v>
      </c>
      <c r="V47" s="77">
        <v>389</v>
      </c>
      <c r="W47" s="77">
        <v>129</v>
      </c>
      <c r="X47" s="77">
        <v>0</v>
      </c>
      <c r="Y47" s="77">
        <v>0</v>
      </c>
      <c r="Z47" s="77">
        <v>0</v>
      </c>
    </row>
    <row r="48" spans="1:26" s="79" customFormat="1" ht="28.5" customHeight="1" x14ac:dyDescent="0.25">
      <c r="A48" s="75" t="s">
        <v>81</v>
      </c>
      <c r="B48" s="75">
        <v>43344</v>
      </c>
      <c r="C48" s="75" t="s">
        <v>82</v>
      </c>
      <c r="D48" s="76" t="s">
        <v>83</v>
      </c>
      <c r="E48" s="76" t="s">
        <v>392</v>
      </c>
      <c r="F48" s="118" t="s">
        <v>389</v>
      </c>
      <c r="G48" s="77">
        <v>469</v>
      </c>
      <c r="H48" s="77">
        <v>489</v>
      </c>
      <c r="I48" s="77">
        <v>389</v>
      </c>
      <c r="J48" s="77">
        <v>389</v>
      </c>
      <c r="K48" s="77">
        <v>389</v>
      </c>
      <c r="L48" s="78">
        <v>0</v>
      </c>
      <c r="M48" s="77">
        <v>389</v>
      </c>
      <c r="N48" s="77">
        <v>389</v>
      </c>
      <c r="O48" s="77">
        <v>389</v>
      </c>
      <c r="P48" s="78">
        <v>0</v>
      </c>
      <c r="Q48" s="77">
        <v>389</v>
      </c>
      <c r="R48" s="77">
        <v>129</v>
      </c>
      <c r="S48" s="77">
        <v>0</v>
      </c>
      <c r="T48" s="77">
        <v>0</v>
      </c>
      <c r="U48" s="77">
        <v>0</v>
      </c>
      <c r="V48" s="77">
        <v>389</v>
      </c>
      <c r="W48" s="77">
        <v>129</v>
      </c>
      <c r="X48" s="77">
        <v>0</v>
      </c>
      <c r="Y48" s="77">
        <v>0</v>
      </c>
      <c r="Z48" s="77">
        <v>0</v>
      </c>
    </row>
    <row r="49" spans="1:26" s="79" customFormat="1" ht="28.5" customHeight="1" x14ac:dyDescent="0.25">
      <c r="A49" s="74" t="s">
        <v>81</v>
      </c>
      <c r="B49" s="75">
        <v>43252</v>
      </c>
      <c r="C49" s="75" t="s">
        <v>82</v>
      </c>
      <c r="D49" s="76" t="s">
        <v>83</v>
      </c>
      <c r="E49" s="76" t="s">
        <v>101</v>
      </c>
      <c r="F49" s="118" t="s">
        <v>393</v>
      </c>
      <c r="G49" s="77">
        <v>639</v>
      </c>
      <c r="H49" s="77">
        <v>649</v>
      </c>
      <c r="I49" s="77">
        <v>549</v>
      </c>
      <c r="J49" s="77">
        <v>549</v>
      </c>
      <c r="K49" s="77">
        <v>549</v>
      </c>
      <c r="L49" s="78">
        <v>49.99</v>
      </c>
      <c r="M49" s="77">
        <v>549</v>
      </c>
      <c r="N49" s="77">
        <v>549</v>
      </c>
      <c r="O49" s="77">
        <v>549</v>
      </c>
      <c r="P49" s="78">
        <v>49.99</v>
      </c>
      <c r="Q49" s="77">
        <v>549</v>
      </c>
      <c r="R49" s="77">
        <v>289</v>
      </c>
      <c r="S49" s="77">
        <v>149</v>
      </c>
      <c r="T49" s="77">
        <v>49</v>
      </c>
      <c r="U49" s="77">
        <v>0</v>
      </c>
      <c r="V49" s="77">
        <v>549</v>
      </c>
      <c r="W49" s="77">
        <v>289</v>
      </c>
      <c r="X49" s="77">
        <v>149</v>
      </c>
      <c r="Y49" s="77">
        <v>49</v>
      </c>
      <c r="Z49" s="77">
        <v>0</v>
      </c>
    </row>
    <row r="50" spans="1:26" s="79" customFormat="1" ht="28.5" customHeight="1" x14ac:dyDescent="0.25">
      <c r="A50" s="74" t="s">
        <v>81</v>
      </c>
      <c r="B50" s="75">
        <v>43252</v>
      </c>
      <c r="C50" s="75" t="s">
        <v>82</v>
      </c>
      <c r="D50" s="76" t="s">
        <v>83</v>
      </c>
      <c r="E50" s="76" t="s">
        <v>102</v>
      </c>
      <c r="F50" s="118" t="s">
        <v>393</v>
      </c>
      <c r="G50" s="77">
        <v>639</v>
      </c>
      <c r="H50" s="77">
        <v>649</v>
      </c>
      <c r="I50" s="77">
        <v>549</v>
      </c>
      <c r="J50" s="77">
        <v>549</v>
      </c>
      <c r="K50" s="77">
        <v>549</v>
      </c>
      <c r="L50" s="78">
        <v>49.99</v>
      </c>
      <c r="M50" s="77">
        <v>549</v>
      </c>
      <c r="N50" s="77">
        <v>549</v>
      </c>
      <c r="O50" s="77">
        <v>549</v>
      </c>
      <c r="P50" s="78">
        <v>49.99</v>
      </c>
      <c r="Q50" s="77">
        <v>549</v>
      </c>
      <c r="R50" s="77">
        <v>289</v>
      </c>
      <c r="S50" s="77">
        <v>149</v>
      </c>
      <c r="T50" s="77">
        <v>49</v>
      </c>
      <c r="U50" s="77">
        <v>0</v>
      </c>
      <c r="V50" s="77">
        <v>549</v>
      </c>
      <c r="W50" s="77">
        <v>289</v>
      </c>
      <c r="X50" s="77">
        <v>149</v>
      </c>
      <c r="Y50" s="77">
        <v>49</v>
      </c>
      <c r="Z50" s="77">
        <v>0</v>
      </c>
    </row>
    <row r="51" spans="1:26" s="79" customFormat="1" ht="28.5" customHeight="1" x14ac:dyDescent="0.25">
      <c r="A51" s="74" t="s">
        <v>81</v>
      </c>
      <c r="B51" s="75">
        <v>43252</v>
      </c>
      <c r="C51" s="75" t="s">
        <v>82</v>
      </c>
      <c r="D51" s="76" t="s">
        <v>83</v>
      </c>
      <c r="E51" s="76" t="s">
        <v>103</v>
      </c>
      <c r="F51" s="118" t="s">
        <v>393</v>
      </c>
      <c r="G51" s="77">
        <v>639</v>
      </c>
      <c r="H51" s="77">
        <v>649</v>
      </c>
      <c r="I51" s="77">
        <v>549</v>
      </c>
      <c r="J51" s="77">
        <v>549</v>
      </c>
      <c r="K51" s="77">
        <v>549</v>
      </c>
      <c r="L51" s="78">
        <v>49.99</v>
      </c>
      <c r="M51" s="77">
        <v>549</v>
      </c>
      <c r="N51" s="77">
        <v>549</v>
      </c>
      <c r="O51" s="77">
        <v>549</v>
      </c>
      <c r="P51" s="78">
        <v>49.99</v>
      </c>
      <c r="Q51" s="77">
        <v>549</v>
      </c>
      <c r="R51" s="77">
        <v>289</v>
      </c>
      <c r="S51" s="77">
        <v>149</v>
      </c>
      <c r="T51" s="77">
        <v>49</v>
      </c>
      <c r="U51" s="77">
        <v>0</v>
      </c>
      <c r="V51" s="77">
        <v>549</v>
      </c>
      <c r="W51" s="77">
        <v>289</v>
      </c>
      <c r="X51" s="77">
        <v>149</v>
      </c>
      <c r="Y51" s="77">
        <v>49</v>
      </c>
      <c r="Z51" s="77">
        <v>0</v>
      </c>
    </row>
    <row r="52" spans="1:26" s="79" customFormat="1" ht="28.5" customHeight="1" x14ac:dyDescent="0.25">
      <c r="A52" s="75" t="s">
        <v>81</v>
      </c>
      <c r="B52" s="75">
        <v>43221</v>
      </c>
      <c r="C52" s="75" t="s">
        <v>82</v>
      </c>
      <c r="D52" s="76" t="s">
        <v>83</v>
      </c>
      <c r="E52" s="76" t="s">
        <v>104</v>
      </c>
      <c r="F52" s="118" t="s">
        <v>393</v>
      </c>
      <c r="G52" s="77">
        <v>639</v>
      </c>
      <c r="H52" s="77">
        <v>649</v>
      </c>
      <c r="I52" s="77">
        <v>549</v>
      </c>
      <c r="J52" s="77">
        <v>549</v>
      </c>
      <c r="K52" s="77">
        <v>549</v>
      </c>
      <c r="L52" s="78">
        <v>49.99</v>
      </c>
      <c r="M52" s="77">
        <v>549</v>
      </c>
      <c r="N52" s="77">
        <v>549</v>
      </c>
      <c r="O52" s="77">
        <v>549</v>
      </c>
      <c r="P52" s="78">
        <v>49.99</v>
      </c>
      <c r="Q52" s="77">
        <v>549</v>
      </c>
      <c r="R52" s="77">
        <v>289</v>
      </c>
      <c r="S52" s="77">
        <v>149</v>
      </c>
      <c r="T52" s="77">
        <v>49</v>
      </c>
      <c r="U52" s="77">
        <v>0</v>
      </c>
      <c r="V52" s="77">
        <v>549</v>
      </c>
      <c r="W52" s="77">
        <v>289</v>
      </c>
      <c r="X52" s="77">
        <v>149</v>
      </c>
      <c r="Y52" s="77">
        <v>49</v>
      </c>
      <c r="Z52" s="77">
        <v>0</v>
      </c>
    </row>
    <row r="53" spans="1:26" s="79" customFormat="1" ht="28.5" customHeight="1" x14ac:dyDescent="0.25">
      <c r="A53" s="75" t="s">
        <v>81</v>
      </c>
      <c r="B53" s="75">
        <v>43313</v>
      </c>
      <c r="C53" s="75" t="s">
        <v>82</v>
      </c>
      <c r="D53" s="76" t="s">
        <v>83</v>
      </c>
      <c r="E53" s="76" t="s">
        <v>394</v>
      </c>
      <c r="F53" s="118" t="s">
        <v>395</v>
      </c>
      <c r="G53" s="77">
        <v>599</v>
      </c>
      <c r="H53" s="77">
        <v>629</v>
      </c>
      <c r="I53" s="77">
        <v>529</v>
      </c>
      <c r="J53" s="77">
        <v>529</v>
      </c>
      <c r="K53" s="77">
        <v>529</v>
      </c>
      <c r="L53" s="78">
        <v>89</v>
      </c>
      <c r="M53" s="77">
        <v>529</v>
      </c>
      <c r="N53" s="77">
        <v>529</v>
      </c>
      <c r="O53" s="77">
        <v>529</v>
      </c>
      <c r="P53" s="78">
        <v>89</v>
      </c>
      <c r="Q53" s="77">
        <v>529</v>
      </c>
      <c r="R53" s="77">
        <v>269</v>
      </c>
      <c r="S53" s="77">
        <v>129</v>
      </c>
      <c r="T53" s="77">
        <v>29</v>
      </c>
      <c r="U53" s="77">
        <v>0</v>
      </c>
      <c r="V53" s="77">
        <v>529</v>
      </c>
      <c r="W53" s="77">
        <v>269</v>
      </c>
      <c r="X53" s="77">
        <v>129</v>
      </c>
      <c r="Y53" s="77">
        <v>29</v>
      </c>
      <c r="Z53" s="77">
        <v>0</v>
      </c>
    </row>
    <row r="54" spans="1:26" s="79" customFormat="1" ht="28.5" customHeight="1" x14ac:dyDescent="0.25">
      <c r="A54" s="75" t="s">
        <v>84</v>
      </c>
      <c r="B54" s="75">
        <v>43344</v>
      </c>
      <c r="C54" s="75" t="s">
        <v>82</v>
      </c>
      <c r="D54" s="76" t="s">
        <v>83</v>
      </c>
      <c r="E54" s="76" t="s">
        <v>396</v>
      </c>
      <c r="F54" s="118" t="s">
        <v>395</v>
      </c>
      <c r="G54" s="77">
        <v>599</v>
      </c>
      <c r="H54" s="77">
        <v>629</v>
      </c>
      <c r="I54" s="77">
        <v>529</v>
      </c>
      <c r="J54" s="77">
        <v>529</v>
      </c>
      <c r="K54" s="77">
        <v>529</v>
      </c>
      <c r="L54" s="78">
        <v>89</v>
      </c>
      <c r="M54" s="77">
        <v>529</v>
      </c>
      <c r="N54" s="77">
        <v>529</v>
      </c>
      <c r="O54" s="77">
        <v>529</v>
      </c>
      <c r="P54" s="78">
        <v>89</v>
      </c>
      <c r="Q54" s="77">
        <v>529</v>
      </c>
      <c r="R54" s="77">
        <v>269</v>
      </c>
      <c r="S54" s="77">
        <v>129</v>
      </c>
      <c r="T54" s="77">
        <v>29</v>
      </c>
      <c r="U54" s="77">
        <v>0</v>
      </c>
      <c r="V54" s="77">
        <v>529</v>
      </c>
      <c r="W54" s="77">
        <v>269</v>
      </c>
      <c r="X54" s="77">
        <v>129</v>
      </c>
      <c r="Y54" s="77">
        <v>29</v>
      </c>
      <c r="Z54" s="77">
        <v>0</v>
      </c>
    </row>
    <row r="55" spans="1:26" s="79" customFormat="1" ht="28.5" customHeight="1" x14ac:dyDescent="0.25">
      <c r="A55" s="75" t="s">
        <v>81</v>
      </c>
      <c r="B55" s="75">
        <v>43344</v>
      </c>
      <c r="C55" s="75" t="s">
        <v>82</v>
      </c>
      <c r="D55" s="76" t="s">
        <v>83</v>
      </c>
      <c r="E55" s="76" t="s">
        <v>397</v>
      </c>
      <c r="F55" s="118" t="s">
        <v>395</v>
      </c>
      <c r="G55" s="77">
        <v>599</v>
      </c>
      <c r="H55" s="77">
        <v>629</v>
      </c>
      <c r="I55" s="77">
        <v>529</v>
      </c>
      <c r="J55" s="77">
        <v>529</v>
      </c>
      <c r="K55" s="77">
        <v>529</v>
      </c>
      <c r="L55" s="78">
        <v>89</v>
      </c>
      <c r="M55" s="77">
        <v>529</v>
      </c>
      <c r="N55" s="77">
        <v>529</v>
      </c>
      <c r="O55" s="77">
        <v>529</v>
      </c>
      <c r="P55" s="78">
        <v>89</v>
      </c>
      <c r="Q55" s="77">
        <v>529</v>
      </c>
      <c r="R55" s="77">
        <v>269</v>
      </c>
      <c r="S55" s="77">
        <v>129</v>
      </c>
      <c r="T55" s="77">
        <v>29</v>
      </c>
      <c r="U55" s="77">
        <v>0</v>
      </c>
      <c r="V55" s="77">
        <v>529</v>
      </c>
      <c r="W55" s="77">
        <v>269</v>
      </c>
      <c r="X55" s="77">
        <v>129</v>
      </c>
      <c r="Y55" s="77">
        <v>29</v>
      </c>
      <c r="Z55" s="77">
        <v>0</v>
      </c>
    </row>
    <row r="56" spans="1:26" s="79" customFormat="1" ht="28.5" customHeight="1" x14ac:dyDescent="0.25">
      <c r="A56" s="75" t="s">
        <v>81</v>
      </c>
      <c r="B56" s="75">
        <v>43344</v>
      </c>
      <c r="C56" s="75" t="s">
        <v>82</v>
      </c>
      <c r="D56" s="76" t="s">
        <v>83</v>
      </c>
      <c r="E56" s="76" t="s">
        <v>398</v>
      </c>
      <c r="F56" s="118" t="s">
        <v>395</v>
      </c>
      <c r="G56" s="77">
        <v>599</v>
      </c>
      <c r="H56" s="77">
        <v>629</v>
      </c>
      <c r="I56" s="77">
        <v>529</v>
      </c>
      <c r="J56" s="77">
        <v>529</v>
      </c>
      <c r="K56" s="77">
        <v>529</v>
      </c>
      <c r="L56" s="78">
        <v>89</v>
      </c>
      <c r="M56" s="77">
        <v>529</v>
      </c>
      <c r="N56" s="77">
        <v>529</v>
      </c>
      <c r="O56" s="77">
        <v>529</v>
      </c>
      <c r="P56" s="78">
        <v>89</v>
      </c>
      <c r="Q56" s="77">
        <v>529</v>
      </c>
      <c r="R56" s="77">
        <v>269</v>
      </c>
      <c r="S56" s="77">
        <v>129</v>
      </c>
      <c r="T56" s="77">
        <v>29</v>
      </c>
      <c r="U56" s="77">
        <v>0</v>
      </c>
      <c r="V56" s="77">
        <v>529</v>
      </c>
      <c r="W56" s="77">
        <v>269</v>
      </c>
      <c r="X56" s="77">
        <v>129</v>
      </c>
      <c r="Y56" s="77">
        <v>29</v>
      </c>
      <c r="Z56" s="77">
        <v>0</v>
      </c>
    </row>
    <row r="57" spans="1:26" s="79" customFormat="1" ht="28.5" customHeight="1" x14ac:dyDescent="0.25">
      <c r="A57" s="75" t="s">
        <v>84</v>
      </c>
      <c r="B57" s="75" t="s">
        <v>40</v>
      </c>
      <c r="C57" s="75" t="s">
        <v>82</v>
      </c>
      <c r="D57" s="76" t="s">
        <v>83</v>
      </c>
      <c r="E57" s="118" t="s">
        <v>399</v>
      </c>
      <c r="F57" s="76" t="s">
        <v>400</v>
      </c>
      <c r="G57" s="237">
        <v>739</v>
      </c>
      <c r="H57" s="237">
        <v>759</v>
      </c>
      <c r="I57" s="78">
        <v>659</v>
      </c>
      <c r="J57" s="78">
        <v>659</v>
      </c>
      <c r="K57" s="78">
        <v>659</v>
      </c>
      <c r="L57" s="78">
        <v>249</v>
      </c>
      <c r="M57" s="78">
        <v>659</v>
      </c>
      <c r="N57" s="78">
        <v>659</v>
      </c>
      <c r="O57" s="78">
        <v>659</v>
      </c>
      <c r="P57" s="78">
        <v>249</v>
      </c>
      <c r="Q57" s="77">
        <v>659</v>
      </c>
      <c r="R57" s="77">
        <v>399</v>
      </c>
      <c r="S57" s="77">
        <v>259</v>
      </c>
      <c r="T57" s="77">
        <v>159</v>
      </c>
      <c r="U57" s="77">
        <v>59</v>
      </c>
      <c r="V57" s="77">
        <v>659</v>
      </c>
      <c r="W57" s="77">
        <v>399</v>
      </c>
      <c r="X57" s="77">
        <v>259</v>
      </c>
      <c r="Y57" s="77">
        <v>159</v>
      </c>
      <c r="Z57" s="77">
        <v>59</v>
      </c>
    </row>
    <row r="58" spans="1:26" s="79" customFormat="1" ht="28.5" customHeight="1" x14ac:dyDescent="0.25">
      <c r="A58" s="75" t="s">
        <v>81</v>
      </c>
      <c r="B58" s="75" t="s">
        <v>40</v>
      </c>
      <c r="C58" s="75" t="s">
        <v>82</v>
      </c>
      <c r="D58" s="76" t="s">
        <v>83</v>
      </c>
      <c r="E58" s="118" t="s">
        <v>401</v>
      </c>
      <c r="F58" s="76" t="s">
        <v>400</v>
      </c>
      <c r="G58" s="237">
        <v>739</v>
      </c>
      <c r="H58" s="237">
        <v>759</v>
      </c>
      <c r="I58" s="78">
        <v>659</v>
      </c>
      <c r="J58" s="78">
        <v>659</v>
      </c>
      <c r="K58" s="78">
        <v>659</v>
      </c>
      <c r="L58" s="78">
        <v>249</v>
      </c>
      <c r="M58" s="78">
        <v>659</v>
      </c>
      <c r="N58" s="78">
        <v>659</v>
      </c>
      <c r="O58" s="78">
        <v>659</v>
      </c>
      <c r="P58" s="78">
        <v>249</v>
      </c>
      <c r="Q58" s="77">
        <v>659</v>
      </c>
      <c r="R58" s="77">
        <v>399</v>
      </c>
      <c r="S58" s="77">
        <v>259</v>
      </c>
      <c r="T58" s="77">
        <v>159</v>
      </c>
      <c r="U58" s="77">
        <v>59</v>
      </c>
      <c r="V58" s="77">
        <v>659</v>
      </c>
      <c r="W58" s="77">
        <v>399</v>
      </c>
      <c r="X58" s="77">
        <v>259</v>
      </c>
      <c r="Y58" s="77">
        <v>159</v>
      </c>
      <c r="Z58" s="77">
        <v>59</v>
      </c>
    </row>
    <row r="59" spans="1:26" s="79" customFormat="1" ht="28.5" customHeight="1" x14ac:dyDescent="0.25">
      <c r="A59" s="75" t="s">
        <v>84</v>
      </c>
      <c r="B59" s="75" t="s">
        <v>40</v>
      </c>
      <c r="C59" s="75" t="s">
        <v>82</v>
      </c>
      <c r="D59" s="76" t="s">
        <v>83</v>
      </c>
      <c r="E59" s="118" t="s">
        <v>402</v>
      </c>
      <c r="F59" s="76" t="s">
        <v>400</v>
      </c>
      <c r="G59" s="237">
        <v>739</v>
      </c>
      <c r="H59" s="237">
        <v>759</v>
      </c>
      <c r="I59" s="78">
        <v>659</v>
      </c>
      <c r="J59" s="78">
        <v>659</v>
      </c>
      <c r="K59" s="78">
        <v>659</v>
      </c>
      <c r="L59" s="78">
        <v>249</v>
      </c>
      <c r="M59" s="78">
        <v>659</v>
      </c>
      <c r="N59" s="78">
        <v>659</v>
      </c>
      <c r="O59" s="78">
        <v>659</v>
      </c>
      <c r="P59" s="78">
        <v>249</v>
      </c>
      <c r="Q59" s="77">
        <v>659</v>
      </c>
      <c r="R59" s="77">
        <v>399</v>
      </c>
      <c r="S59" s="77">
        <v>259</v>
      </c>
      <c r="T59" s="77">
        <v>159</v>
      </c>
      <c r="U59" s="77">
        <v>59</v>
      </c>
      <c r="V59" s="77">
        <v>659</v>
      </c>
      <c r="W59" s="77">
        <v>399</v>
      </c>
      <c r="X59" s="77">
        <v>259</v>
      </c>
      <c r="Y59" s="77">
        <v>159</v>
      </c>
      <c r="Z59" s="77">
        <v>59</v>
      </c>
    </row>
    <row r="60" spans="1:26" s="79" customFormat="1" ht="28.5" customHeight="1" x14ac:dyDescent="0.25">
      <c r="A60" s="75" t="s">
        <v>81</v>
      </c>
      <c r="B60" s="75" t="s">
        <v>40</v>
      </c>
      <c r="C60" s="75" t="s">
        <v>82</v>
      </c>
      <c r="D60" s="76" t="s">
        <v>83</v>
      </c>
      <c r="E60" s="118" t="s">
        <v>403</v>
      </c>
      <c r="F60" s="76" t="s">
        <v>400</v>
      </c>
      <c r="G60" s="237">
        <v>739</v>
      </c>
      <c r="H60" s="237">
        <v>759</v>
      </c>
      <c r="I60" s="78">
        <v>659</v>
      </c>
      <c r="J60" s="78">
        <v>659</v>
      </c>
      <c r="K60" s="78">
        <v>659</v>
      </c>
      <c r="L60" s="78">
        <v>249</v>
      </c>
      <c r="M60" s="78">
        <v>659</v>
      </c>
      <c r="N60" s="78">
        <v>659</v>
      </c>
      <c r="O60" s="78">
        <v>659</v>
      </c>
      <c r="P60" s="78">
        <v>249</v>
      </c>
      <c r="Q60" s="77">
        <v>659</v>
      </c>
      <c r="R60" s="77">
        <v>399</v>
      </c>
      <c r="S60" s="77">
        <v>259</v>
      </c>
      <c r="T60" s="77">
        <v>159</v>
      </c>
      <c r="U60" s="77">
        <v>59</v>
      </c>
      <c r="V60" s="77">
        <v>659</v>
      </c>
      <c r="W60" s="77">
        <v>399</v>
      </c>
      <c r="X60" s="77">
        <v>259</v>
      </c>
      <c r="Y60" s="77">
        <v>159</v>
      </c>
      <c r="Z60" s="77">
        <v>59</v>
      </c>
    </row>
    <row r="61" spans="1:26" s="79" customFormat="1" ht="28.5" customHeight="1" x14ac:dyDescent="0.25">
      <c r="A61" s="75" t="s">
        <v>81</v>
      </c>
      <c r="B61" s="75" t="s">
        <v>40</v>
      </c>
      <c r="C61" s="75" t="s">
        <v>82</v>
      </c>
      <c r="D61" s="75" t="s">
        <v>83</v>
      </c>
      <c r="E61" s="75" t="s">
        <v>404</v>
      </c>
      <c r="F61" s="75" t="s">
        <v>400</v>
      </c>
      <c r="G61" s="237">
        <v>739</v>
      </c>
      <c r="H61" s="237">
        <v>759</v>
      </c>
      <c r="I61" s="78">
        <v>659</v>
      </c>
      <c r="J61" s="78">
        <v>659</v>
      </c>
      <c r="K61" s="78">
        <v>659</v>
      </c>
      <c r="L61" s="78">
        <v>249</v>
      </c>
      <c r="M61" s="78">
        <v>659</v>
      </c>
      <c r="N61" s="78">
        <v>659</v>
      </c>
      <c r="O61" s="78">
        <v>659</v>
      </c>
      <c r="P61" s="78">
        <v>249</v>
      </c>
      <c r="Q61" s="77">
        <v>659</v>
      </c>
      <c r="R61" s="77">
        <v>399</v>
      </c>
      <c r="S61" s="77">
        <v>259</v>
      </c>
      <c r="T61" s="77">
        <v>159</v>
      </c>
      <c r="U61" s="77">
        <v>59</v>
      </c>
      <c r="V61" s="77">
        <v>659</v>
      </c>
      <c r="W61" s="77">
        <v>399</v>
      </c>
      <c r="X61" s="77">
        <v>259</v>
      </c>
      <c r="Y61" s="77">
        <v>159</v>
      </c>
      <c r="Z61" s="77">
        <v>59</v>
      </c>
    </row>
    <row r="62" spans="1:26" s="79" customFormat="1" ht="28.5" customHeight="1" x14ac:dyDescent="0.25">
      <c r="A62" s="75" t="s">
        <v>84</v>
      </c>
      <c r="B62" s="75" t="s">
        <v>40</v>
      </c>
      <c r="C62" s="75" t="s">
        <v>82</v>
      </c>
      <c r="D62" s="76" t="s">
        <v>83</v>
      </c>
      <c r="E62" s="118" t="s">
        <v>405</v>
      </c>
      <c r="F62" s="76" t="s">
        <v>406</v>
      </c>
      <c r="G62" s="237">
        <v>869</v>
      </c>
      <c r="H62" s="237">
        <v>899</v>
      </c>
      <c r="I62" s="78">
        <v>799</v>
      </c>
      <c r="J62" s="78">
        <v>799</v>
      </c>
      <c r="K62" s="78">
        <v>799</v>
      </c>
      <c r="L62" s="78">
        <v>379</v>
      </c>
      <c r="M62" s="78">
        <v>799</v>
      </c>
      <c r="N62" s="78">
        <v>799</v>
      </c>
      <c r="O62" s="78">
        <v>799</v>
      </c>
      <c r="P62" s="78">
        <v>379</v>
      </c>
      <c r="Q62" s="77">
        <v>799</v>
      </c>
      <c r="R62" s="77">
        <v>539</v>
      </c>
      <c r="S62" s="77">
        <v>399</v>
      </c>
      <c r="T62" s="77">
        <v>299</v>
      </c>
      <c r="U62" s="77">
        <v>199</v>
      </c>
      <c r="V62" s="77">
        <v>799</v>
      </c>
      <c r="W62" s="77">
        <v>539</v>
      </c>
      <c r="X62" s="77">
        <v>399</v>
      </c>
      <c r="Y62" s="77">
        <v>299</v>
      </c>
      <c r="Z62" s="77">
        <v>199</v>
      </c>
    </row>
    <row r="63" spans="1:26" s="79" customFormat="1" ht="28.5" customHeight="1" x14ac:dyDescent="0.25">
      <c r="A63" s="75" t="s">
        <v>81</v>
      </c>
      <c r="B63" s="75" t="s">
        <v>40</v>
      </c>
      <c r="C63" s="75" t="s">
        <v>82</v>
      </c>
      <c r="D63" s="76" t="s">
        <v>83</v>
      </c>
      <c r="E63" s="118" t="s">
        <v>407</v>
      </c>
      <c r="F63" s="76" t="s">
        <v>406</v>
      </c>
      <c r="G63" s="237">
        <v>869</v>
      </c>
      <c r="H63" s="237">
        <v>899</v>
      </c>
      <c r="I63" s="78">
        <v>799</v>
      </c>
      <c r="J63" s="78">
        <v>799</v>
      </c>
      <c r="K63" s="78">
        <v>799</v>
      </c>
      <c r="L63" s="78">
        <v>379</v>
      </c>
      <c r="M63" s="78">
        <v>799</v>
      </c>
      <c r="N63" s="78">
        <v>799</v>
      </c>
      <c r="O63" s="78">
        <v>799</v>
      </c>
      <c r="P63" s="78">
        <v>379</v>
      </c>
      <c r="Q63" s="77">
        <v>799</v>
      </c>
      <c r="R63" s="77">
        <v>539</v>
      </c>
      <c r="S63" s="77">
        <v>399</v>
      </c>
      <c r="T63" s="77">
        <v>299</v>
      </c>
      <c r="U63" s="77">
        <v>199</v>
      </c>
      <c r="V63" s="77">
        <v>799</v>
      </c>
      <c r="W63" s="77">
        <v>539</v>
      </c>
      <c r="X63" s="77">
        <v>399</v>
      </c>
      <c r="Y63" s="77">
        <v>299</v>
      </c>
      <c r="Z63" s="77">
        <v>199</v>
      </c>
    </row>
    <row r="64" spans="1:26" s="79" customFormat="1" ht="28.5" customHeight="1" x14ac:dyDescent="0.25">
      <c r="A64" s="75" t="s">
        <v>84</v>
      </c>
      <c r="B64" s="75" t="s">
        <v>40</v>
      </c>
      <c r="C64" s="75" t="s">
        <v>82</v>
      </c>
      <c r="D64" s="76" t="s">
        <v>83</v>
      </c>
      <c r="E64" s="118" t="s">
        <v>408</v>
      </c>
      <c r="F64" s="76" t="s">
        <v>406</v>
      </c>
      <c r="G64" s="237">
        <v>869</v>
      </c>
      <c r="H64" s="237">
        <v>899</v>
      </c>
      <c r="I64" s="78">
        <v>799</v>
      </c>
      <c r="J64" s="78">
        <v>799</v>
      </c>
      <c r="K64" s="78">
        <v>799</v>
      </c>
      <c r="L64" s="78">
        <v>379</v>
      </c>
      <c r="M64" s="78">
        <v>799</v>
      </c>
      <c r="N64" s="78">
        <v>799</v>
      </c>
      <c r="O64" s="78">
        <v>799</v>
      </c>
      <c r="P64" s="78">
        <v>379</v>
      </c>
      <c r="Q64" s="77">
        <v>799</v>
      </c>
      <c r="R64" s="77">
        <v>539</v>
      </c>
      <c r="S64" s="77">
        <v>399</v>
      </c>
      <c r="T64" s="77">
        <v>299</v>
      </c>
      <c r="U64" s="77">
        <v>199</v>
      </c>
      <c r="V64" s="77">
        <v>799</v>
      </c>
      <c r="W64" s="77">
        <v>539</v>
      </c>
      <c r="X64" s="77">
        <v>399</v>
      </c>
      <c r="Y64" s="77">
        <v>299</v>
      </c>
      <c r="Z64" s="77">
        <v>199</v>
      </c>
    </row>
    <row r="65" spans="1:26" s="79" customFormat="1" ht="28.5" customHeight="1" x14ac:dyDescent="0.25">
      <c r="A65" s="75" t="s">
        <v>81</v>
      </c>
      <c r="B65" s="75" t="s">
        <v>40</v>
      </c>
      <c r="C65" s="75" t="s">
        <v>82</v>
      </c>
      <c r="D65" s="76" t="s">
        <v>83</v>
      </c>
      <c r="E65" s="118" t="s">
        <v>409</v>
      </c>
      <c r="F65" s="76" t="s">
        <v>406</v>
      </c>
      <c r="G65" s="237">
        <v>869</v>
      </c>
      <c r="H65" s="237">
        <v>899</v>
      </c>
      <c r="I65" s="78">
        <v>799</v>
      </c>
      <c r="J65" s="78">
        <v>799</v>
      </c>
      <c r="K65" s="78">
        <v>799</v>
      </c>
      <c r="L65" s="78">
        <v>379</v>
      </c>
      <c r="M65" s="78">
        <v>799</v>
      </c>
      <c r="N65" s="78">
        <v>799</v>
      </c>
      <c r="O65" s="78">
        <v>799</v>
      </c>
      <c r="P65" s="78">
        <v>379</v>
      </c>
      <c r="Q65" s="77">
        <v>799</v>
      </c>
      <c r="R65" s="77">
        <v>539</v>
      </c>
      <c r="S65" s="77">
        <v>399</v>
      </c>
      <c r="T65" s="77">
        <v>299</v>
      </c>
      <c r="U65" s="77">
        <v>199</v>
      </c>
      <c r="V65" s="77">
        <v>799</v>
      </c>
      <c r="W65" s="77">
        <v>539</v>
      </c>
      <c r="X65" s="77">
        <v>399</v>
      </c>
      <c r="Y65" s="77">
        <v>299</v>
      </c>
      <c r="Z65" s="77">
        <v>199</v>
      </c>
    </row>
    <row r="66" spans="1:26" s="79" customFormat="1" ht="28.5" customHeight="1" x14ac:dyDescent="0.25">
      <c r="A66" s="75" t="s">
        <v>84</v>
      </c>
      <c r="B66" s="75" t="s">
        <v>40</v>
      </c>
      <c r="C66" s="75" t="s">
        <v>82</v>
      </c>
      <c r="D66" s="76" t="s">
        <v>83</v>
      </c>
      <c r="E66" s="118" t="s">
        <v>410</v>
      </c>
      <c r="F66" s="76" t="s">
        <v>406</v>
      </c>
      <c r="G66" s="237">
        <v>869</v>
      </c>
      <c r="H66" s="237">
        <v>899</v>
      </c>
      <c r="I66" s="78">
        <v>799</v>
      </c>
      <c r="J66" s="78">
        <v>799</v>
      </c>
      <c r="K66" s="78">
        <v>799</v>
      </c>
      <c r="L66" s="78">
        <v>379</v>
      </c>
      <c r="M66" s="78">
        <v>799</v>
      </c>
      <c r="N66" s="78">
        <v>799</v>
      </c>
      <c r="O66" s="78">
        <v>799</v>
      </c>
      <c r="P66" s="78">
        <v>379</v>
      </c>
      <c r="Q66" s="77">
        <v>799</v>
      </c>
      <c r="R66" s="77">
        <v>539</v>
      </c>
      <c r="S66" s="77">
        <v>399</v>
      </c>
      <c r="T66" s="77">
        <v>299</v>
      </c>
      <c r="U66" s="77">
        <v>199</v>
      </c>
      <c r="V66" s="77">
        <v>799</v>
      </c>
      <c r="W66" s="77">
        <v>539</v>
      </c>
      <c r="X66" s="77">
        <v>399</v>
      </c>
      <c r="Y66" s="77">
        <v>299</v>
      </c>
      <c r="Z66" s="77">
        <v>199</v>
      </c>
    </row>
    <row r="67" spans="1:26" s="79" customFormat="1" ht="28.5" customHeight="1" x14ac:dyDescent="0.25">
      <c r="A67" s="75" t="s">
        <v>81</v>
      </c>
      <c r="B67" s="75">
        <v>43313</v>
      </c>
      <c r="C67" s="75" t="s">
        <v>82</v>
      </c>
      <c r="D67" s="76" t="s">
        <v>83</v>
      </c>
      <c r="E67" s="118" t="s">
        <v>411</v>
      </c>
      <c r="F67" s="76" t="s">
        <v>406</v>
      </c>
      <c r="G67" s="237">
        <v>869</v>
      </c>
      <c r="H67" s="237">
        <v>899</v>
      </c>
      <c r="I67" s="78">
        <v>799</v>
      </c>
      <c r="J67" s="78">
        <v>799</v>
      </c>
      <c r="K67" s="78">
        <v>799</v>
      </c>
      <c r="L67" s="78">
        <v>379</v>
      </c>
      <c r="M67" s="78">
        <v>799</v>
      </c>
      <c r="N67" s="78">
        <v>799</v>
      </c>
      <c r="O67" s="78">
        <v>799</v>
      </c>
      <c r="P67" s="78">
        <v>379</v>
      </c>
      <c r="Q67" s="77">
        <v>799</v>
      </c>
      <c r="R67" s="77">
        <v>539</v>
      </c>
      <c r="S67" s="77">
        <v>399</v>
      </c>
      <c r="T67" s="77">
        <v>299</v>
      </c>
      <c r="U67" s="77">
        <v>199</v>
      </c>
      <c r="V67" s="77">
        <v>799</v>
      </c>
      <c r="W67" s="77">
        <v>539</v>
      </c>
      <c r="X67" s="77">
        <v>399</v>
      </c>
      <c r="Y67" s="77">
        <v>299</v>
      </c>
      <c r="Z67" s="77">
        <v>199</v>
      </c>
    </row>
    <row r="68" spans="1:26" s="79" customFormat="1" ht="28.5" customHeight="1" x14ac:dyDescent="0.25">
      <c r="A68" s="75" t="s">
        <v>81</v>
      </c>
      <c r="B68" s="75" t="s">
        <v>40</v>
      </c>
      <c r="C68" s="75" t="s">
        <v>82</v>
      </c>
      <c r="D68" s="76" t="s">
        <v>83</v>
      </c>
      <c r="E68" s="118" t="s">
        <v>412</v>
      </c>
      <c r="F68" s="76" t="s">
        <v>413</v>
      </c>
      <c r="G68" s="237">
        <v>1189</v>
      </c>
      <c r="H68" s="237">
        <v>1199</v>
      </c>
      <c r="I68" s="78">
        <v>1099</v>
      </c>
      <c r="J68" s="78">
        <v>1099</v>
      </c>
      <c r="K68" s="78">
        <v>1099</v>
      </c>
      <c r="L68" s="78">
        <v>379</v>
      </c>
      <c r="M68" s="78">
        <v>1099</v>
      </c>
      <c r="N68" s="78">
        <v>1099</v>
      </c>
      <c r="O68" s="78">
        <v>1099</v>
      </c>
      <c r="P68" s="78">
        <v>379</v>
      </c>
      <c r="Q68" s="77">
        <v>1099</v>
      </c>
      <c r="R68" s="77">
        <v>839</v>
      </c>
      <c r="S68" s="77">
        <v>699</v>
      </c>
      <c r="T68" s="77">
        <v>599</v>
      </c>
      <c r="U68" s="77">
        <v>499</v>
      </c>
      <c r="V68" s="77">
        <v>1099</v>
      </c>
      <c r="W68" s="77">
        <v>839</v>
      </c>
      <c r="X68" s="77">
        <v>699</v>
      </c>
      <c r="Y68" s="77">
        <v>599</v>
      </c>
      <c r="Z68" s="77">
        <v>499</v>
      </c>
    </row>
    <row r="69" spans="1:26" s="79" customFormat="1" ht="28.5" customHeight="1" x14ac:dyDescent="0.25">
      <c r="A69" s="75" t="s">
        <v>81</v>
      </c>
      <c r="B69" s="75" t="s">
        <v>40</v>
      </c>
      <c r="C69" s="75" t="s">
        <v>82</v>
      </c>
      <c r="D69" s="76" t="s">
        <v>83</v>
      </c>
      <c r="E69" s="118" t="s">
        <v>414</v>
      </c>
      <c r="F69" s="76" t="s">
        <v>413</v>
      </c>
      <c r="G69" s="237">
        <v>1189</v>
      </c>
      <c r="H69" s="237">
        <v>1199</v>
      </c>
      <c r="I69" s="78">
        <v>1099</v>
      </c>
      <c r="J69" s="78">
        <v>1099</v>
      </c>
      <c r="K69" s="78">
        <v>1099</v>
      </c>
      <c r="L69" s="78">
        <v>379</v>
      </c>
      <c r="M69" s="78">
        <v>1099</v>
      </c>
      <c r="N69" s="78">
        <v>1099</v>
      </c>
      <c r="O69" s="78">
        <v>1099</v>
      </c>
      <c r="P69" s="78">
        <v>379</v>
      </c>
      <c r="Q69" s="77">
        <v>1099</v>
      </c>
      <c r="R69" s="77">
        <v>839</v>
      </c>
      <c r="S69" s="77">
        <v>699</v>
      </c>
      <c r="T69" s="77">
        <v>599</v>
      </c>
      <c r="U69" s="77">
        <v>499</v>
      </c>
      <c r="V69" s="77">
        <v>1099</v>
      </c>
      <c r="W69" s="77">
        <v>839</v>
      </c>
      <c r="X69" s="77">
        <v>699</v>
      </c>
      <c r="Y69" s="77">
        <v>599</v>
      </c>
      <c r="Z69" s="77">
        <v>499</v>
      </c>
    </row>
    <row r="70" spans="1:26" s="79" customFormat="1" ht="28.5" customHeight="1" x14ac:dyDescent="0.25">
      <c r="A70" s="74" t="s">
        <v>81</v>
      </c>
      <c r="B70" s="75" t="s">
        <v>40</v>
      </c>
      <c r="C70" s="75" t="s">
        <v>82</v>
      </c>
      <c r="D70" s="76" t="s">
        <v>83</v>
      </c>
      <c r="E70" s="118" t="s">
        <v>415</v>
      </c>
      <c r="F70" s="76" t="s">
        <v>413</v>
      </c>
      <c r="G70" s="237">
        <v>1189</v>
      </c>
      <c r="H70" s="237">
        <v>1199</v>
      </c>
      <c r="I70" s="78">
        <v>1099</v>
      </c>
      <c r="J70" s="78">
        <v>1099</v>
      </c>
      <c r="K70" s="78">
        <v>1099</v>
      </c>
      <c r="L70" s="78">
        <v>379</v>
      </c>
      <c r="M70" s="78">
        <v>1099</v>
      </c>
      <c r="N70" s="78">
        <v>1099</v>
      </c>
      <c r="O70" s="78">
        <v>1099</v>
      </c>
      <c r="P70" s="78">
        <v>379</v>
      </c>
      <c r="Q70" s="77">
        <v>1099</v>
      </c>
      <c r="R70" s="77">
        <v>839</v>
      </c>
      <c r="S70" s="77">
        <v>699</v>
      </c>
      <c r="T70" s="77">
        <v>599</v>
      </c>
      <c r="U70" s="77">
        <v>499</v>
      </c>
      <c r="V70" s="77">
        <v>1099</v>
      </c>
      <c r="W70" s="77">
        <v>839</v>
      </c>
      <c r="X70" s="77">
        <v>699</v>
      </c>
      <c r="Y70" s="77">
        <v>599</v>
      </c>
      <c r="Z70" s="77">
        <v>499</v>
      </c>
    </row>
    <row r="71" spans="1:26" s="79" customFormat="1" ht="28.5" customHeight="1" x14ac:dyDescent="0.25">
      <c r="A71" s="75" t="s">
        <v>84</v>
      </c>
      <c r="B71" s="75" t="s">
        <v>40</v>
      </c>
      <c r="C71" s="75" t="s">
        <v>82</v>
      </c>
      <c r="D71" s="76" t="s">
        <v>83</v>
      </c>
      <c r="E71" s="118" t="s">
        <v>416</v>
      </c>
      <c r="F71" s="76" t="s">
        <v>413</v>
      </c>
      <c r="G71" s="237">
        <v>1189</v>
      </c>
      <c r="H71" s="237">
        <v>1199</v>
      </c>
      <c r="I71" s="78">
        <v>1099</v>
      </c>
      <c r="J71" s="78">
        <v>1099</v>
      </c>
      <c r="K71" s="78">
        <v>1099</v>
      </c>
      <c r="L71" s="78">
        <v>379</v>
      </c>
      <c r="M71" s="78">
        <v>1099</v>
      </c>
      <c r="N71" s="78">
        <v>1099</v>
      </c>
      <c r="O71" s="78">
        <v>1099</v>
      </c>
      <c r="P71" s="78">
        <v>379</v>
      </c>
      <c r="Q71" s="77">
        <v>1099</v>
      </c>
      <c r="R71" s="77">
        <v>839</v>
      </c>
      <c r="S71" s="77">
        <v>699</v>
      </c>
      <c r="T71" s="77">
        <v>599</v>
      </c>
      <c r="U71" s="77">
        <v>499</v>
      </c>
      <c r="V71" s="77">
        <v>1099</v>
      </c>
      <c r="W71" s="77">
        <v>839</v>
      </c>
      <c r="X71" s="77">
        <v>699</v>
      </c>
      <c r="Y71" s="77">
        <v>599</v>
      </c>
      <c r="Z71" s="77">
        <v>499</v>
      </c>
    </row>
    <row r="72" spans="1:26" s="79" customFormat="1" ht="28.5" customHeight="1" x14ac:dyDescent="0.25">
      <c r="A72" s="75" t="s">
        <v>81</v>
      </c>
      <c r="B72" s="75" t="s">
        <v>40</v>
      </c>
      <c r="C72" s="75" t="s">
        <v>82</v>
      </c>
      <c r="D72" s="76" t="s">
        <v>83</v>
      </c>
      <c r="E72" s="118" t="s">
        <v>417</v>
      </c>
      <c r="F72" s="76" t="s">
        <v>413</v>
      </c>
      <c r="G72" s="237">
        <v>1189</v>
      </c>
      <c r="H72" s="237">
        <v>1199</v>
      </c>
      <c r="I72" s="78">
        <v>1099</v>
      </c>
      <c r="J72" s="78">
        <v>1099</v>
      </c>
      <c r="K72" s="78">
        <v>1099</v>
      </c>
      <c r="L72" s="78">
        <v>379</v>
      </c>
      <c r="M72" s="78">
        <v>1099</v>
      </c>
      <c r="N72" s="78">
        <v>1099</v>
      </c>
      <c r="O72" s="78">
        <v>1099</v>
      </c>
      <c r="P72" s="78">
        <v>379</v>
      </c>
      <c r="Q72" s="77">
        <v>1099</v>
      </c>
      <c r="R72" s="77">
        <v>839</v>
      </c>
      <c r="S72" s="77">
        <v>699</v>
      </c>
      <c r="T72" s="77">
        <v>599</v>
      </c>
      <c r="U72" s="77">
        <v>499</v>
      </c>
      <c r="V72" s="77">
        <v>1099</v>
      </c>
      <c r="W72" s="77">
        <v>839</v>
      </c>
      <c r="X72" s="77">
        <v>699</v>
      </c>
      <c r="Y72" s="77">
        <v>599</v>
      </c>
      <c r="Z72" s="77">
        <v>499</v>
      </c>
    </row>
    <row r="73" spans="1:26" s="79" customFormat="1" ht="28.5" customHeight="1" x14ac:dyDescent="0.25">
      <c r="A73" s="75" t="s">
        <v>81</v>
      </c>
      <c r="B73" s="75">
        <v>43313</v>
      </c>
      <c r="C73" s="75" t="s">
        <v>82</v>
      </c>
      <c r="D73" s="76" t="s">
        <v>83</v>
      </c>
      <c r="E73" s="118" t="s">
        <v>418</v>
      </c>
      <c r="F73" s="76" t="s">
        <v>413</v>
      </c>
      <c r="G73" s="237">
        <v>1129</v>
      </c>
      <c r="H73" s="237">
        <v>1129</v>
      </c>
      <c r="I73" s="78">
        <v>1099</v>
      </c>
      <c r="J73" s="78">
        <v>1099</v>
      </c>
      <c r="K73" s="78">
        <v>1099</v>
      </c>
      <c r="L73" s="78">
        <v>379</v>
      </c>
      <c r="M73" s="78">
        <v>1099</v>
      </c>
      <c r="N73" s="78">
        <v>1099</v>
      </c>
      <c r="O73" s="78">
        <v>1099</v>
      </c>
      <c r="P73" s="78">
        <v>379</v>
      </c>
      <c r="Q73" s="77">
        <v>1029</v>
      </c>
      <c r="R73" s="77">
        <v>769</v>
      </c>
      <c r="S73" s="77">
        <v>629</v>
      </c>
      <c r="T73" s="77">
        <v>529</v>
      </c>
      <c r="U73" s="77">
        <v>429</v>
      </c>
      <c r="V73" s="77">
        <v>1029</v>
      </c>
      <c r="W73" s="77">
        <v>769</v>
      </c>
      <c r="X73" s="77">
        <v>629</v>
      </c>
      <c r="Y73" s="77">
        <v>529</v>
      </c>
      <c r="Z73" s="77">
        <v>429</v>
      </c>
    </row>
    <row r="74" spans="1:26" s="79" customFormat="1" ht="28.5" customHeight="1" x14ac:dyDescent="0.25">
      <c r="A74" s="75" t="s">
        <v>84</v>
      </c>
      <c r="B74" s="75" t="s">
        <v>40</v>
      </c>
      <c r="C74" s="75" t="s">
        <v>82</v>
      </c>
      <c r="D74" s="76" t="s">
        <v>83</v>
      </c>
      <c r="E74" s="118" t="s">
        <v>419</v>
      </c>
      <c r="F74" s="76" t="s">
        <v>420</v>
      </c>
      <c r="G74" s="237">
        <v>899</v>
      </c>
      <c r="H74" s="237">
        <v>919</v>
      </c>
      <c r="I74" s="237">
        <v>819</v>
      </c>
      <c r="J74" s="237">
        <v>819</v>
      </c>
      <c r="K74" s="237">
        <v>819</v>
      </c>
      <c r="L74" s="237">
        <v>399</v>
      </c>
      <c r="M74" s="237">
        <v>819</v>
      </c>
      <c r="N74" s="237">
        <v>819</v>
      </c>
      <c r="O74" s="237">
        <v>819</v>
      </c>
      <c r="P74" s="237">
        <v>399</v>
      </c>
      <c r="Q74" s="77">
        <v>819</v>
      </c>
      <c r="R74" s="77">
        <v>559</v>
      </c>
      <c r="S74" s="77">
        <v>419</v>
      </c>
      <c r="T74" s="77">
        <v>319</v>
      </c>
      <c r="U74" s="77">
        <v>219</v>
      </c>
      <c r="V74" s="77">
        <v>819</v>
      </c>
      <c r="W74" s="77">
        <v>559</v>
      </c>
      <c r="X74" s="77">
        <v>419</v>
      </c>
      <c r="Y74" s="77">
        <v>319</v>
      </c>
      <c r="Z74" s="77">
        <v>219</v>
      </c>
    </row>
    <row r="75" spans="1:26" s="79" customFormat="1" ht="28.5" customHeight="1" x14ac:dyDescent="0.25">
      <c r="A75" s="75" t="s">
        <v>81</v>
      </c>
      <c r="B75" s="75" t="s">
        <v>40</v>
      </c>
      <c r="C75" s="75" t="s">
        <v>82</v>
      </c>
      <c r="D75" s="76" t="s">
        <v>83</v>
      </c>
      <c r="E75" s="118" t="s">
        <v>421</v>
      </c>
      <c r="F75" s="76" t="s">
        <v>420</v>
      </c>
      <c r="G75" s="237">
        <v>899</v>
      </c>
      <c r="H75" s="237">
        <v>919</v>
      </c>
      <c r="I75" s="237">
        <v>819</v>
      </c>
      <c r="J75" s="237">
        <v>819</v>
      </c>
      <c r="K75" s="237">
        <v>819</v>
      </c>
      <c r="L75" s="237">
        <v>399</v>
      </c>
      <c r="M75" s="237">
        <v>819</v>
      </c>
      <c r="N75" s="237">
        <v>819</v>
      </c>
      <c r="O75" s="237">
        <v>819</v>
      </c>
      <c r="P75" s="237">
        <v>399</v>
      </c>
      <c r="Q75" s="77">
        <v>819</v>
      </c>
      <c r="R75" s="77">
        <v>559</v>
      </c>
      <c r="S75" s="77">
        <v>419</v>
      </c>
      <c r="T75" s="77">
        <v>319</v>
      </c>
      <c r="U75" s="77">
        <v>219</v>
      </c>
      <c r="V75" s="77">
        <v>819</v>
      </c>
      <c r="W75" s="77">
        <v>559</v>
      </c>
      <c r="X75" s="77">
        <v>419</v>
      </c>
      <c r="Y75" s="77">
        <v>319</v>
      </c>
      <c r="Z75" s="77">
        <v>219</v>
      </c>
    </row>
    <row r="76" spans="1:26" s="79" customFormat="1" ht="28.5" customHeight="1" x14ac:dyDescent="0.25">
      <c r="A76" s="75" t="s">
        <v>84</v>
      </c>
      <c r="B76" s="75" t="s">
        <v>40</v>
      </c>
      <c r="C76" s="75" t="s">
        <v>82</v>
      </c>
      <c r="D76" s="76" t="s">
        <v>83</v>
      </c>
      <c r="E76" s="118" t="s">
        <v>422</v>
      </c>
      <c r="F76" s="76" t="s">
        <v>420</v>
      </c>
      <c r="G76" s="237">
        <v>899</v>
      </c>
      <c r="H76" s="237">
        <v>919</v>
      </c>
      <c r="I76" s="237">
        <v>819</v>
      </c>
      <c r="J76" s="237">
        <v>819</v>
      </c>
      <c r="K76" s="237">
        <v>819</v>
      </c>
      <c r="L76" s="237">
        <v>399</v>
      </c>
      <c r="M76" s="237">
        <v>819</v>
      </c>
      <c r="N76" s="237">
        <v>819</v>
      </c>
      <c r="O76" s="237">
        <v>819</v>
      </c>
      <c r="P76" s="237">
        <v>399</v>
      </c>
      <c r="Q76" s="77">
        <v>819</v>
      </c>
      <c r="R76" s="77">
        <v>559</v>
      </c>
      <c r="S76" s="77">
        <v>419</v>
      </c>
      <c r="T76" s="77">
        <v>319</v>
      </c>
      <c r="U76" s="77">
        <v>219</v>
      </c>
      <c r="V76" s="77">
        <v>819</v>
      </c>
      <c r="W76" s="77">
        <v>559</v>
      </c>
      <c r="X76" s="77">
        <v>419</v>
      </c>
      <c r="Y76" s="77">
        <v>319</v>
      </c>
      <c r="Z76" s="77">
        <v>219</v>
      </c>
    </row>
    <row r="77" spans="1:26" s="79" customFormat="1" ht="28.5" customHeight="1" x14ac:dyDescent="0.25">
      <c r="A77" s="75" t="s">
        <v>84</v>
      </c>
      <c r="B77" s="75" t="s">
        <v>40</v>
      </c>
      <c r="C77" s="75" t="s">
        <v>82</v>
      </c>
      <c r="D77" s="76" t="s">
        <v>83</v>
      </c>
      <c r="E77" s="118" t="s">
        <v>423</v>
      </c>
      <c r="F77" s="76" t="s">
        <v>420</v>
      </c>
      <c r="G77" s="237">
        <v>899</v>
      </c>
      <c r="H77" s="237">
        <v>919</v>
      </c>
      <c r="I77" s="237">
        <v>819</v>
      </c>
      <c r="J77" s="237">
        <v>819</v>
      </c>
      <c r="K77" s="237">
        <v>819</v>
      </c>
      <c r="L77" s="237">
        <v>399</v>
      </c>
      <c r="M77" s="237">
        <v>819</v>
      </c>
      <c r="N77" s="237">
        <v>819</v>
      </c>
      <c r="O77" s="237">
        <v>819</v>
      </c>
      <c r="P77" s="237">
        <v>399</v>
      </c>
      <c r="Q77" s="77">
        <v>819</v>
      </c>
      <c r="R77" s="77">
        <v>559</v>
      </c>
      <c r="S77" s="77">
        <v>419</v>
      </c>
      <c r="T77" s="77">
        <v>319</v>
      </c>
      <c r="U77" s="77">
        <v>219</v>
      </c>
      <c r="V77" s="77">
        <v>819</v>
      </c>
      <c r="W77" s="77">
        <v>559</v>
      </c>
      <c r="X77" s="77">
        <v>419</v>
      </c>
      <c r="Y77" s="77">
        <v>319</v>
      </c>
      <c r="Z77" s="77">
        <v>219</v>
      </c>
    </row>
    <row r="78" spans="1:26" s="79" customFormat="1" ht="28.5" customHeight="1" x14ac:dyDescent="0.25">
      <c r="A78" s="74" t="s">
        <v>84</v>
      </c>
      <c r="B78" s="75" t="s">
        <v>40</v>
      </c>
      <c r="C78" s="75" t="s">
        <v>82</v>
      </c>
      <c r="D78" s="75" t="s">
        <v>83</v>
      </c>
      <c r="E78" s="75" t="s">
        <v>424</v>
      </c>
      <c r="F78" s="75" t="s">
        <v>420</v>
      </c>
      <c r="G78" s="237">
        <v>899</v>
      </c>
      <c r="H78" s="237">
        <v>919</v>
      </c>
      <c r="I78" s="237">
        <v>819</v>
      </c>
      <c r="J78" s="237">
        <v>819</v>
      </c>
      <c r="K78" s="237">
        <v>819</v>
      </c>
      <c r="L78" s="237">
        <v>399</v>
      </c>
      <c r="M78" s="237">
        <v>819</v>
      </c>
      <c r="N78" s="237">
        <v>819</v>
      </c>
      <c r="O78" s="237">
        <v>819</v>
      </c>
      <c r="P78" s="237">
        <v>399</v>
      </c>
      <c r="Q78" s="77">
        <v>819</v>
      </c>
      <c r="R78" s="77">
        <v>559</v>
      </c>
      <c r="S78" s="77">
        <v>419</v>
      </c>
      <c r="T78" s="77">
        <v>319</v>
      </c>
      <c r="U78" s="77">
        <v>219</v>
      </c>
      <c r="V78" s="77">
        <v>819</v>
      </c>
      <c r="W78" s="77">
        <v>559</v>
      </c>
      <c r="X78" s="77">
        <v>419</v>
      </c>
      <c r="Y78" s="77">
        <v>319</v>
      </c>
      <c r="Z78" s="77">
        <v>219</v>
      </c>
    </row>
    <row r="79" spans="1:26" s="79" customFormat="1" ht="28.5" customHeight="1" x14ac:dyDescent="0.25">
      <c r="A79" s="75" t="s">
        <v>84</v>
      </c>
      <c r="B79" s="75" t="s">
        <v>40</v>
      </c>
      <c r="C79" s="75" t="s">
        <v>82</v>
      </c>
      <c r="D79" s="76" t="s">
        <v>83</v>
      </c>
      <c r="E79" s="118" t="s">
        <v>425</v>
      </c>
      <c r="F79" s="76" t="s">
        <v>426</v>
      </c>
      <c r="G79" s="237">
        <v>1029</v>
      </c>
      <c r="H79" s="237">
        <v>1059</v>
      </c>
      <c r="I79" s="237">
        <v>959</v>
      </c>
      <c r="J79" s="237">
        <v>959</v>
      </c>
      <c r="K79" s="237">
        <v>959</v>
      </c>
      <c r="L79" s="237">
        <v>529</v>
      </c>
      <c r="M79" s="237">
        <v>959</v>
      </c>
      <c r="N79" s="237">
        <v>959</v>
      </c>
      <c r="O79" s="237">
        <v>959</v>
      </c>
      <c r="P79" s="237">
        <v>529</v>
      </c>
      <c r="Q79" s="77">
        <v>959</v>
      </c>
      <c r="R79" s="77">
        <v>699</v>
      </c>
      <c r="S79" s="77">
        <v>559</v>
      </c>
      <c r="T79" s="77">
        <v>459</v>
      </c>
      <c r="U79" s="77">
        <v>359</v>
      </c>
      <c r="V79" s="77">
        <v>959</v>
      </c>
      <c r="W79" s="77">
        <v>699</v>
      </c>
      <c r="X79" s="77">
        <v>559</v>
      </c>
      <c r="Y79" s="77">
        <v>459</v>
      </c>
      <c r="Z79" s="77">
        <v>359</v>
      </c>
    </row>
    <row r="80" spans="1:26" s="79" customFormat="1" ht="28.5" customHeight="1" x14ac:dyDescent="0.25">
      <c r="A80" s="75" t="s">
        <v>81</v>
      </c>
      <c r="B80" s="75" t="s">
        <v>40</v>
      </c>
      <c r="C80" s="75" t="s">
        <v>82</v>
      </c>
      <c r="D80" s="76" t="s">
        <v>83</v>
      </c>
      <c r="E80" s="118" t="s">
        <v>427</v>
      </c>
      <c r="F80" s="76" t="s">
        <v>426</v>
      </c>
      <c r="G80" s="237">
        <v>1029</v>
      </c>
      <c r="H80" s="237">
        <v>1059</v>
      </c>
      <c r="I80" s="237">
        <v>959</v>
      </c>
      <c r="J80" s="237">
        <v>959</v>
      </c>
      <c r="K80" s="237">
        <v>959</v>
      </c>
      <c r="L80" s="237">
        <v>529</v>
      </c>
      <c r="M80" s="237">
        <v>959</v>
      </c>
      <c r="N80" s="237">
        <v>959</v>
      </c>
      <c r="O80" s="237">
        <v>959</v>
      </c>
      <c r="P80" s="237">
        <v>529</v>
      </c>
      <c r="Q80" s="77">
        <v>959</v>
      </c>
      <c r="R80" s="77">
        <v>699</v>
      </c>
      <c r="S80" s="77">
        <v>559</v>
      </c>
      <c r="T80" s="77">
        <v>459</v>
      </c>
      <c r="U80" s="77">
        <v>359</v>
      </c>
      <c r="V80" s="77">
        <v>959</v>
      </c>
      <c r="W80" s="77">
        <v>699</v>
      </c>
      <c r="X80" s="77">
        <v>559</v>
      </c>
      <c r="Y80" s="77">
        <v>459</v>
      </c>
      <c r="Z80" s="77">
        <v>359</v>
      </c>
    </row>
    <row r="81" spans="1:26" s="79" customFormat="1" ht="28.5" customHeight="1" x14ac:dyDescent="0.25">
      <c r="A81" s="75" t="s">
        <v>84</v>
      </c>
      <c r="B81" s="75" t="s">
        <v>40</v>
      </c>
      <c r="C81" s="75" t="s">
        <v>82</v>
      </c>
      <c r="D81" s="76" t="s">
        <v>83</v>
      </c>
      <c r="E81" s="118" t="s">
        <v>428</v>
      </c>
      <c r="F81" s="76" t="s">
        <v>426</v>
      </c>
      <c r="G81" s="237">
        <v>1029</v>
      </c>
      <c r="H81" s="237">
        <v>1059</v>
      </c>
      <c r="I81" s="237">
        <v>959</v>
      </c>
      <c r="J81" s="237">
        <v>959</v>
      </c>
      <c r="K81" s="237">
        <v>959</v>
      </c>
      <c r="L81" s="237">
        <v>529</v>
      </c>
      <c r="M81" s="237">
        <v>959</v>
      </c>
      <c r="N81" s="237">
        <v>959</v>
      </c>
      <c r="O81" s="237">
        <v>959</v>
      </c>
      <c r="P81" s="237">
        <v>529</v>
      </c>
      <c r="Q81" s="77">
        <v>959</v>
      </c>
      <c r="R81" s="77">
        <v>699</v>
      </c>
      <c r="S81" s="77">
        <v>559</v>
      </c>
      <c r="T81" s="77">
        <v>459</v>
      </c>
      <c r="U81" s="77">
        <v>359</v>
      </c>
      <c r="V81" s="77">
        <v>959</v>
      </c>
      <c r="W81" s="77">
        <v>699</v>
      </c>
      <c r="X81" s="77">
        <v>559</v>
      </c>
      <c r="Y81" s="77">
        <v>459</v>
      </c>
      <c r="Z81" s="77">
        <v>359</v>
      </c>
    </row>
    <row r="82" spans="1:26" s="79" customFormat="1" ht="28.5" customHeight="1" x14ac:dyDescent="0.25">
      <c r="A82" s="75" t="s">
        <v>81</v>
      </c>
      <c r="B82" s="75" t="s">
        <v>40</v>
      </c>
      <c r="C82" s="75" t="s">
        <v>82</v>
      </c>
      <c r="D82" s="76" t="s">
        <v>83</v>
      </c>
      <c r="E82" s="118" t="s">
        <v>429</v>
      </c>
      <c r="F82" s="76" t="s">
        <v>426</v>
      </c>
      <c r="G82" s="237">
        <v>1029</v>
      </c>
      <c r="H82" s="237">
        <v>1059</v>
      </c>
      <c r="I82" s="237">
        <v>959</v>
      </c>
      <c r="J82" s="237">
        <v>959</v>
      </c>
      <c r="K82" s="237">
        <v>959</v>
      </c>
      <c r="L82" s="237">
        <v>529</v>
      </c>
      <c r="M82" s="237">
        <v>959</v>
      </c>
      <c r="N82" s="237">
        <v>959</v>
      </c>
      <c r="O82" s="237">
        <v>959</v>
      </c>
      <c r="P82" s="237">
        <v>529</v>
      </c>
      <c r="Q82" s="77">
        <v>959</v>
      </c>
      <c r="R82" s="77">
        <v>699</v>
      </c>
      <c r="S82" s="77">
        <v>559</v>
      </c>
      <c r="T82" s="77">
        <v>459</v>
      </c>
      <c r="U82" s="77">
        <v>359</v>
      </c>
      <c r="V82" s="77">
        <v>959</v>
      </c>
      <c r="W82" s="77">
        <v>699</v>
      </c>
      <c r="X82" s="77">
        <v>559</v>
      </c>
      <c r="Y82" s="77">
        <v>459</v>
      </c>
      <c r="Z82" s="77">
        <v>359</v>
      </c>
    </row>
    <row r="83" spans="1:26" s="79" customFormat="1" ht="28.5" customHeight="1" x14ac:dyDescent="0.25">
      <c r="A83" s="75" t="s">
        <v>84</v>
      </c>
      <c r="B83" s="75" t="s">
        <v>40</v>
      </c>
      <c r="C83" s="75" t="s">
        <v>82</v>
      </c>
      <c r="D83" s="76" t="s">
        <v>83</v>
      </c>
      <c r="E83" s="118" t="s">
        <v>430</v>
      </c>
      <c r="F83" s="76" t="s">
        <v>426</v>
      </c>
      <c r="G83" s="237">
        <v>1029</v>
      </c>
      <c r="H83" s="237">
        <v>1059</v>
      </c>
      <c r="I83" s="237">
        <v>959</v>
      </c>
      <c r="J83" s="237">
        <v>959</v>
      </c>
      <c r="K83" s="237">
        <v>959</v>
      </c>
      <c r="L83" s="237">
        <v>529</v>
      </c>
      <c r="M83" s="237">
        <v>959</v>
      </c>
      <c r="N83" s="237">
        <v>959</v>
      </c>
      <c r="O83" s="237">
        <v>959</v>
      </c>
      <c r="P83" s="237">
        <v>529</v>
      </c>
      <c r="Q83" s="77">
        <v>959</v>
      </c>
      <c r="R83" s="77">
        <v>699</v>
      </c>
      <c r="S83" s="77">
        <v>559</v>
      </c>
      <c r="T83" s="77">
        <v>459</v>
      </c>
      <c r="U83" s="77">
        <v>359</v>
      </c>
      <c r="V83" s="77">
        <v>959</v>
      </c>
      <c r="W83" s="77">
        <v>699</v>
      </c>
      <c r="X83" s="77">
        <v>559</v>
      </c>
      <c r="Y83" s="77">
        <v>459</v>
      </c>
      <c r="Z83" s="77">
        <v>359</v>
      </c>
    </row>
    <row r="84" spans="1:26" s="79" customFormat="1" ht="28.5" customHeight="1" x14ac:dyDescent="0.25">
      <c r="A84" s="75" t="s">
        <v>81</v>
      </c>
      <c r="B84" s="75">
        <v>43282</v>
      </c>
      <c r="C84" s="75" t="s">
        <v>82</v>
      </c>
      <c r="D84" s="76" t="s">
        <v>83</v>
      </c>
      <c r="E84" s="118" t="s">
        <v>431</v>
      </c>
      <c r="F84" s="76" t="s">
        <v>426</v>
      </c>
      <c r="G84" s="237">
        <v>1029</v>
      </c>
      <c r="H84" s="237">
        <v>1059</v>
      </c>
      <c r="I84" s="237">
        <v>959</v>
      </c>
      <c r="J84" s="237">
        <v>959</v>
      </c>
      <c r="K84" s="237">
        <v>959</v>
      </c>
      <c r="L84" s="237">
        <v>529</v>
      </c>
      <c r="M84" s="237">
        <v>959</v>
      </c>
      <c r="N84" s="237">
        <v>959</v>
      </c>
      <c r="O84" s="237">
        <v>959</v>
      </c>
      <c r="P84" s="237">
        <v>529</v>
      </c>
      <c r="Q84" s="77">
        <v>959</v>
      </c>
      <c r="R84" s="77">
        <v>699</v>
      </c>
      <c r="S84" s="77">
        <v>559</v>
      </c>
      <c r="T84" s="77">
        <v>459</v>
      </c>
      <c r="U84" s="77">
        <v>359</v>
      </c>
      <c r="V84" s="77">
        <v>959</v>
      </c>
      <c r="W84" s="77">
        <v>699</v>
      </c>
      <c r="X84" s="77">
        <v>559</v>
      </c>
      <c r="Y84" s="77">
        <v>459</v>
      </c>
      <c r="Z84" s="77">
        <v>359</v>
      </c>
    </row>
    <row r="85" spans="1:26" s="79" customFormat="1" ht="28.5" customHeight="1" x14ac:dyDescent="0.25">
      <c r="A85" s="75" t="s">
        <v>81</v>
      </c>
      <c r="B85" s="75" t="s">
        <v>40</v>
      </c>
      <c r="C85" s="75" t="s">
        <v>82</v>
      </c>
      <c r="D85" s="76" t="s">
        <v>83</v>
      </c>
      <c r="E85" s="118" t="s">
        <v>432</v>
      </c>
      <c r="F85" s="76" t="s">
        <v>433</v>
      </c>
      <c r="G85" s="237">
        <v>1339</v>
      </c>
      <c r="H85" s="237">
        <v>1349</v>
      </c>
      <c r="I85" s="78">
        <v>1249</v>
      </c>
      <c r="J85" s="78">
        <v>1249</v>
      </c>
      <c r="K85" s="78">
        <v>1249</v>
      </c>
      <c r="L85" s="237">
        <v>529</v>
      </c>
      <c r="M85" s="78">
        <v>1249</v>
      </c>
      <c r="N85" s="78">
        <v>1249</v>
      </c>
      <c r="O85" s="78">
        <v>1249</v>
      </c>
      <c r="P85" s="237">
        <v>529</v>
      </c>
      <c r="Q85" s="77">
        <v>1249</v>
      </c>
      <c r="R85" s="77">
        <v>989</v>
      </c>
      <c r="S85" s="77">
        <v>849</v>
      </c>
      <c r="T85" s="77">
        <v>749</v>
      </c>
      <c r="U85" s="77">
        <v>649</v>
      </c>
      <c r="V85" s="77">
        <v>1249</v>
      </c>
      <c r="W85" s="77">
        <v>989</v>
      </c>
      <c r="X85" s="77">
        <v>849</v>
      </c>
      <c r="Y85" s="77">
        <v>749</v>
      </c>
      <c r="Z85" s="77">
        <v>649</v>
      </c>
    </row>
    <row r="86" spans="1:26" s="79" customFormat="1" ht="28.5" customHeight="1" x14ac:dyDescent="0.25">
      <c r="A86" s="74" t="s">
        <v>81</v>
      </c>
      <c r="B86" s="75" t="s">
        <v>40</v>
      </c>
      <c r="C86" s="75" t="s">
        <v>82</v>
      </c>
      <c r="D86" s="76" t="s">
        <v>83</v>
      </c>
      <c r="E86" s="118" t="s">
        <v>434</v>
      </c>
      <c r="F86" s="76" t="s">
        <v>433</v>
      </c>
      <c r="G86" s="237">
        <v>1339</v>
      </c>
      <c r="H86" s="237">
        <v>1349</v>
      </c>
      <c r="I86" s="78">
        <v>1249</v>
      </c>
      <c r="J86" s="78">
        <v>1249</v>
      </c>
      <c r="K86" s="78">
        <v>1249</v>
      </c>
      <c r="L86" s="237">
        <v>529</v>
      </c>
      <c r="M86" s="78">
        <v>1249</v>
      </c>
      <c r="N86" s="78">
        <v>1249</v>
      </c>
      <c r="O86" s="78">
        <v>1249</v>
      </c>
      <c r="P86" s="237">
        <v>529</v>
      </c>
      <c r="Q86" s="77">
        <v>1249</v>
      </c>
      <c r="R86" s="77">
        <v>989</v>
      </c>
      <c r="S86" s="77">
        <v>849</v>
      </c>
      <c r="T86" s="77">
        <v>749</v>
      </c>
      <c r="U86" s="77">
        <v>649</v>
      </c>
      <c r="V86" s="77">
        <v>1249</v>
      </c>
      <c r="W86" s="77">
        <v>989</v>
      </c>
      <c r="X86" s="77">
        <v>849</v>
      </c>
      <c r="Y86" s="77">
        <v>749</v>
      </c>
      <c r="Z86" s="77">
        <v>649</v>
      </c>
    </row>
    <row r="87" spans="1:26" s="79" customFormat="1" ht="28.5" customHeight="1" x14ac:dyDescent="0.25">
      <c r="A87" s="74" t="s">
        <v>81</v>
      </c>
      <c r="B87" s="75" t="s">
        <v>40</v>
      </c>
      <c r="C87" s="75" t="s">
        <v>82</v>
      </c>
      <c r="D87" s="76" t="s">
        <v>83</v>
      </c>
      <c r="E87" s="118" t="s">
        <v>435</v>
      </c>
      <c r="F87" s="76" t="s">
        <v>433</v>
      </c>
      <c r="G87" s="237">
        <v>1339</v>
      </c>
      <c r="H87" s="237">
        <v>1349</v>
      </c>
      <c r="I87" s="78">
        <v>1249</v>
      </c>
      <c r="J87" s="78">
        <v>1249</v>
      </c>
      <c r="K87" s="78">
        <v>1249</v>
      </c>
      <c r="L87" s="237">
        <v>529</v>
      </c>
      <c r="M87" s="78">
        <v>1249</v>
      </c>
      <c r="N87" s="78">
        <v>1249</v>
      </c>
      <c r="O87" s="78">
        <v>1249</v>
      </c>
      <c r="P87" s="237">
        <v>529</v>
      </c>
      <c r="Q87" s="77">
        <v>1249</v>
      </c>
      <c r="R87" s="77">
        <v>989</v>
      </c>
      <c r="S87" s="77">
        <v>849</v>
      </c>
      <c r="T87" s="77">
        <v>749</v>
      </c>
      <c r="U87" s="77">
        <v>649</v>
      </c>
      <c r="V87" s="77">
        <v>1249</v>
      </c>
      <c r="W87" s="77">
        <v>989</v>
      </c>
      <c r="X87" s="77">
        <v>849</v>
      </c>
      <c r="Y87" s="77">
        <v>749</v>
      </c>
      <c r="Z87" s="77">
        <v>649</v>
      </c>
    </row>
    <row r="88" spans="1:26" s="79" customFormat="1" ht="28.5" customHeight="1" x14ac:dyDescent="0.25">
      <c r="A88" s="75" t="s">
        <v>81</v>
      </c>
      <c r="B88" s="75" t="s">
        <v>40</v>
      </c>
      <c r="C88" s="75" t="s">
        <v>82</v>
      </c>
      <c r="D88" s="76" t="s">
        <v>83</v>
      </c>
      <c r="E88" s="118" t="s">
        <v>436</v>
      </c>
      <c r="F88" s="76" t="s">
        <v>433</v>
      </c>
      <c r="G88" s="237">
        <v>1339</v>
      </c>
      <c r="H88" s="237">
        <v>1349</v>
      </c>
      <c r="I88" s="78">
        <v>1249</v>
      </c>
      <c r="J88" s="78">
        <v>1249</v>
      </c>
      <c r="K88" s="78">
        <v>1249</v>
      </c>
      <c r="L88" s="237">
        <v>529</v>
      </c>
      <c r="M88" s="78">
        <v>1249</v>
      </c>
      <c r="N88" s="78">
        <v>1249</v>
      </c>
      <c r="O88" s="78">
        <v>1249</v>
      </c>
      <c r="P88" s="237">
        <v>529</v>
      </c>
      <c r="Q88" s="77">
        <v>1249</v>
      </c>
      <c r="R88" s="77">
        <v>989</v>
      </c>
      <c r="S88" s="77">
        <v>849</v>
      </c>
      <c r="T88" s="77">
        <v>749</v>
      </c>
      <c r="U88" s="77">
        <v>649</v>
      </c>
      <c r="V88" s="77">
        <v>1249</v>
      </c>
      <c r="W88" s="77">
        <v>989</v>
      </c>
      <c r="X88" s="77">
        <v>849</v>
      </c>
      <c r="Y88" s="77">
        <v>749</v>
      </c>
      <c r="Z88" s="77">
        <v>649</v>
      </c>
    </row>
    <row r="89" spans="1:26" s="79" customFormat="1" ht="28.5" customHeight="1" x14ac:dyDescent="0.25">
      <c r="A89" s="75" t="s">
        <v>84</v>
      </c>
      <c r="B89" s="75" t="s">
        <v>40</v>
      </c>
      <c r="C89" s="75" t="s">
        <v>82</v>
      </c>
      <c r="D89" s="76" t="s">
        <v>83</v>
      </c>
      <c r="E89" s="118" t="s">
        <v>437</v>
      </c>
      <c r="F89" s="76" t="s">
        <v>433</v>
      </c>
      <c r="G89" s="237">
        <v>1339</v>
      </c>
      <c r="H89" s="237">
        <v>1349</v>
      </c>
      <c r="I89" s="78">
        <v>1249</v>
      </c>
      <c r="J89" s="78">
        <v>1249</v>
      </c>
      <c r="K89" s="78">
        <v>1249</v>
      </c>
      <c r="L89" s="237">
        <v>529</v>
      </c>
      <c r="M89" s="78">
        <v>1249</v>
      </c>
      <c r="N89" s="78">
        <v>1249</v>
      </c>
      <c r="O89" s="78">
        <v>1249</v>
      </c>
      <c r="P89" s="237">
        <v>529</v>
      </c>
      <c r="Q89" s="77">
        <v>1249</v>
      </c>
      <c r="R89" s="77">
        <v>989</v>
      </c>
      <c r="S89" s="77">
        <v>849</v>
      </c>
      <c r="T89" s="77">
        <v>749</v>
      </c>
      <c r="U89" s="77">
        <v>649</v>
      </c>
      <c r="V89" s="77">
        <v>1249</v>
      </c>
      <c r="W89" s="77">
        <v>989</v>
      </c>
      <c r="X89" s="77">
        <v>849</v>
      </c>
      <c r="Y89" s="77">
        <v>749</v>
      </c>
      <c r="Z89" s="77">
        <v>649</v>
      </c>
    </row>
    <row r="90" spans="1:26" s="79" customFormat="1" ht="28.5" customHeight="1" x14ac:dyDescent="0.25">
      <c r="A90" s="75" t="s">
        <v>81</v>
      </c>
      <c r="B90" s="75">
        <v>43313</v>
      </c>
      <c r="C90" s="75" t="s">
        <v>82</v>
      </c>
      <c r="D90" s="76" t="s">
        <v>83</v>
      </c>
      <c r="E90" s="118" t="s">
        <v>438</v>
      </c>
      <c r="F90" s="76" t="s">
        <v>433</v>
      </c>
      <c r="G90" s="237">
        <v>1339</v>
      </c>
      <c r="H90" s="237">
        <v>1349</v>
      </c>
      <c r="I90" s="78">
        <v>1249</v>
      </c>
      <c r="J90" s="78">
        <v>1249</v>
      </c>
      <c r="K90" s="78">
        <v>1249</v>
      </c>
      <c r="L90" s="237">
        <v>529</v>
      </c>
      <c r="M90" s="78">
        <v>1249</v>
      </c>
      <c r="N90" s="78">
        <v>1249</v>
      </c>
      <c r="O90" s="78">
        <v>1249</v>
      </c>
      <c r="P90" s="237">
        <v>529</v>
      </c>
      <c r="Q90" s="77">
        <v>1249</v>
      </c>
      <c r="R90" s="77">
        <v>989</v>
      </c>
      <c r="S90" s="77">
        <v>849</v>
      </c>
      <c r="T90" s="77">
        <v>749</v>
      </c>
      <c r="U90" s="77">
        <v>649</v>
      </c>
      <c r="V90" s="77">
        <v>1249</v>
      </c>
      <c r="W90" s="77">
        <v>989</v>
      </c>
      <c r="X90" s="77">
        <v>849</v>
      </c>
      <c r="Y90" s="77">
        <v>749</v>
      </c>
      <c r="Z90" s="77">
        <v>649</v>
      </c>
    </row>
    <row r="91" spans="1:26" s="79" customFormat="1" ht="28.5" customHeight="1" x14ac:dyDescent="0.25">
      <c r="A91" s="75" t="s">
        <v>84</v>
      </c>
      <c r="B91" s="75" t="s">
        <v>40</v>
      </c>
      <c r="C91" s="75" t="s">
        <v>82</v>
      </c>
      <c r="D91" s="76" t="s">
        <v>83</v>
      </c>
      <c r="E91" s="76" t="s">
        <v>439</v>
      </c>
      <c r="F91" s="237" t="s">
        <v>440</v>
      </c>
      <c r="G91" s="237">
        <v>899</v>
      </c>
      <c r="H91" s="259">
        <v>929</v>
      </c>
      <c r="I91" s="78">
        <v>829</v>
      </c>
      <c r="J91" s="78">
        <v>829</v>
      </c>
      <c r="K91" s="78">
        <v>829</v>
      </c>
      <c r="L91" s="78">
        <v>429</v>
      </c>
      <c r="M91" s="78">
        <v>829</v>
      </c>
      <c r="N91" s="78">
        <v>829</v>
      </c>
      <c r="O91" s="78">
        <v>829</v>
      </c>
      <c r="P91" s="78">
        <v>429</v>
      </c>
      <c r="Q91" s="77">
        <v>829</v>
      </c>
      <c r="R91" s="77">
        <v>569</v>
      </c>
      <c r="S91" s="77">
        <v>429</v>
      </c>
      <c r="T91" s="77">
        <v>329</v>
      </c>
      <c r="U91" s="77">
        <v>229</v>
      </c>
      <c r="V91" s="77">
        <v>829</v>
      </c>
      <c r="W91" s="77">
        <v>569</v>
      </c>
      <c r="X91" s="77">
        <v>429</v>
      </c>
      <c r="Y91" s="77">
        <v>329</v>
      </c>
      <c r="Z91" s="77">
        <v>229</v>
      </c>
    </row>
    <row r="92" spans="1:26" s="79" customFormat="1" ht="28.5" customHeight="1" x14ac:dyDescent="0.25">
      <c r="A92" s="75" t="s">
        <v>84</v>
      </c>
      <c r="B92" s="75" t="s">
        <v>40</v>
      </c>
      <c r="C92" s="75" t="s">
        <v>82</v>
      </c>
      <c r="D92" s="76" t="s">
        <v>83</v>
      </c>
      <c r="E92" s="76" t="s">
        <v>441</v>
      </c>
      <c r="F92" s="237" t="s">
        <v>440</v>
      </c>
      <c r="G92" s="237">
        <v>899</v>
      </c>
      <c r="H92" s="259">
        <v>929</v>
      </c>
      <c r="I92" s="78">
        <v>829</v>
      </c>
      <c r="J92" s="78">
        <v>829</v>
      </c>
      <c r="K92" s="78">
        <v>829</v>
      </c>
      <c r="L92" s="78">
        <v>429</v>
      </c>
      <c r="M92" s="78">
        <v>829</v>
      </c>
      <c r="N92" s="78">
        <v>829</v>
      </c>
      <c r="O92" s="78">
        <v>829</v>
      </c>
      <c r="P92" s="78">
        <v>429</v>
      </c>
      <c r="Q92" s="77">
        <v>829</v>
      </c>
      <c r="R92" s="77">
        <v>569</v>
      </c>
      <c r="S92" s="77">
        <v>429</v>
      </c>
      <c r="T92" s="77">
        <v>329</v>
      </c>
      <c r="U92" s="77">
        <v>229</v>
      </c>
      <c r="V92" s="77">
        <v>829</v>
      </c>
      <c r="W92" s="77">
        <v>569</v>
      </c>
      <c r="X92" s="77">
        <v>429</v>
      </c>
      <c r="Y92" s="77">
        <v>329</v>
      </c>
      <c r="Z92" s="77">
        <v>229</v>
      </c>
    </row>
    <row r="93" spans="1:26" s="79" customFormat="1" ht="28.5" customHeight="1" x14ac:dyDescent="0.25">
      <c r="A93" s="75" t="s">
        <v>84</v>
      </c>
      <c r="B93" s="75" t="s">
        <v>40</v>
      </c>
      <c r="C93" s="75" t="s">
        <v>82</v>
      </c>
      <c r="D93" s="76" t="s">
        <v>83</v>
      </c>
      <c r="E93" s="76" t="s">
        <v>442</v>
      </c>
      <c r="F93" s="237" t="s">
        <v>440</v>
      </c>
      <c r="G93" s="237">
        <v>899</v>
      </c>
      <c r="H93" s="259">
        <v>929</v>
      </c>
      <c r="I93" s="78">
        <v>829</v>
      </c>
      <c r="J93" s="78">
        <v>829</v>
      </c>
      <c r="K93" s="78">
        <v>829</v>
      </c>
      <c r="L93" s="78">
        <v>429</v>
      </c>
      <c r="M93" s="78">
        <v>829</v>
      </c>
      <c r="N93" s="78">
        <v>829</v>
      </c>
      <c r="O93" s="78">
        <v>829</v>
      </c>
      <c r="P93" s="78">
        <v>429</v>
      </c>
      <c r="Q93" s="77">
        <v>829</v>
      </c>
      <c r="R93" s="77">
        <v>569</v>
      </c>
      <c r="S93" s="77">
        <v>429</v>
      </c>
      <c r="T93" s="77">
        <v>329</v>
      </c>
      <c r="U93" s="77">
        <v>229</v>
      </c>
      <c r="V93" s="77">
        <v>829</v>
      </c>
      <c r="W93" s="77">
        <v>569</v>
      </c>
      <c r="X93" s="77">
        <v>429</v>
      </c>
      <c r="Y93" s="77">
        <v>329</v>
      </c>
      <c r="Z93" s="77">
        <v>229</v>
      </c>
    </row>
    <row r="94" spans="1:26" s="79" customFormat="1" ht="36" x14ac:dyDescent="0.25">
      <c r="A94" s="240" t="s">
        <v>84</v>
      </c>
      <c r="B94" s="241" t="s">
        <v>40</v>
      </c>
      <c r="C94" s="242" t="s">
        <v>82</v>
      </c>
      <c r="D94" s="118" t="s">
        <v>83</v>
      </c>
      <c r="E94" s="118" t="s">
        <v>443</v>
      </c>
      <c r="F94" s="118" t="s">
        <v>444</v>
      </c>
      <c r="G94" s="237">
        <v>899</v>
      </c>
      <c r="H94" s="237">
        <v>929</v>
      </c>
      <c r="I94" s="78">
        <v>829</v>
      </c>
      <c r="J94" s="78">
        <v>829</v>
      </c>
      <c r="K94" s="78">
        <v>829</v>
      </c>
      <c r="L94" s="78">
        <v>429</v>
      </c>
      <c r="M94" s="78">
        <v>829</v>
      </c>
      <c r="N94" s="78">
        <v>829</v>
      </c>
      <c r="O94" s="78">
        <v>829</v>
      </c>
      <c r="P94" s="78">
        <v>429</v>
      </c>
      <c r="Q94" s="77">
        <v>829</v>
      </c>
      <c r="R94" s="77">
        <v>569</v>
      </c>
      <c r="S94" s="77">
        <v>429</v>
      </c>
      <c r="T94" s="77">
        <v>329</v>
      </c>
      <c r="U94" s="77">
        <v>229</v>
      </c>
      <c r="V94" s="77">
        <v>829</v>
      </c>
      <c r="W94" s="77">
        <v>569</v>
      </c>
      <c r="X94" s="77">
        <v>429</v>
      </c>
      <c r="Y94" s="77">
        <v>329</v>
      </c>
      <c r="Z94" s="77">
        <v>229</v>
      </c>
    </row>
    <row r="95" spans="1:26" s="79" customFormat="1" ht="28.5" customHeight="1" x14ac:dyDescent="0.25">
      <c r="A95" s="75" t="s">
        <v>84</v>
      </c>
      <c r="B95" s="75" t="s">
        <v>40</v>
      </c>
      <c r="C95" s="75" t="s">
        <v>82</v>
      </c>
      <c r="D95" s="76" t="s">
        <v>83</v>
      </c>
      <c r="E95" s="76" t="s">
        <v>445</v>
      </c>
      <c r="F95" s="237" t="s">
        <v>446</v>
      </c>
      <c r="G95" s="237">
        <v>1109</v>
      </c>
      <c r="H95" s="259">
        <v>1139</v>
      </c>
      <c r="I95" s="78">
        <v>1039</v>
      </c>
      <c r="J95" s="78">
        <v>1039</v>
      </c>
      <c r="K95" s="78">
        <v>1039</v>
      </c>
      <c r="L95" s="78">
        <v>629</v>
      </c>
      <c r="M95" s="78">
        <v>1039</v>
      </c>
      <c r="N95" s="78">
        <v>1039</v>
      </c>
      <c r="O95" s="78">
        <v>1039</v>
      </c>
      <c r="P95" s="78">
        <v>629</v>
      </c>
      <c r="Q95" s="77">
        <v>1039</v>
      </c>
      <c r="R95" s="77">
        <v>779</v>
      </c>
      <c r="S95" s="77">
        <v>639</v>
      </c>
      <c r="T95" s="77">
        <v>539</v>
      </c>
      <c r="U95" s="77">
        <v>439</v>
      </c>
      <c r="V95" s="77">
        <v>1039</v>
      </c>
      <c r="W95" s="77">
        <v>779</v>
      </c>
      <c r="X95" s="77">
        <v>639</v>
      </c>
      <c r="Y95" s="77">
        <v>539</v>
      </c>
      <c r="Z95" s="77">
        <v>439</v>
      </c>
    </row>
    <row r="96" spans="1:26" s="79" customFormat="1" ht="28.5" customHeight="1" x14ac:dyDescent="0.25">
      <c r="A96" s="75" t="s">
        <v>84</v>
      </c>
      <c r="B96" s="75" t="s">
        <v>40</v>
      </c>
      <c r="C96" s="75" t="s">
        <v>82</v>
      </c>
      <c r="D96" s="76" t="s">
        <v>83</v>
      </c>
      <c r="E96" s="76" t="s">
        <v>447</v>
      </c>
      <c r="F96" s="237" t="s">
        <v>446</v>
      </c>
      <c r="G96" s="237">
        <v>1109</v>
      </c>
      <c r="H96" s="259">
        <v>1139</v>
      </c>
      <c r="I96" s="78">
        <v>1039</v>
      </c>
      <c r="J96" s="78">
        <v>1039</v>
      </c>
      <c r="K96" s="78">
        <v>1039</v>
      </c>
      <c r="L96" s="78">
        <v>629</v>
      </c>
      <c r="M96" s="78">
        <v>1039</v>
      </c>
      <c r="N96" s="78">
        <v>1039</v>
      </c>
      <c r="O96" s="78">
        <v>1039</v>
      </c>
      <c r="P96" s="78">
        <v>629</v>
      </c>
      <c r="Q96" s="77">
        <v>1039</v>
      </c>
      <c r="R96" s="77">
        <v>779</v>
      </c>
      <c r="S96" s="77">
        <v>639</v>
      </c>
      <c r="T96" s="77">
        <v>539</v>
      </c>
      <c r="U96" s="77">
        <v>439</v>
      </c>
      <c r="V96" s="77">
        <v>1039</v>
      </c>
      <c r="W96" s="77">
        <v>779</v>
      </c>
      <c r="X96" s="77">
        <v>639</v>
      </c>
      <c r="Y96" s="77">
        <v>539</v>
      </c>
      <c r="Z96" s="77">
        <v>439</v>
      </c>
    </row>
    <row r="97" spans="1:26" s="79" customFormat="1" ht="28.5" customHeight="1" x14ac:dyDescent="0.25">
      <c r="A97" s="75" t="s">
        <v>81</v>
      </c>
      <c r="B97" s="75" t="s">
        <v>40</v>
      </c>
      <c r="C97" s="75" t="s">
        <v>82</v>
      </c>
      <c r="D97" s="76" t="s">
        <v>83</v>
      </c>
      <c r="E97" s="76" t="s">
        <v>448</v>
      </c>
      <c r="F97" s="237" t="s">
        <v>446</v>
      </c>
      <c r="G97" s="237">
        <v>1109</v>
      </c>
      <c r="H97" s="237">
        <v>1139</v>
      </c>
      <c r="I97" s="78">
        <v>1039</v>
      </c>
      <c r="J97" s="78">
        <v>1039</v>
      </c>
      <c r="K97" s="78">
        <v>1039</v>
      </c>
      <c r="L97" s="78">
        <v>629</v>
      </c>
      <c r="M97" s="78">
        <v>1039</v>
      </c>
      <c r="N97" s="78">
        <v>1039</v>
      </c>
      <c r="O97" s="78">
        <v>1039</v>
      </c>
      <c r="P97" s="78">
        <v>629</v>
      </c>
      <c r="Q97" s="77">
        <v>1039</v>
      </c>
      <c r="R97" s="77">
        <v>779</v>
      </c>
      <c r="S97" s="77">
        <v>639</v>
      </c>
      <c r="T97" s="77">
        <v>539</v>
      </c>
      <c r="U97" s="77">
        <v>439</v>
      </c>
      <c r="V97" s="77">
        <v>1039</v>
      </c>
      <c r="W97" s="77">
        <v>779</v>
      </c>
      <c r="X97" s="77">
        <v>639</v>
      </c>
      <c r="Y97" s="77">
        <v>539</v>
      </c>
      <c r="Z97" s="77">
        <v>439</v>
      </c>
    </row>
    <row r="98" spans="1:26" s="79" customFormat="1" ht="28.5" customHeight="1" x14ac:dyDescent="0.25">
      <c r="A98" s="75" t="s">
        <v>84</v>
      </c>
      <c r="B98" s="75" t="s">
        <v>40</v>
      </c>
      <c r="C98" s="75" t="s">
        <v>82</v>
      </c>
      <c r="D98" s="76" t="s">
        <v>83</v>
      </c>
      <c r="E98" s="76" t="s">
        <v>449</v>
      </c>
      <c r="F98" s="237" t="s">
        <v>450</v>
      </c>
      <c r="G98" s="237">
        <v>1029</v>
      </c>
      <c r="H98" s="259">
        <v>1059</v>
      </c>
      <c r="I98" s="78">
        <v>959</v>
      </c>
      <c r="J98" s="78">
        <v>959</v>
      </c>
      <c r="K98" s="78">
        <v>959</v>
      </c>
      <c r="L98" s="78">
        <v>559</v>
      </c>
      <c r="M98" s="78">
        <v>959</v>
      </c>
      <c r="N98" s="78">
        <v>959</v>
      </c>
      <c r="O98" s="78">
        <v>959</v>
      </c>
      <c r="P98" s="78">
        <v>559</v>
      </c>
      <c r="Q98" s="77">
        <v>959</v>
      </c>
      <c r="R98" s="77">
        <v>699</v>
      </c>
      <c r="S98" s="77">
        <v>559</v>
      </c>
      <c r="T98" s="77">
        <v>459</v>
      </c>
      <c r="U98" s="77">
        <v>359</v>
      </c>
      <c r="V98" s="77">
        <v>959</v>
      </c>
      <c r="W98" s="77">
        <v>699</v>
      </c>
      <c r="X98" s="77">
        <v>559</v>
      </c>
      <c r="Y98" s="77">
        <v>459</v>
      </c>
      <c r="Z98" s="77">
        <v>359</v>
      </c>
    </row>
    <row r="99" spans="1:26" s="79" customFormat="1" ht="28.5" customHeight="1" x14ac:dyDescent="0.25">
      <c r="A99" s="75" t="s">
        <v>84</v>
      </c>
      <c r="B99" s="75" t="s">
        <v>40</v>
      </c>
      <c r="C99" s="75" t="s">
        <v>82</v>
      </c>
      <c r="D99" s="76" t="s">
        <v>83</v>
      </c>
      <c r="E99" s="76" t="s">
        <v>451</v>
      </c>
      <c r="F99" s="237" t="s">
        <v>450</v>
      </c>
      <c r="G99" s="237">
        <v>1029</v>
      </c>
      <c r="H99" s="259">
        <v>1059</v>
      </c>
      <c r="I99" s="78">
        <v>959</v>
      </c>
      <c r="J99" s="78">
        <v>959</v>
      </c>
      <c r="K99" s="78">
        <v>959</v>
      </c>
      <c r="L99" s="78">
        <v>559</v>
      </c>
      <c r="M99" s="78">
        <v>959</v>
      </c>
      <c r="N99" s="78">
        <v>959</v>
      </c>
      <c r="O99" s="78">
        <v>959</v>
      </c>
      <c r="P99" s="78">
        <v>559</v>
      </c>
      <c r="Q99" s="77">
        <v>959</v>
      </c>
      <c r="R99" s="77">
        <v>699</v>
      </c>
      <c r="S99" s="77">
        <v>559</v>
      </c>
      <c r="T99" s="77">
        <v>459</v>
      </c>
      <c r="U99" s="77">
        <v>359</v>
      </c>
      <c r="V99" s="77">
        <v>959</v>
      </c>
      <c r="W99" s="77">
        <v>699</v>
      </c>
      <c r="X99" s="77">
        <v>559</v>
      </c>
      <c r="Y99" s="77">
        <v>459</v>
      </c>
      <c r="Z99" s="77">
        <v>359</v>
      </c>
    </row>
    <row r="100" spans="1:26" s="79" customFormat="1" ht="28.5" customHeight="1" x14ac:dyDescent="0.25">
      <c r="A100" s="75" t="s">
        <v>84</v>
      </c>
      <c r="B100" s="75" t="s">
        <v>40</v>
      </c>
      <c r="C100" s="75" t="s">
        <v>82</v>
      </c>
      <c r="D100" s="76" t="s">
        <v>83</v>
      </c>
      <c r="E100" s="76" t="s">
        <v>452</v>
      </c>
      <c r="F100" s="237" t="s">
        <v>450</v>
      </c>
      <c r="G100" s="237">
        <v>1029</v>
      </c>
      <c r="H100" s="259">
        <v>1059</v>
      </c>
      <c r="I100" s="78">
        <v>959</v>
      </c>
      <c r="J100" s="78">
        <v>959</v>
      </c>
      <c r="K100" s="78">
        <v>959</v>
      </c>
      <c r="L100" s="78">
        <v>559</v>
      </c>
      <c r="M100" s="78">
        <v>959</v>
      </c>
      <c r="N100" s="78">
        <v>959</v>
      </c>
      <c r="O100" s="78">
        <v>959</v>
      </c>
      <c r="P100" s="78">
        <v>559</v>
      </c>
      <c r="Q100" s="77">
        <v>959</v>
      </c>
      <c r="R100" s="77">
        <v>699</v>
      </c>
      <c r="S100" s="77">
        <v>559</v>
      </c>
      <c r="T100" s="77">
        <v>459</v>
      </c>
      <c r="U100" s="77">
        <v>359</v>
      </c>
      <c r="V100" s="77">
        <v>959</v>
      </c>
      <c r="W100" s="77">
        <v>699</v>
      </c>
      <c r="X100" s="77">
        <v>559</v>
      </c>
      <c r="Y100" s="77">
        <v>459</v>
      </c>
      <c r="Z100" s="77">
        <v>359</v>
      </c>
    </row>
    <row r="101" spans="1:26" s="79" customFormat="1" ht="36" x14ac:dyDescent="0.25">
      <c r="A101" s="240" t="s">
        <v>84</v>
      </c>
      <c r="B101" s="241" t="s">
        <v>40</v>
      </c>
      <c r="C101" s="242" t="s">
        <v>82</v>
      </c>
      <c r="D101" s="118" t="s">
        <v>83</v>
      </c>
      <c r="E101" s="118" t="s">
        <v>453</v>
      </c>
      <c r="F101" s="118" t="s">
        <v>454</v>
      </c>
      <c r="G101" s="237">
        <v>1029</v>
      </c>
      <c r="H101" s="237">
        <v>1059</v>
      </c>
      <c r="I101" s="78">
        <v>959</v>
      </c>
      <c r="J101" s="78">
        <v>959</v>
      </c>
      <c r="K101" s="78">
        <v>959</v>
      </c>
      <c r="L101" s="78">
        <v>559</v>
      </c>
      <c r="M101" s="78">
        <v>959</v>
      </c>
      <c r="N101" s="78">
        <v>959</v>
      </c>
      <c r="O101" s="78">
        <v>959</v>
      </c>
      <c r="P101" s="78">
        <v>559</v>
      </c>
      <c r="Q101" s="77">
        <v>959</v>
      </c>
      <c r="R101" s="77">
        <v>699</v>
      </c>
      <c r="S101" s="77">
        <v>559</v>
      </c>
      <c r="T101" s="77">
        <v>459</v>
      </c>
      <c r="U101" s="77">
        <v>359</v>
      </c>
      <c r="V101" s="77">
        <v>959</v>
      </c>
      <c r="W101" s="77">
        <v>699</v>
      </c>
      <c r="X101" s="77">
        <v>559</v>
      </c>
      <c r="Y101" s="77">
        <v>459</v>
      </c>
      <c r="Z101" s="77">
        <v>359</v>
      </c>
    </row>
    <row r="102" spans="1:26" s="79" customFormat="1" ht="28.5" customHeight="1" x14ac:dyDescent="0.25">
      <c r="A102" s="75" t="s">
        <v>84</v>
      </c>
      <c r="B102" s="75" t="s">
        <v>40</v>
      </c>
      <c r="C102" s="75" t="s">
        <v>82</v>
      </c>
      <c r="D102" s="76" t="s">
        <v>83</v>
      </c>
      <c r="E102" s="76" t="s">
        <v>455</v>
      </c>
      <c r="F102" s="237" t="s">
        <v>456</v>
      </c>
      <c r="G102" s="237">
        <v>1239</v>
      </c>
      <c r="H102" s="259">
        <v>1269</v>
      </c>
      <c r="I102" s="78">
        <v>1169</v>
      </c>
      <c r="J102" s="78">
        <v>1169</v>
      </c>
      <c r="K102" s="78">
        <v>1169</v>
      </c>
      <c r="L102" s="78">
        <v>759</v>
      </c>
      <c r="M102" s="78">
        <v>1169</v>
      </c>
      <c r="N102" s="78">
        <v>1169</v>
      </c>
      <c r="O102" s="78">
        <v>1169</v>
      </c>
      <c r="P102" s="78">
        <v>759</v>
      </c>
      <c r="Q102" s="77">
        <v>1169</v>
      </c>
      <c r="R102" s="77">
        <v>909</v>
      </c>
      <c r="S102" s="77">
        <v>769</v>
      </c>
      <c r="T102" s="77">
        <v>669</v>
      </c>
      <c r="U102" s="77">
        <v>569</v>
      </c>
      <c r="V102" s="77">
        <v>1169</v>
      </c>
      <c r="W102" s="77">
        <v>909</v>
      </c>
      <c r="X102" s="77">
        <v>769</v>
      </c>
      <c r="Y102" s="77">
        <v>669</v>
      </c>
      <c r="Z102" s="77">
        <v>569</v>
      </c>
    </row>
    <row r="103" spans="1:26" s="79" customFormat="1" ht="28.5" customHeight="1" x14ac:dyDescent="0.25">
      <c r="A103" s="75" t="s">
        <v>84</v>
      </c>
      <c r="B103" s="75" t="s">
        <v>40</v>
      </c>
      <c r="C103" s="75" t="s">
        <v>82</v>
      </c>
      <c r="D103" s="76" t="s">
        <v>83</v>
      </c>
      <c r="E103" s="76" t="s">
        <v>457</v>
      </c>
      <c r="F103" s="237" t="s">
        <v>456</v>
      </c>
      <c r="G103" s="237">
        <v>1239</v>
      </c>
      <c r="H103" s="259">
        <v>1269</v>
      </c>
      <c r="I103" s="78">
        <v>1169</v>
      </c>
      <c r="J103" s="78">
        <v>1169</v>
      </c>
      <c r="K103" s="78">
        <v>1169</v>
      </c>
      <c r="L103" s="78">
        <v>759</v>
      </c>
      <c r="M103" s="78">
        <v>1169</v>
      </c>
      <c r="N103" s="78">
        <v>1169</v>
      </c>
      <c r="O103" s="78">
        <v>1169</v>
      </c>
      <c r="P103" s="78">
        <v>759</v>
      </c>
      <c r="Q103" s="77">
        <v>1169</v>
      </c>
      <c r="R103" s="77">
        <v>909</v>
      </c>
      <c r="S103" s="77">
        <v>769</v>
      </c>
      <c r="T103" s="77">
        <v>669</v>
      </c>
      <c r="U103" s="77">
        <v>569</v>
      </c>
      <c r="V103" s="77">
        <v>1169</v>
      </c>
      <c r="W103" s="77">
        <v>909</v>
      </c>
      <c r="X103" s="77">
        <v>769</v>
      </c>
      <c r="Y103" s="77">
        <v>669</v>
      </c>
      <c r="Z103" s="77">
        <v>569</v>
      </c>
    </row>
    <row r="104" spans="1:26" s="79" customFormat="1" ht="28.5" customHeight="1" x14ac:dyDescent="0.25">
      <c r="A104" s="74" t="s">
        <v>81</v>
      </c>
      <c r="B104" s="75" t="s">
        <v>40</v>
      </c>
      <c r="C104" s="75" t="s">
        <v>82</v>
      </c>
      <c r="D104" s="76" t="s">
        <v>83</v>
      </c>
      <c r="E104" s="76" t="s">
        <v>458</v>
      </c>
      <c r="F104" s="237" t="s">
        <v>456</v>
      </c>
      <c r="G104" s="237">
        <v>1239</v>
      </c>
      <c r="H104" s="237">
        <v>1269</v>
      </c>
      <c r="I104" s="78">
        <v>1169</v>
      </c>
      <c r="J104" s="78">
        <v>1169</v>
      </c>
      <c r="K104" s="78">
        <v>1169</v>
      </c>
      <c r="L104" s="78">
        <v>759</v>
      </c>
      <c r="M104" s="78">
        <v>1169</v>
      </c>
      <c r="N104" s="78">
        <v>1169</v>
      </c>
      <c r="O104" s="78">
        <v>1169</v>
      </c>
      <c r="P104" s="78">
        <v>759</v>
      </c>
      <c r="Q104" s="77">
        <v>1169</v>
      </c>
      <c r="R104" s="77">
        <v>909</v>
      </c>
      <c r="S104" s="77">
        <v>769</v>
      </c>
      <c r="T104" s="77">
        <v>669</v>
      </c>
      <c r="U104" s="77">
        <v>569</v>
      </c>
      <c r="V104" s="77">
        <v>1169</v>
      </c>
      <c r="W104" s="77">
        <v>909</v>
      </c>
      <c r="X104" s="77">
        <v>769</v>
      </c>
      <c r="Y104" s="77">
        <v>669</v>
      </c>
      <c r="Z104" s="77">
        <v>569</v>
      </c>
    </row>
    <row r="105" spans="1:26" s="79" customFormat="1" ht="28.5" customHeight="1" x14ac:dyDescent="0.25">
      <c r="A105" s="75" t="s">
        <v>84</v>
      </c>
      <c r="B105" s="75" t="s">
        <v>40</v>
      </c>
      <c r="C105" s="75" t="s">
        <v>82</v>
      </c>
      <c r="D105" s="76" t="s">
        <v>83</v>
      </c>
      <c r="E105" s="76" t="s">
        <v>459</v>
      </c>
      <c r="F105" s="237" t="s">
        <v>460</v>
      </c>
      <c r="G105" s="237">
        <v>1289</v>
      </c>
      <c r="H105" s="237">
        <v>1319</v>
      </c>
      <c r="I105" s="78">
        <v>1219</v>
      </c>
      <c r="J105" s="78">
        <v>1219</v>
      </c>
      <c r="K105" s="78">
        <v>1219</v>
      </c>
      <c r="L105" s="78">
        <v>799</v>
      </c>
      <c r="M105" s="78">
        <v>1219</v>
      </c>
      <c r="N105" s="78">
        <v>1219</v>
      </c>
      <c r="O105" s="78">
        <v>1219</v>
      </c>
      <c r="P105" s="78">
        <v>799</v>
      </c>
      <c r="Q105" s="77">
        <v>1219</v>
      </c>
      <c r="R105" s="77">
        <v>959</v>
      </c>
      <c r="S105" s="77">
        <v>819</v>
      </c>
      <c r="T105" s="77">
        <v>719</v>
      </c>
      <c r="U105" s="77">
        <v>619</v>
      </c>
      <c r="V105" s="77">
        <v>1219</v>
      </c>
      <c r="W105" s="77">
        <v>959</v>
      </c>
      <c r="X105" s="77">
        <v>819</v>
      </c>
      <c r="Y105" s="77">
        <v>719</v>
      </c>
      <c r="Z105" s="77">
        <v>619</v>
      </c>
    </row>
    <row r="106" spans="1:26" s="79" customFormat="1" ht="28.5" customHeight="1" x14ac:dyDescent="0.25">
      <c r="A106" s="75" t="s">
        <v>84</v>
      </c>
      <c r="B106" s="75" t="s">
        <v>40</v>
      </c>
      <c r="C106" s="75" t="s">
        <v>82</v>
      </c>
      <c r="D106" s="76" t="s">
        <v>83</v>
      </c>
      <c r="E106" s="76" t="s">
        <v>461</v>
      </c>
      <c r="F106" s="237" t="s">
        <v>460</v>
      </c>
      <c r="G106" s="237">
        <v>1289</v>
      </c>
      <c r="H106" s="237">
        <v>1319</v>
      </c>
      <c r="I106" s="78">
        <v>1219</v>
      </c>
      <c r="J106" s="78">
        <v>1219</v>
      </c>
      <c r="K106" s="78">
        <v>1219</v>
      </c>
      <c r="L106" s="78">
        <v>799</v>
      </c>
      <c r="M106" s="78">
        <v>1219</v>
      </c>
      <c r="N106" s="78">
        <v>1219</v>
      </c>
      <c r="O106" s="78">
        <v>1219</v>
      </c>
      <c r="P106" s="78">
        <v>799</v>
      </c>
      <c r="Q106" s="77">
        <v>1219</v>
      </c>
      <c r="R106" s="77">
        <v>959</v>
      </c>
      <c r="S106" s="77">
        <v>819</v>
      </c>
      <c r="T106" s="77">
        <v>719</v>
      </c>
      <c r="U106" s="77">
        <v>619</v>
      </c>
      <c r="V106" s="77">
        <v>1219</v>
      </c>
      <c r="W106" s="77">
        <v>959</v>
      </c>
      <c r="X106" s="77">
        <v>819</v>
      </c>
      <c r="Y106" s="77">
        <v>719</v>
      </c>
      <c r="Z106" s="77">
        <v>619</v>
      </c>
    </row>
    <row r="107" spans="1:26" s="79" customFormat="1" ht="28.5" customHeight="1" x14ac:dyDescent="0.25">
      <c r="A107" s="75" t="s">
        <v>84</v>
      </c>
      <c r="B107" s="75" t="s">
        <v>40</v>
      </c>
      <c r="C107" s="75" t="s">
        <v>82</v>
      </c>
      <c r="D107" s="76" t="s">
        <v>83</v>
      </c>
      <c r="E107" s="76" t="s">
        <v>462</v>
      </c>
      <c r="F107" s="237" t="s">
        <v>463</v>
      </c>
      <c r="G107" s="237">
        <v>1499</v>
      </c>
      <c r="H107" s="237">
        <v>1529</v>
      </c>
      <c r="I107" s="78">
        <v>1429</v>
      </c>
      <c r="J107" s="78">
        <v>1429</v>
      </c>
      <c r="K107" s="78">
        <v>1429</v>
      </c>
      <c r="L107" s="78">
        <v>999</v>
      </c>
      <c r="M107" s="78">
        <v>1429</v>
      </c>
      <c r="N107" s="78">
        <v>1429</v>
      </c>
      <c r="O107" s="78">
        <v>1429</v>
      </c>
      <c r="P107" s="78">
        <v>999</v>
      </c>
      <c r="Q107" s="77">
        <v>1429</v>
      </c>
      <c r="R107" s="77">
        <v>1169</v>
      </c>
      <c r="S107" s="77">
        <v>1029</v>
      </c>
      <c r="T107" s="77">
        <v>929</v>
      </c>
      <c r="U107" s="77">
        <v>829</v>
      </c>
      <c r="V107" s="77">
        <v>1429</v>
      </c>
      <c r="W107" s="77">
        <v>1169</v>
      </c>
      <c r="X107" s="77">
        <v>1029</v>
      </c>
      <c r="Y107" s="77">
        <v>929</v>
      </c>
      <c r="Z107" s="77">
        <v>829</v>
      </c>
    </row>
    <row r="108" spans="1:26" s="79" customFormat="1" ht="28.5" customHeight="1" x14ac:dyDescent="0.25">
      <c r="A108" s="75" t="s">
        <v>84</v>
      </c>
      <c r="B108" s="75" t="s">
        <v>40</v>
      </c>
      <c r="C108" s="75" t="s">
        <v>82</v>
      </c>
      <c r="D108" s="76" t="s">
        <v>83</v>
      </c>
      <c r="E108" s="76" t="s">
        <v>464</v>
      </c>
      <c r="F108" s="237" t="s">
        <v>463</v>
      </c>
      <c r="G108" s="237">
        <v>1499</v>
      </c>
      <c r="H108" s="237">
        <v>1529</v>
      </c>
      <c r="I108" s="78">
        <v>1429</v>
      </c>
      <c r="J108" s="78">
        <v>1429</v>
      </c>
      <c r="K108" s="78">
        <v>1429</v>
      </c>
      <c r="L108" s="78">
        <v>999</v>
      </c>
      <c r="M108" s="78">
        <v>1429</v>
      </c>
      <c r="N108" s="78">
        <v>1429</v>
      </c>
      <c r="O108" s="78">
        <v>1429</v>
      </c>
      <c r="P108" s="78">
        <v>999</v>
      </c>
      <c r="Q108" s="77">
        <v>1429</v>
      </c>
      <c r="R108" s="77">
        <v>1169</v>
      </c>
      <c r="S108" s="77">
        <v>1029</v>
      </c>
      <c r="T108" s="77">
        <v>929</v>
      </c>
      <c r="U108" s="77">
        <v>829</v>
      </c>
      <c r="V108" s="77">
        <v>1429</v>
      </c>
      <c r="W108" s="77">
        <v>1169</v>
      </c>
      <c r="X108" s="77">
        <v>1029</v>
      </c>
      <c r="Y108" s="77">
        <v>929</v>
      </c>
      <c r="Z108" s="77">
        <v>829</v>
      </c>
    </row>
    <row r="109" spans="1:26" s="79" customFormat="1" ht="28.5" customHeight="1" x14ac:dyDescent="0.25">
      <c r="A109" s="74" t="s">
        <v>81</v>
      </c>
      <c r="B109" s="75">
        <v>43191</v>
      </c>
      <c r="C109" s="75" t="s">
        <v>105</v>
      </c>
      <c r="D109" s="76" t="s">
        <v>83</v>
      </c>
      <c r="E109" s="76" t="s">
        <v>465</v>
      </c>
      <c r="F109" s="76" t="s">
        <v>466</v>
      </c>
      <c r="G109" s="77">
        <v>620</v>
      </c>
      <c r="H109" s="77">
        <v>439</v>
      </c>
      <c r="I109" s="78" t="s">
        <v>40</v>
      </c>
      <c r="J109" s="78" t="s">
        <v>40</v>
      </c>
      <c r="K109" s="78" t="s">
        <v>40</v>
      </c>
      <c r="L109" s="78" t="s">
        <v>40</v>
      </c>
      <c r="M109" s="78" t="s">
        <v>40</v>
      </c>
      <c r="N109" s="78" t="s">
        <v>40</v>
      </c>
      <c r="O109" s="78" t="s">
        <v>40</v>
      </c>
      <c r="P109" s="78" t="s">
        <v>40</v>
      </c>
      <c r="Q109" s="77">
        <v>339</v>
      </c>
      <c r="R109" s="77">
        <v>79</v>
      </c>
      <c r="S109" s="77">
        <v>0</v>
      </c>
      <c r="T109" s="77">
        <v>0</v>
      </c>
      <c r="U109" s="77">
        <v>0</v>
      </c>
      <c r="V109" s="77">
        <v>339</v>
      </c>
      <c r="W109" s="77">
        <v>79</v>
      </c>
      <c r="X109" s="77">
        <v>0</v>
      </c>
      <c r="Y109" s="77">
        <v>0</v>
      </c>
      <c r="Z109" s="77">
        <v>0</v>
      </c>
    </row>
    <row r="110" spans="1:26" s="79" customFormat="1" ht="28.5" customHeight="1" x14ac:dyDescent="0.25">
      <c r="A110" s="74" t="s">
        <v>81</v>
      </c>
      <c r="B110" s="75">
        <v>43191</v>
      </c>
      <c r="C110" s="75" t="s">
        <v>105</v>
      </c>
      <c r="D110" s="76" t="s">
        <v>83</v>
      </c>
      <c r="E110" s="76" t="s">
        <v>106</v>
      </c>
      <c r="F110" s="76" t="s">
        <v>107</v>
      </c>
      <c r="G110" s="77">
        <v>750</v>
      </c>
      <c r="H110" s="77">
        <v>569</v>
      </c>
      <c r="I110" s="78" t="s">
        <v>40</v>
      </c>
      <c r="J110" s="78" t="s">
        <v>40</v>
      </c>
      <c r="K110" s="78" t="s">
        <v>40</v>
      </c>
      <c r="L110" s="78" t="s">
        <v>40</v>
      </c>
      <c r="M110" s="78" t="s">
        <v>40</v>
      </c>
      <c r="N110" s="78" t="s">
        <v>40</v>
      </c>
      <c r="O110" s="78" t="s">
        <v>40</v>
      </c>
      <c r="P110" s="78" t="s">
        <v>40</v>
      </c>
      <c r="Q110" s="77">
        <v>469</v>
      </c>
      <c r="R110" s="77">
        <v>209</v>
      </c>
      <c r="S110" s="77">
        <v>69</v>
      </c>
      <c r="T110" s="77">
        <v>0</v>
      </c>
      <c r="U110" s="77">
        <v>0</v>
      </c>
      <c r="V110" s="77">
        <v>469</v>
      </c>
      <c r="W110" s="77">
        <v>209</v>
      </c>
      <c r="X110" s="77">
        <v>69</v>
      </c>
      <c r="Y110" s="77">
        <v>0</v>
      </c>
      <c r="Z110" s="77">
        <v>0</v>
      </c>
    </row>
    <row r="111" spans="1:26" s="79" customFormat="1" ht="28.5" customHeight="1" x14ac:dyDescent="0.25">
      <c r="A111" s="74" t="s">
        <v>81</v>
      </c>
      <c r="B111" s="75">
        <v>43009</v>
      </c>
      <c r="C111" s="75" t="s">
        <v>105</v>
      </c>
      <c r="D111" s="76" t="s">
        <v>83</v>
      </c>
      <c r="E111" s="76" t="s">
        <v>467</v>
      </c>
      <c r="F111" s="76" t="s">
        <v>107</v>
      </c>
      <c r="G111" s="77">
        <v>750</v>
      </c>
      <c r="H111" s="77">
        <v>569</v>
      </c>
      <c r="I111" s="78" t="s">
        <v>40</v>
      </c>
      <c r="J111" s="78" t="s">
        <v>40</v>
      </c>
      <c r="K111" s="78" t="s">
        <v>40</v>
      </c>
      <c r="L111" s="78" t="s">
        <v>40</v>
      </c>
      <c r="M111" s="78" t="s">
        <v>40</v>
      </c>
      <c r="N111" s="78" t="s">
        <v>40</v>
      </c>
      <c r="O111" s="78" t="s">
        <v>40</v>
      </c>
      <c r="P111" s="78" t="s">
        <v>40</v>
      </c>
      <c r="Q111" s="77">
        <v>469</v>
      </c>
      <c r="R111" s="77">
        <v>209</v>
      </c>
      <c r="S111" s="77">
        <v>69</v>
      </c>
      <c r="T111" s="77">
        <v>0</v>
      </c>
      <c r="U111" s="77">
        <v>0</v>
      </c>
      <c r="V111" s="77">
        <v>469</v>
      </c>
      <c r="W111" s="77">
        <v>209</v>
      </c>
      <c r="X111" s="77">
        <v>69</v>
      </c>
      <c r="Y111" s="77">
        <v>0</v>
      </c>
      <c r="Z111" s="77">
        <v>0</v>
      </c>
    </row>
    <row r="112" spans="1:26" s="79" customFormat="1" ht="28.5" customHeight="1" x14ac:dyDescent="0.25">
      <c r="A112" s="74" t="s">
        <v>81</v>
      </c>
      <c r="B112" s="75">
        <v>43252</v>
      </c>
      <c r="C112" s="75" t="s">
        <v>105</v>
      </c>
      <c r="D112" s="76" t="s">
        <v>83</v>
      </c>
      <c r="E112" s="76" t="s">
        <v>468</v>
      </c>
      <c r="F112" s="76" t="s">
        <v>108</v>
      </c>
      <c r="G112" s="77">
        <v>620</v>
      </c>
      <c r="H112" s="77">
        <v>389</v>
      </c>
      <c r="I112" s="78" t="s">
        <v>40</v>
      </c>
      <c r="J112" s="78" t="s">
        <v>40</v>
      </c>
      <c r="K112" s="78" t="s">
        <v>40</v>
      </c>
      <c r="L112" s="78" t="s">
        <v>40</v>
      </c>
      <c r="M112" s="78" t="s">
        <v>40</v>
      </c>
      <c r="N112" s="78" t="s">
        <v>40</v>
      </c>
      <c r="O112" s="78" t="s">
        <v>40</v>
      </c>
      <c r="P112" s="78" t="s">
        <v>40</v>
      </c>
      <c r="Q112" s="77">
        <v>289</v>
      </c>
      <c r="R112" s="77">
        <v>29</v>
      </c>
      <c r="S112" s="77">
        <v>0</v>
      </c>
      <c r="T112" s="77">
        <v>0</v>
      </c>
      <c r="U112" s="77">
        <v>0</v>
      </c>
      <c r="V112" s="77">
        <v>289</v>
      </c>
      <c r="W112" s="77">
        <v>29</v>
      </c>
      <c r="X112" s="77">
        <v>0</v>
      </c>
      <c r="Y112" s="77">
        <v>0</v>
      </c>
      <c r="Z112" s="77">
        <v>0</v>
      </c>
    </row>
    <row r="113" spans="1:26" s="79" customFormat="1" ht="28.5" customHeight="1" x14ac:dyDescent="0.25">
      <c r="A113" s="74" t="s">
        <v>84</v>
      </c>
      <c r="B113" s="75" t="s">
        <v>40</v>
      </c>
      <c r="C113" s="75" t="s">
        <v>105</v>
      </c>
      <c r="D113" s="76" t="s">
        <v>83</v>
      </c>
      <c r="E113" s="76" t="s">
        <v>469</v>
      </c>
      <c r="F113" s="76" t="s">
        <v>470</v>
      </c>
      <c r="G113" s="237">
        <v>599</v>
      </c>
      <c r="H113" s="237">
        <v>619</v>
      </c>
      <c r="I113" s="78" t="s">
        <v>40</v>
      </c>
      <c r="J113" s="78" t="s">
        <v>40</v>
      </c>
      <c r="K113" s="78" t="s">
        <v>40</v>
      </c>
      <c r="L113" s="78" t="s">
        <v>40</v>
      </c>
      <c r="M113" s="78" t="s">
        <v>40</v>
      </c>
      <c r="N113" s="78" t="s">
        <v>40</v>
      </c>
      <c r="O113" s="78" t="s">
        <v>40</v>
      </c>
      <c r="P113" s="78" t="s">
        <v>40</v>
      </c>
      <c r="Q113" s="77">
        <v>499</v>
      </c>
      <c r="R113" s="77">
        <v>239</v>
      </c>
      <c r="S113" s="77">
        <v>99</v>
      </c>
      <c r="T113" s="77">
        <v>0</v>
      </c>
      <c r="U113" s="77">
        <v>0</v>
      </c>
      <c r="V113" s="77">
        <v>499</v>
      </c>
      <c r="W113" s="77">
        <v>239</v>
      </c>
      <c r="X113" s="77">
        <v>99</v>
      </c>
      <c r="Y113" s="77">
        <v>0</v>
      </c>
      <c r="Z113" s="77">
        <v>0</v>
      </c>
    </row>
    <row r="114" spans="1:26" s="79" customFormat="1" ht="28.5" customHeight="1" x14ac:dyDescent="0.25">
      <c r="A114" s="74" t="s">
        <v>84</v>
      </c>
      <c r="B114" s="75" t="s">
        <v>40</v>
      </c>
      <c r="C114" s="75" t="s">
        <v>105</v>
      </c>
      <c r="D114" s="76" t="s">
        <v>83</v>
      </c>
      <c r="E114" s="76" t="s">
        <v>471</v>
      </c>
      <c r="F114" s="76" t="s">
        <v>470</v>
      </c>
      <c r="G114" s="237">
        <v>599</v>
      </c>
      <c r="H114" s="237">
        <v>619</v>
      </c>
      <c r="I114" s="78" t="s">
        <v>40</v>
      </c>
      <c r="J114" s="78" t="s">
        <v>40</v>
      </c>
      <c r="K114" s="78" t="s">
        <v>40</v>
      </c>
      <c r="L114" s="78" t="s">
        <v>40</v>
      </c>
      <c r="M114" s="78" t="s">
        <v>40</v>
      </c>
      <c r="N114" s="78" t="s">
        <v>40</v>
      </c>
      <c r="O114" s="78" t="s">
        <v>40</v>
      </c>
      <c r="P114" s="78" t="s">
        <v>40</v>
      </c>
      <c r="Q114" s="77">
        <v>499</v>
      </c>
      <c r="R114" s="77">
        <v>239</v>
      </c>
      <c r="S114" s="77">
        <v>99</v>
      </c>
      <c r="T114" s="77">
        <v>0</v>
      </c>
      <c r="U114" s="77">
        <v>0</v>
      </c>
      <c r="V114" s="77">
        <v>499</v>
      </c>
      <c r="W114" s="77">
        <v>239</v>
      </c>
      <c r="X114" s="77">
        <v>99</v>
      </c>
      <c r="Y114" s="77">
        <v>0</v>
      </c>
      <c r="Z114" s="77">
        <v>0</v>
      </c>
    </row>
    <row r="115" spans="1:26" s="79" customFormat="1" ht="28.5" customHeight="1" x14ac:dyDescent="0.25">
      <c r="A115" s="74" t="s">
        <v>84</v>
      </c>
      <c r="B115" s="75" t="s">
        <v>40</v>
      </c>
      <c r="C115" s="75" t="s">
        <v>105</v>
      </c>
      <c r="D115" s="76" t="s">
        <v>83</v>
      </c>
      <c r="E115" s="76" t="s">
        <v>472</v>
      </c>
      <c r="F115" s="76" t="s">
        <v>473</v>
      </c>
      <c r="G115" s="237">
        <v>729</v>
      </c>
      <c r="H115" s="237">
        <v>749</v>
      </c>
      <c r="I115" s="78" t="s">
        <v>40</v>
      </c>
      <c r="J115" s="78" t="s">
        <v>40</v>
      </c>
      <c r="K115" s="78" t="s">
        <v>40</v>
      </c>
      <c r="L115" s="78" t="s">
        <v>40</v>
      </c>
      <c r="M115" s="78" t="s">
        <v>40</v>
      </c>
      <c r="N115" s="78" t="s">
        <v>40</v>
      </c>
      <c r="O115" s="78" t="s">
        <v>40</v>
      </c>
      <c r="P115" s="78" t="s">
        <v>40</v>
      </c>
      <c r="Q115" s="77">
        <v>629</v>
      </c>
      <c r="R115" s="77">
        <v>369</v>
      </c>
      <c r="S115" s="77">
        <v>229</v>
      </c>
      <c r="T115" s="77">
        <v>129</v>
      </c>
      <c r="U115" s="77">
        <v>29</v>
      </c>
      <c r="V115" s="77">
        <v>629</v>
      </c>
      <c r="W115" s="77">
        <v>369</v>
      </c>
      <c r="X115" s="77">
        <v>229</v>
      </c>
      <c r="Y115" s="77">
        <v>129</v>
      </c>
      <c r="Z115" s="77">
        <v>29</v>
      </c>
    </row>
    <row r="116" spans="1:26" s="79" customFormat="1" ht="28.5" customHeight="1" x14ac:dyDescent="0.25">
      <c r="A116" s="74" t="s">
        <v>84</v>
      </c>
      <c r="B116" s="75" t="s">
        <v>40</v>
      </c>
      <c r="C116" s="75" t="s">
        <v>105</v>
      </c>
      <c r="D116" s="76" t="s">
        <v>83</v>
      </c>
      <c r="E116" s="76" t="s">
        <v>474</v>
      </c>
      <c r="F116" s="76" t="s">
        <v>473</v>
      </c>
      <c r="G116" s="237">
        <v>729</v>
      </c>
      <c r="H116" s="237">
        <v>749</v>
      </c>
      <c r="I116" s="78" t="s">
        <v>40</v>
      </c>
      <c r="J116" s="78" t="s">
        <v>40</v>
      </c>
      <c r="K116" s="78" t="s">
        <v>40</v>
      </c>
      <c r="L116" s="78" t="s">
        <v>40</v>
      </c>
      <c r="M116" s="78" t="s">
        <v>40</v>
      </c>
      <c r="N116" s="78" t="s">
        <v>40</v>
      </c>
      <c r="O116" s="78" t="s">
        <v>40</v>
      </c>
      <c r="P116" s="78" t="s">
        <v>40</v>
      </c>
      <c r="Q116" s="77">
        <v>629</v>
      </c>
      <c r="R116" s="77">
        <v>369</v>
      </c>
      <c r="S116" s="77">
        <v>229</v>
      </c>
      <c r="T116" s="77">
        <v>129</v>
      </c>
      <c r="U116" s="77">
        <v>29</v>
      </c>
      <c r="V116" s="77">
        <v>629</v>
      </c>
      <c r="W116" s="77">
        <v>369</v>
      </c>
      <c r="X116" s="77">
        <v>229</v>
      </c>
      <c r="Y116" s="77">
        <v>129</v>
      </c>
      <c r="Z116" s="77">
        <v>29</v>
      </c>
    </row>
    <row r="117" spans="1:26" s="79" customFormat="1" ht="28.5" customHeight="1" x14ac:dyDescent="0.25">
      <c r="A117" s="74" t="s">
        <v>81</v>
      </c>
      <c r="B117" s="75">
        <v>43282</v>
      </c>
      <c r="C117" s="75" t="s">
        <v>105</v>
      </c>
      <c r="D117" s="76" t="s">
        <v>83</v>
      </c>
      <c r="E117" s="76" t="s">
        <v>109</v>
      </c>
      <c r="F117" s="76" t="s">
        <v>110</v>
      </c>
      <c r="G117" s="77">
        <v>1330</v>
      </c>
      <c r="H117" s="77">
        <v>1359</v>
      </c>
      <c r="I117" s="78" t="s">
        <v>40</v>
      </c>
      <c r="J117" s="78" t="s">
        <v>40</v>
      </c>
      <c r="K117" s="78" t="s">
        <v>40</v>
      </c>
      <c r="L117" s="78" t="s">
        <v>40</v>
      </c>
      <c r="M117" s="78" t="s">
        <v>40</v>
      </c>
      <c r="N117" s="78" t="s">
        <v>40</v>
      </c>
      <c r="O117" s="78" t="s">
        <v>40</v>
      </c>
      <c r="P117" s="78" t="s">
        <v>40</v>
      </c>
      <c r="Q117" s="77">
        <v>1259</v>
      </c>
      <c r="R117" s="77">
        <v>999</v>
      </c>
      <c r="S117" s="77">
        <v>859</v>
      </c>
      <c r="T117" s="77">
        <v>759</v>
      </c>
      <c r="U117" s="77">
        <v>659</v>
      </c>
      <c r="V117" s="77">
        <v>1259</v>
      </c>
      <c r="W117" s="77">
        <v>999</v>
      </c>
      <c r="X117" s="77">
        <v>859</v>
      </c>
      <c r="Y117" s="77">
        <v>759</v>
      </c>
      <c r="Z117" s="77">
        <v>659</v>
      </c>
    </row>
    <row r="118" spans="1:26" s="79" customFormat="1" ht="28.5" customHeight="1" x14ac:dyDescent="0.25">
      <c r="A118" s="74" t="s">
        <v>84</v>
      </c>
      <c r="B118" s="75" t="s">
        <v>40</v>
      </c>
      <c r="C118" s="75" t="s">
        <v>105</v>
      </c>
      <c r="D118" s="76" t="s">
        <v>83</v>
      </c>
      <c r="E118" s="76" t="s">
        <v>475</v>
      </c>
      <c r="F118" s="76" t="s">
        <v>476</v>
      </c>
      <c r="G118" s="77">
        <v>1149</v>
      </c>
      <c r="H118" s="77">
        <v>1219</v>
      </c>
      <c r="I118" s="78" t="s">
        <v>40</v>
      </c>
      <c r="J118" s="78" t="s">
        <v>40</v>
      </c>
      <c r="K118" s="78" t="s">
        <v>40</v>
      </c>
      <c r="L118" s="78" t="s">
        <v>40</v>
      </c>
      <c r="M118" s="78" t="s">
        <v>40</v>
      </c>
      <c r="N118" s="78" t="s">
        <v>40</v>
      </c>
      <c r="O118" s="78" t="s">
        <v>40</v>
      </c>
      <c r="P118" s="78" t="s">
        <v>40</v>
      </c>
      <c r="Q118" s="77">
        <v>1119</v>
      </c>
      <c r="R118" s="77">
        <v>859</v>
      </c>
      <c r="S118" s="77">
        <v>719</v>
      </c>
      <c r="T118" s="77">
        <v>619</v>
      </c>
      <c r="U118" s="77">
        <v>519</v>
      </c>
      <c r="V118" s="77">
        <v>1119</v>
      </c>
      <c r="W118" s="77">
        <v>859</v>
      </c>
      <c r="X118" s="77">
        <v>719</v>
      </c>
      <c r="Y118" s="77">
        <v>619</v>
      </c>
      <c r="Z118" s="77">
        <v>519</v>
      </c>
    </row>
    <row r="119" spans="1:26" s="79" customFormat="1" ht="28.5" customHeight="1" x14ac:dyDescent="0.25">
      <c r="A119" s="74" t="s">
        <v>81</v>
      </c>
      <c r="B119" s="75">
        <v>43252</v>
      </c>
      <c r="C119" s="75" t="s">
        <v>82</v>
      </c>
      <c r="D119" s="76" t="s">
        <v>111</v>
      </c>
      <c r="E119" s="76" t="s">
        <v>112</v>
      </c>
      <c r="F119" s="76" t="s">
        <v>113</v>
      </c>
      <c r="G119" s="77">
        <v>470</v>
      </c>
      <c r="H119" s="77">
        <v>499.99</v>
      </c>
      <c r="I119" s="78">
        <v>299.99</v>
      </c>
      <c r="J119" s="78">
        <v>299.99</v>
      </c>
      <c r="K119" s="78">
        <v>299.99</v>
      </c>
      <c r="L119" s="78">
        <v>0</v>
      </c>
      <c r="M119" s="78">
        <v>299.99</v>
      </c>
      <c r="N119" s="78">
        <v>299.99</v>
      </c>
      <c r="O119" s="78">
        <v>299.99</v>
      </c>
      <c r="P119" s="78">
        <v>0</v>
      </c>
      <c r="Q119" s="77">
        <v>399.99</v>
      </c>
      <c r="R119" s="77">
        <v>139.99</v>
      </c>
      <c r="S119" s="77">
        <v>0</v>
      </c>
      <c r="T119" s="77">
        <v>0</v>
      </c>
      <c r="U119" s="77">
        <v>0</v>
      </c>
      <c r="V119" s="77">
        <v>399.99</v>
      </c>
      <c r="W119" s="77">
        <v>139.99</v>
      </c>
      <c r="X119" s="77">
        <v>0</v>
      </c>
      <c r="Y119" s="77">
        <v>0</v>
      </c>
      <c r="Z119" s="77">
        <v>0</v>
      </c>
    </row>
    <row r="120" spans="1:26" s="79" customFormat="1" ht="28.5" customHeight="1" x14ac:dyDescent="0.25">
      <c r="A120" s="75" t="s">
        <v>81</v>
      </c>
      <c r="B120" s="75" t="s">
        <v>40</v>
      </c>
      <c r="C120" s="75" t="s">
        <v>82</v>
      </c>
      <c r="D120" s="76" t="s">
        <v>111</v>
      </c>
      <c r="E120" s="243" t="s">
        <v>477</v>
      </c>
      <c r="F120" s="76" t="s">
        <v>478</v>
      </c>
      <c r="G120" s="77">
        <v>409</v>
      </c>
      <c r="H120" s="77">
        <v>429</v>
      </c>
      <c r="I120" s="78">
        <v>329</v>
      </c>
      <c r="J120" s="78">
        <v>329</v>
      </c>
      <c r="K120" s="78">
        <v>329</v>
      </c>
      <c r="L120" s="78">
        <v>0</v>
      </c>
      <c r="M120" s="78">
        <v>329</v>
      </c>
      <c r="N120" s="78">
        <v>329</v>
      </c>
      <c r="O120" s="78">
        <v>329</v>
      </c>
      <c r="P120" s="78">
        <v>0</v>
      </c>
      <c r="Q120" s="77">
        <v>329</v>
      </c>
      <c r="R120" s="77">
        <v>69</v>
      </c>
      <c r="S120" s="77">
        <v>0</v>
      </c>
      <c r="T120" s="77">
        <v>0</v>
      </c>
      <c r="U120" s="77">
        <v>0</v>
      </c>
      <c r="V120" s="77">
        <v>329</v>
      </c>
      <c r="W120" s="77">
        <v>69</v>
      </c>
      <c r="X120" s="77">
        <v>0</v>
      </c>
      <c r="Y120" s="77">
        <v>0</v>
      </c>
      <c r="Z120" s="77">
        <v>0</v>
      </c>
    </row>
    <row r="121" spans="1:26" s="79" customFormat="1" ht="28.5" customHeight="1" x14ac:dyDescent="0.25">
      <c r="A121" s="74" t="s">
        <v>84</v>
      </c>
      <c r="B121" s="75" t="s">
        <v>40</v>
      </c>
      <c r="C121" s="75" t="s">
        <v>82</v>
      </c>
      <c r="D121" s="76" t="s">
        <v>111</v>
      </c>
      <c r="E121" s="244" t="s">
        <v>479</v>
      </c>
      <c r="F121" s="76" t="s">
        <v>480</v>
      </c>
      <c r="G121" s="77">
        <v>659</v>
      </c>
      <c r="H121" s="77">
        <v>679</v>
      </c>
      <c r="I121" s="78">
        <v>579</v>
      </c>
      <c r="J121" s="78">
        <v>579</v>
      </c>
      <c r="K121" s="78">
        <v>579</v>
      </c>
      <c r="L121" s="78">
        <v>149</v>
      </c>
      <c r="M121" s="78">
        <v>579</v>
      </c>
      <c r="N121" s="78">
        <v>579</v>
      </c>
      <c r="O121" s="78">
        <v>579</v>
      </c>
      <c r="P121" s="78">
        <v>149</v>
      </c>
      <c r="Q121" s="77">
        <v>579</v>
      </c>
      <c r="R121" s="77">
        <v>319</v>
      </c>
      <c r="S121" s="77">
        <v>179</v>
      </c>
      <c r="T121" s="77">
        <v>79</v>
      </c>
      <c r="U121" s="77">
        <v>0</v>
      </c>
      <c r="V121" s="77">
        <v>579</v>
      </c>
      <c r="W121" s="77">
        <v>319</v>
      </c>
      <c r="X121" s="77">
        <v>179</v>
      </c>
      <c r="Y121" s="77">
        <v>79</v>
      </c>
      <c r="Z121" s="77">
        <v>0</v>
      </c>
    </row>
    <row r="122" spans="1:26" s="79" customFormat="1" ht="28.5" customHeight="1" x14ac:dyDescent="0.25">
      <c r="A122" s="74" t="s">
        <v>81</v>
      </c>
      <c r="B122" s="75">
        <v>43160</v>
      </c>
      <c r="C122" s="75" t="s">
        <v>82</v>
      </c>
      <c r="D122" s="76" t="s">
        <v>111</v>
      </c>
      <c r="E122" s="76" t="s">
        <v>114</v>
      </c>
      <c r="F122" s="76" t="s">
        <v>115</v>
      </c>
      <c r="G122" s="77">
        <v>350</v>
      </c>
      <c r="H122" s="77">
        <v>349.99</v>
      </c>
      <c r="I122" s="78">
        <v>149.99</v>
      </c>
      <c r="J122" s="78">
        <v>149.99</v>
      </c>
      <c r="K122" s="78">
        <v>149.99</v>
      </c>
      <c r="L122" s="78">
        <v>29.99</v>
      </c>
      <c r="M122" s="78">
        <v>149.99</v>
      </c>
      <c r="N122" s="78">
        <v>149.99</v>
      </c>
      <c r="O122" s="78">
        <v>149.99</v>
      </c>
      <c r="P122" s="78">
        <v>29.99</v>
      </c>
      <c r="Q122" s="77">
        <v>249.99</v>
      </c>
      <c r="R122" s="77">
        <v>0</v>
      </c>
      <c r="S122" s="77">
        <v>0</v>
      </c>
      <c r="T122" s="77">
        <v>0</v>
      </c>
      <c r="U122" s="77">
        <v>0</v>
      </c>
      <c r="V122" s="77">
        <v>249.99</v>
      </c>
      <c r="W122" s="77">
        <v>0</v>
      </c>
      <c r="X122" s="77">
        <v>0</v>
      </c>
      <c r="Y122" s="77">
        <v>0</v>
      </c>
      <c r="Z122" s="77">
        <v>0</v>
      </c>
    </row>
    <row r="123" spans="1:26" s="79" customFormat="1" ht="28.5" customHeight="1" x14ac:dyDescent="0.25">
      <c r="A123" s="74" t="s">
        <v>81</v>
      </c>
      <c r="B123" s="75">
        <v>43132</v>
      </c>
      <c r="C123" s="75" t="s">
        <v>82</v>
      </c>
      <c r="D123" s="76" t="s">
        <v>111</v>
      </c>
      <c r="E123" s="76" t="s">
        <v>116</v>
      </c>
      <c r="F123" s="76" t="s">
        <v>117</v>
      </c>
      <c r="G123" s="77">
        <v>700</v>
      </c>
      <c r="H123" s="77">
        <v>699.99</v>
      </c>
      <c r="I123" s="78">
        <v>499.99</v>
      </c>
      <c r="J123" s="78">
        <v>499.99</v>
      </c>
      <c r="K123" s="78">
        <v>499.99</v>
      </c>
      <c r="L123" s="78">
        <v>149.99</v>
      </c>
      <c r="M123" s="78">
        <v>499.99</v>
      </c>
      <c r="N123" s="78">
        <v>499.99</v>
      </c>
      <c r="O123" s="78">
        <v>499.99</v>
      </c>
      <c r="P123" s="78">
        <v>149.99</v>
      </c>
      <c r="Q123" s="77">
        <v>599.99</v>
      </c>
      <c r="R123" s="77">
        <v>339.99</v>
      </c>
      <c r="S123" s="77">
        <v>199.99</v>
      </c>
      <c r="T123" s="77">
        <v>99.990000000000009</v>
      </c>
      <c r="U123" s="77">
        <v>0</v>
      </c>
      <c r="V123" s="77">
        <v>599.99</v>
      </c>
      <c r="W123" s="77">
        <v>339.99</v>
      </c>
      <c r="X123" s="77">
        <v>199.99</v>
      </c>
      <c r="Y123" s="77">
        <v>99.990000000000009</v>
      </c>
      <c r="Z123" s="77">
        <v>0</v>
      </c>
    </row>
    <row r="124" spans="1:26" s="79" customFormat="1" ht="28.5" customHeight="1" x14ac:dyDescent="0.25">
      <c r="A124" s="74" t="s">
        <v>81</v>
      </c>
      <c r="B124" s="75">
        <v>43221</v>
      </c>
      <c r="C124" s="75" t="s">
        <v>82</v>
      </c>
      <c r="D124" s="76" t="s">
        <v>111</v>
      </c>
      <c r="E124" s="76" t="s">
        <v>118</v>
      </c>
      <c r="F124" s="76" t="s">
        <v>119</v>
      </c>
      <c r="G124" s="77">
        <v>500</v>
      </c>
      <c r="H124" s="77">
        <v>500</v>
      </c>
      <c r="I124" s="78">
        <v>400</v>
      </c>
      <c r="J124" s="78">
        <v>400</v>
      </c>
      <c r="K124" s="78">
        <v>400</v>
      </c>
      <c r="L124" s="78">
        <v>0</v>
      </c>
      <c r="M124" s="78">
        <v>400</v>
      </c>
      <c r="N124" s="78">
        <v>400</v>
      </c>
      <c r="O124" s="78">
        <v>400</v>
      </c>
      <c r="P124" s="78">
        <v>0</v>
      </c>
      <c r="Q124" s="77">
        <v>400</v>
      </c>
      <c r="R124" s="77">
        <v>140</v>
      </c>
      <c r="S124" s="77">
        <v>0</v>
      </c>
      <c r="T124" s="77">
        <v>0</v>
      </c>
      <c r="U124" s="77">
        <v>0</v>
      </c>
      <c r="V124" s="77">
        <v>400</v>
      </c>
      <c r="W124" s="77">
        <v>140</v>
      </c>
      <c r="X124" s="77">
        <v>0</v>
      </c>
      <c r="Y124" s="77">
        <v>0</v>
      </c>
      <c r="Z124" s="77">
        <v>0</v>
      </c>
    </row>
    <row r="125" spans="1:26" s="79" customFormat="1" ht="28.5" customHeight="1" x14ac:dyDescent="0.25">
      <c r="A125" s="74" t="s">
        <v>81</v>
      </c>
      <c r="B125" s="75">
        <v>43313</v>
      </c>
      <c r="C125" s="75" t="s">
        <v>82</v>
      </c>
      <c r="D125" s="76" t="s">
        <v>481</v>
      </c>
      <c r="E125" s="76" t="s">
        <v>482</v>
      </c>
      <c r="F125" s="76" t="s">
        <v>483</v>
      </c>
      <c r="G125" s="77">
        <v>799</v>
      </c>
      <c r="H125" s="77">
        <v>799</v>
      </c>
      <c r="I125" s="78">
        <v>799</v>
      </c>
      <c r="J125" s="78">
        <v>799</v>
      </c>
      <c r="K125" s="78">
        <v>799</v>
      </c>
      <c r="L125" s="78">
        <v>399</v>
      </c>
      <c r="M125" s="78">
        <v>799</v>
      </c>
      <c r="N125" s="78">
        <v>799</v>
      </c>
      <c r="O125" s="78">
        <v>799</v>
      </c>
      <c r="P125" s="78">
        <v>399</v>
      </c>
      <c r="Q125" s="77">
        <v>699</v>
      </c>
      <c r="R125" s="77">
        <v>439</v>
      </c>
      <c r="S125" s="77">
        <v>299</v>
      </c>
      <c r="T125" s="77">
        <v>199</v>
      </c>
      <c r="U125" s="77">
        <v>99</v>
      </c>
      <c r="V125" s="77">
        <v>699</v>
      </c>
      <c r="W125" s="77">
        <v>439</v>
      </c>
      <c r="X125" s="77">
        <v>299</v>
      </c>
      <c r="Y125" s="77">
        <v>199</v>
      </c>
      <c r="Z125" s="77">
        <v>99</v>
      </c>
    </row>
    <row r="126" spans="1:26" s="79" customFormat="1" ht="28.5" customHeight="1" x14ac:dyDescent="0.25">
      <c r="A126" s="74" t="s">
        <v>81</v>
      </c>
      <c r="B126" s="75">
        <v>43313</v>
      </c>
      <c r="C126" s="75" t="s">
        <v>82</v>
      </c>
      <c r="D126" s="76" t="s">
        <v>481</v>
      </c>
      <c r="E126" s="76" t="s">
        <v>484</v>
      </c>
      <c r="F126" s="76" t="s">
        <v>483</v>
      </c>
      <c r="G126" s="77">
        <v>799</v>
      </c>
      <c r="H126" s="77">
        <v>799</v>
      </c>
      <c r="I126" s="78">
        <v>799</v>
      </c>
      <c r="J126" s="78">
        <v>799</v>
      </c>
      <c r="K126" s="78">
        <v>799</v>
      </c>
      <c r="L126" s="78">
        <v>399</v>
      </c>
      <c r="M126" s="78">
        <v>799</v>
      </c>
      <c r="N126" s="78">
        <v>799</v>
      </c>
      <c r="O126" s="78">
        <v>799</v>
      </c>
      <c r="P126" s="78">
        <v>399</v>
      </c>
      <c r="Q126" s="77">
        <v>699</v>
      </c>
      <c r="R126" s="77">
        <v>439</v>
      </c>
      <c r="S126" s="77">
        <v>299</v>
      </c>
      <c r="T126" s="77">
        <v>199</v>
      </c>
      <c r="U126" s="77">
        <v>99</v>
      </c>
      <c r="V126" s="77">
        <v>699</v>
      </c>
      <c r="W126" s="77">
        <v>439</v>
      </c>
      <c r="X126" s="77">
        <v>299</v>
      </c>
      <c r="Y126" s="77">
        <v>199</v>
      </c>
      <c r="Z126" s="77">
        <v>99</v>
      </c>
    </row>
    <row r="127" spans="1:26" s="79" customFormat="1" ht="28.5" customHeight="1" x14ac:dyDescent="0.25">
      <c r="A127" s="74" t="s">
        <v>81</v>
      </c>
      <c r="B127" s="75">
        <v>43313</v>
      </c>
      <c r="C127" s="75" t="s">
        <v>82</v>
      </c>
      <c r="D127" s="76" t="s">
        <v>481</v>
      </c>
      <c r="E127" s="76" t="s">
        <v>485</v>
      </c>
      <c r="F127" s="76" t="s">
        <v>483</v>
      </c>
      <c r="G127" s="77">
        <v>799</v>
      </c>
      <c r="H127" s="77">
        <v>799</v>
      </c>
      <c r="I127" s="78">
        <v>799</v>
      </c>
      <c r="J127" s="78">
        <v>799</v>
      </c>
      <c r="K127" s="78">
        <v>799</v>
      </c>
      <c r="L127" s="78">
        <v>399</v>
      </c>
      <c r="M127" s="78">
        <v>799</v>
      </c>
      <c r="N127" s="78">
        <v>799</v>
      </c>
      <c r="O127" s="78">
        <v>799</v>
      </c>
      <c r="P127" s="78">
        <v>399</v>
      </c>
      <c r="Q127" s="77">
        <v>699</v>
      </c>
      <c r="R127" s="77">
        <v>439</v>
      </c>
      <c r="S127" s="77">
        <v>299</v>
      </c>
      <c r="T127" s="77">
        <v>199</v>
      </c>
      <c r="U127" s="77">
        <v>99</v>
      </c>
      <c r="V127" s="77">
        <v>699</v>
      </c>
      <c r="W127" s="77">
        <v>439</v>
      </c>
      <c r="X127" s="77">
        <v>299</v>
      </c>
      <c r="Y127" s="77">
        <v>199</v>
      </c>
      <c r="Z127" s="77">
        <v>99</v>
      </c>
    </row>
    <row r="128" spans="1:26" s="79" customFormat="1" ht="28.5" customHeight="1" x14ac:dyDescent="0.25">
      <c r="A128" s="74" t="s">
        <v>486</v>
      </c>
      <c r="B128" s="75">
        <v>43221</v>
      </c>
      <c r="C128" s="75" t="s">
        <v>82</v>
      </c>
      <c r="D128" s="76" t="s">
        <v>481</v>
      </c>
      <c r="E128" s="76" t="s">
        <v>487</v>
      </c>
      <c r="F128" s="76" t="s">
        <v>488</v>
      </c>
      <c r="G128" s="77">
        <v>949</v>
      </c>
      <c r="H128" s="77">
        <v>949</v>
      </c>
      <c r="I128" s="78">
        <v>929</v>
      </c>
      <c r="J128" s="78">
        <v>929</v>
      </c>
      <c r="K128" s="78">
        <v>929</v>
      </c>
      <c r="L128" s="78">
        <v>519</v>
      </c>
      <c r="M128" s="78">
        <v>929</v>
      </c>
      <c r="N128" s="78">
        <v>929</v>
      </c>
      <c r="O128" s="78">
        <v>929</v>
      </c>
      <c r="P128" s="78">
        <v>519</v>
      </c>
      <c r="Q128" s="77">
        <v>849</v>
      </c>
      <c r="R128" s="77">
        <v>589</v>
      </c>
      <c r="S128" s="77">
        <v>449</v>
      </c>
      <c r="T128" s="77">
        <v>349</v>
      </c>
      <c r="U128" s="77">
        <v>249</v>
      </c>
      <c r="V128" s="77">
        <v>849</v>
      </c>
      <c r="W128" s="77">
        <v>589</v>
      </c>
      <c r="X128" s="77">
        <v>449</v>
      </c>
      <c r="Y128" s="77">
        <v>349</v>
      </c>
      <c r="Z128" s="77">
        <v>249</v>
      </c>
    </row>
    <row r="129" spans="1:26" s="79" customFormat="1" ht="28.5" customHeight="1" x14ac:dyDescent="0.25">
      <c r="A129" s="74" t="s">
        <v>81</v>
      </c>
      <c r="B129" s="75">
        <v>43313</v>
      </c>
      <c r="C129" s="75" t="s">
        <v>82</v>
      </c>
      <c r="D129" s="76" t="s">
        <v>481</v>
      </c>
      <c r="E129" s="76" t="s">
        <v>489</v>
      </c>
      <c r="F129" s="76" t="s">
        <v>488</v>
      </c>
      <c r="G129" s="77">
        <v>949</v>
      </c>
      <c r="H129" s="77">
        <v>949</v>
      </c>
      <c r="I129" s="78">
        <v>929</v>
      </c>
      <c r="J129" s="78">
        <v>929</v>
      </c>
      <c r="K129" s="78">
        <v>929</v>
      </c>
      <c r="L129" s="78">
        <v>519</v>
      </c>
      <c r="M129" s="78">
        <v>929</v>
      </c>
      <c r="N129" s="78">
        <v>929</v>
      </c>
      <c r="O129" s="78">
        <v>929</v>
      </c>
      <c r="P129" s="78">
        <v>519</v>
      </c>
      <c r="Q129" s="77">
        <v>849</v>
      </c>
      <c r="R129" s="77">
        <v>589</v>
      </c>
      <c r="S129" s="77">
        <v>449</v>
      </c>
      <c r="T129" s="77">
        <v>349</v>
      </c>
      <c r="U129" s="77">
        <v>249</v>
      </c>
      <c r="V129" s="77">
        <v>849</v>
      </c>
      <c r="W129" s="77">
        <v>589</v>
      </c>
      <c r="X129" s="77">
        <v>449</v>
      </c>
      <c r="Y129" s="77">
        <v>349</v>
      </c>
      <c r="Z129" s="77">
        <v>249</v>
      </c>
    </row>
    <row r="130" spans="1:26" s="79" customFormat="1" ht="28.5" customHeight="1" x14ac:dyDescent="0.25">
      <c r="A130" s="74" t="s">
        <v>81</v>
      </c>
      <c r="B130" s="75" t="s">
        <v>40</v>
      </c>
      <c r="C130" s="75" t="s">
        <v>82</v>
      </c>
      <c r="D130" s="76" t="s">
        <v>481</v>
      </c>
      <c r="E130" s="76" t="s">
        <v>490</v>
      </c>
      <c r="F130" s="76" t="s">
        <v>491</v>
      </c>
      <c r="G130" s="77">
        <v>999</v>
      </c>
      <c r="H130" s="77">
        <v>999</v>
      </c>
      <c r="I130" s="78">
        <v>949</v>
      </c>
      <c r="J130" s="78">
        <v>949</v>
      </c>
      <c r="K130" s="78">
        <v>949</v>
      </c>
      <c r="L130" s="78">
        <v>539</v>
      </c>
      <c r="M130" s="78">
        <v>949</v>
      </c>
      <c r="N130" s="78">
        <v>949</v>
      </c>
      <c r="O130" s="78">
        <v>949</v>
      </c>
      <c r="P130" s="78">
        <v>539</v>
      </c>
      <c r="Q130" s="77">
        <v>899</v>
      </c>
      <c r="R130" s="77">
        <v>639</v>
      </c>
      <c r="S130" s="77">
        <v>499</v>
      </c>
      <c r="T130" s="77">
        <v>399</v>
      </c>
      <c r="U130" s="77">
        <v>299</v>
      </c>
      <c r="V130" s="77">
        <v>899</v>
      </c>
      <c r="W130" s="77">
        <v>639</v>
      </c>
      <c r="X130" s="77">
        <v>499</v>
      </c>
      <c r="Y130" s="77">
        <v>399</v>
      </c>
      <c r="Z130" s="77">
        <v>299</v>
      </c>
    </row>
    <row r="131" spans="1:26" s="79" customFormat="1" ht="28.5" customHeight="1" x14ac:dyDescent="0.25">
      <c r="A131" s="74" t="s">
        <v>81</v>
      </c>
      <c r="B131" s="75" t="s">
        <v>40</v>
      </c>
      <c r="C131" s="75" t="s">
        <v>82</v>
      </c>
      <c r="D131" s="76" t="s">
        <v>481</v>
      </c>
      <c r="E131" s="76" t="s">
        <v>492</v>
      </c>
      <c r="F131" s="76" t="s">
        <v>491</v>
      </c>
      <c r="G131" s="77">
        <v>999</v>
      </c>
      <c r="H131" s="77">
        <v>999</v>
      </c>
      <c r="I131" s="78">
        <v>949</v>
      </c>
      <c r="J131" s="78">
        <v>949</v>
      </c>
      <c r="K131" s="78">
        <v>949</v>
      </c>
      <c r="L131" s="78">
        <v>539</v>
      </c>
      <c r="M131" s="78">
        <v>949</v>
      </c>
      <c r="N131" s="78">
        <v>949</v>
      </c>
      <c r="O131" s="78">
        <v>949</v>
      </c>
      <c r="P131" s="78">
        <v>539</v>
      </c>
      <c r="Q131" s="77">
        <v>899</v>
      </c>
      <c r="R131" s="77">
        <v>639</v>
      </c>
      <c r="S131" s="77">
        <v>499</v>
      </c>
      <c r="T131" s="77">
        <v>399</v>
      </c>
      <c r="U131" s="77">
        <v>299</v>
      </c>
      <c r="V131" s="77">
        <v>899</v>
      </c>
      <c r="W131" s="77">
        <v>639</v>
      </c>
      <c r="X131" s="77">
        <v>499</v>
      </c>
      <c r="Y131" s="77">
        <v>399</v>
      </c>
      <c r="Z131" s="77">
        <v>299</v>
      </c>
    </row>
    <row r="132" spans="1:26" s="79" customFormat="1" ht="28.5" customHeight="1" x14ac:dyDescent="0.25">
      <c r="A132" s="74" t="s">
        <v>81</v>
      </c>
      <c r="B132" s="75" t="s">
        <v>40</v>
      </c>
      <c r="C132" s="75" t="s">
        <v>82</v>
      </c>
      <c r="D132" s="76" t="s">
        <v>481</v>
      </c>
      <c r="E132" s="76" t="s">
        <v>493</v>
      </c>
      <c r="F132" s="76" t="s">
        <v>491</v>
      </c>
      <c r="G132" s="77">
        <v>999</v>
      </c>
      <c r="H132" s="77">
        <v>999</v>
      </c>
      <c r="I132" s="78">
        <v>949</v>
      </c>
      <c r="J132" s="78">
        <v>949</v>
      </c>
      <c r="K132" s="78">
        <v>949</v>
      </c>
      <c r="L132" s="78">
        <v>539</v>
      </c>
      <c r="M132" s="78">
        <v>949</v>
      </c>
      <c r="N132" s="78">
        <v>949</v>
      </c>
      <c r="O132" s="78">
        <v>949</v>
      </c>
      <c r="P132" s="78">
        <v>539</v>
      </c>
      <c r="Q132" s="77">
        <v>899</v>
      </c>
      <c r="R132" s="77">
        <v>639</v>
      </c>
      <c r="S132" s="77">
        <v>499</v>
      </c>
      <c r="T132" s="77">
        <v>399</v>
      </c>
      <c r="U132" s="77">
        <v>299</v>
      </c>
      <c r="V132" s="77">
        <v>899</v>
      </c>
      <c r="W132" s="77">
        <v>639</v>
      </c>
      <c r="X132" s="77">
        <v>499</v>
      </c>
      <c r="Y132" s="77">
        <v>399</v>
      </c>
      <c r="Z132" s="77">
        <v>299</v>
      </c>
    </row>
    <row r="133" spans="1:26" s="79" customFormat="1" ht="28.5" customHeight="1" x14ac:dyDescent="0.25">
      <c r="A133" s="74" t="s">
        <v>81</v>
      </c>
      <c r="B133" s="75">
        <v>43191</v>
      </c>
      <c r="C133" s="75" t="s">
        <v>82</v>
      </c>
      <c r="D133" s="76" t="s">
        <v>481</v>
      </c>
      <c r="E133" s="76" t="s">
        <v>494</v>
      </c>
      <c r="F133" s="76" t="s">
        <v>495</v>
      </c>
      <c r="G133" s="77">
        <v>1150</v>
      </c>
      <c r="H133" s="77">
        <v>1179</v>
      </c>
      <c r="I133" s="78">
        <v>1079</v>
      </c>
      <c r="J133" s="78">
        <v>1079</v>
      </c>
      <c r="K133" s="78">
        <v>1079</v>
      </c>
      <c r="L133" s="78">
        <v>669</v>
      </c>
      <c r="M133" s="78">
        <v>1079</v>
      </c>
      <c r="N133" s="78">
        <v>1079</v>
      </c>
      <c r="O133" s="78">
        <v>1079</v>
      </c>
      <c r="P133" s="78">
        <v>669</v>
      </c>
      <c r="Q133" s="77">
        <v>1079</v>
      </c>
      <c r="R133" s="77">
        <v>819</v>
      </c>
      <c r="S133" s="77">
        <v>679</v>
      </c>
      <c r="T133" s="77">
        <v>579</v>
      </c>
      <c r="U133" s="77">
        <v>479</v>
      </c>
      <c r="V133" s="77">
        <v>1079</v>
      </c>
      <c r="W133" s="77">
        <v>819</v>
      </c>
      <c r="X133" s="77">
        <v>679</v>
      </c>
      <c r="Y133" s="77">
        <v>579</v>
      </c>
      <c r="Z133" s="77">
        <v>479</v>
      </c>
    </row>
    <row r="134" spans="1:26" s="79" customFormat="1" ht="28.5" customHeight="1" x14ac:dyDescent="0.25">
      <c r="A134" s="74" t="s">
        <v>81</v>
      </c>
      <c r="B134" s="75">
        <v>43191</v>
      </c>
      <c r="C134" s="75" t="s">
        <v>82</v>
      </c>
      <c r="D134" s="76" t="s">
        <v>481</v>
      </c>
      <c r="E134" s="76" t="s">
        <v>496</v>
      </c>
      <c r="F134" s="76" t="s">
        <v>495</v>
      </c>
      <c r="G134" s="77">
        <v>1150</v>
      </c>
      <c r="H134" s="77">
        <v>1179</v>
      </c>
      <c r="I134" s="78">
        <v>1079</v>
      </c>
      <c r="J134" s="78">
        <v>1079</v>
      </c>
      <c r="K134" s="78">
        <v>1079</v>
      </c>
      <c r="L134" s="78">
        <v>669</v>
      </c>
      <c r="M134" s="78">
        <v>1079</v>
      </c>
      <c r="N134" s="78">
        <v>1079</v>
      </c>
      <c r="O134" s="78">
        <v>1079</v>
      </c>
      <c r="P134" s="78">
        <v>669</v>
      </c>
      <c r="Q134" s="77">
        <v>1079</v>
      </c>
      <c r="R134" s="77">
        <v>819</v>
      </c>
      <c r="S134" s="77">
        <v>679</v>
      </c>
      <c r="T134" s="77">
        <v>579</v>
      </c>
      <c r="U134" s="77">
        <v>479</v>
      </c>
      <c r="V134" s="77">
        <v>1079</v>
      </c>
      <c r="W134" s="77">
        <v>819</v>
      </c>
      <c r="X134" s="77">
        <v>679</v>
      </c>
      <c r="Y134" s="77">
        <v>579</v>
      </c>
      <c r="Z134" s="77">
        <v>479</v>
      </c>
    </row>
    <row r="135" spans="1:26" s="79" customFormat="1" ht="28.5" customHeight="1" x14ac:dyDescent="0.25">
      <c r="A135" s="74" t="s">
        <v>84</v>
      </c>
      <c r="B135" s="75" t="s">
        <v>40</v>
      </c>
      <c r="C135" s="75" t="s">
        <v>82</v>
      </c>
      <c r="D135" s="76" t="s">
        <v>481</v>
      </c>
      <c r="E135" s="76" t="s">
        <v>497</v>
      </c>
      <c r="F135" s="76" t="s">
        <v>498</v>
      </c>
      <c r="G135" s="77">
        <v>869</v>
      </c>
      <c r="H135" s="77">
        <v>899</v>
      </c>
      <c r="I135" s="78">
        <v>799</v>
      </c>
      <c r="J135" s="78">
        <v>799</v>
      </c>
      <c r="K135" s="78">
        <v>799</v>
      </c>
      <c r="L135" s="78">
        <v>429</v>
      </c>
      <c r="M135" s="78">
        <v>799</v>
      </c>
      <c r="N135" s="78">
        <v>799</v>
      </c>
      <c r="O135" s="78">
        <v>799</v>
      </c>
      <c r="P135" s="78">
        <v>429</v>
      </c>
      <c r="Q135" s="77">
        <v>799</v>
      </c>
      <c r="R135" s="77">
        <v>539</v>
      </c>
      <c r="S135" s="77">
        <v>399</v>
      </c>
      <c r="T135" s="77">
        <v>299</v>
      </c>
      <c r="U135" s="77">
        <v>199</v>
      </c>
      <c r="V135" s="77">
        <v>799</v>
      </c>
      <c r="W135" s="77">
        <v>539</v>
      </c>
      <c r="X135" s="77">
        <v>399</v>
      </c>
      <c r="Y135" s="77">
        <v>299</v>
      </c>
      <c r="Z135" s="77">
        <v>199</v>
      </c>
    </row>
    <row r="136" spans="1:26" s="79" customFormat="1" ht="28.5" customHeight="1" x14ac:dyDescent="0.25">
      <c r="A136" s="74" t="s">
        <v>84</v>
      </c>
      <c r="B136" s="75" t="s">
        <v>40</v>
      </c>
      <c r="C136" s="75" t="s">
        <v>82</v>
      </c>
      <c r="D136" s="76" t="s">
        <v>481</v>
      </c>
      <c r="E136" s="76" t="s">
        <v>499</v>
      </c>
      <c r="F136" s="76" t="s">
        <v>498</v>
      </c>
      <c r="G136" s="77">
        <v>869</v>
      </c>
      <c r="H136" s="77">
        <v>899</v>
      </c>
      <c r="I136" s="78">
        <v>799</v>
      </c>
      <c r="J136" s="78">
        <v>799</v>
      </c>
      <c r="K136" s="78">
        <v>799</v>
      </c>
      <c r="L136" s="78">
        <v>429</v>
      </c>
      <c r="M136" s="78">
        <v>799</v>
      </c>
      <c r="N136" s="78">
        <v>799</v>
      </c>
      <c r="O136" s="78">
        <v>799</v>
      </c>
      <c r="P136" s="78">
        <v>429</v>
      </c>
      <c r="Q136" s="77">
        <v>799</v>
      </c>
      <c r="R136" s="77">
        <v>539</v>
      </c>
      <c r="S136" s="77">
        <v>399</v>
      </c>
      <c r="T136" s="77">
        <v>299</v>
      </c>
      <c r="U136" s="77">
        <v>199</v>
      </c>
      <c r="V136" s="77">
        <v>799</v>
      </c>
      <c r="W136" s="77">
        <v>539</v>
      </c>
      <c r="X136" s="77">
        <v>399</v>
      </c>
      <c r="Y136" s="77">
        <v>299</v>
      </c>
      <c r="Z136" s="77">
        <v>199</v>
      </c>
    </row>
    <row r="137" spans="1:26" s="79" customFormat="1" ht="28.5" customHeight="1" x14ac:dyDescent="0.25">
      <c r="A137" s="74" t="s">
        <v>84</v>
      </c>
      <c r="B137" s="75" t="s">
        <v>40</v>
      </c>
      <c r="C137" s="75" t="s">
        <v>82</v>
      </c>
      <c r="D137" s="76" t="s">
        <v>481</v>
      </c>
      <c r="E137" s="76" t="s">
        <v>500</v>
      </c>
      <c r="F137" s="76" t="s">
        <v>501</v>
      </c>
      <c r="G137" s="77">
        <v>999</v>
      </c>
      <c r="H137" s="77">
        <v>1029</v>
      </c>
      <c r="I137" s="78">
        <v>929</v>
      </c>
      <c r="J137" s="78">
        <v>929</v>
      </c>
      <c r="K137" s="78">
        <v>929</v>
      </c>
      <c r="L137" s="78">
        <v>539</v>
      </c>
      <c r="M137" s="78">
        <v>929</v>
      </c>
      <c r="N137" s="78">
        <v>929</v>
      </c>
      <c r="O137" s="78">
        <v>929</v>
      </c>
      <c r="P137" s="78">
        <v>539</v>
      </c>
      <c r="Q137" s="77">
        <v>929</v>
      </c>
      <c r="R137" s="77">
        <v>669</v>
      </c>
      <c r="S137" s="77">
        <v>529</v>
      </c>
      <c r="T137" s="77">
        <v>429</v>
      </c>
      <c r="U137" s="77">
        <v>329</v>
      </c>
      <c r="V137" s="77">
        <v>929</v>
      </c>
      <c r="W137" s="77">
        <v>669</v>
      </c>
      <c r="X137" s="77">
        <v>529</v>
      </c>
      <c r="Y137" s="77">
        <v>429</v>
      </c>
      <c r="Z137" s="77">
        <v>329</v>
      </c>
    </row>
    <row r="138" spans="1:26" s="79" customFormat="1" ht="28.5" customHeight="1" x14ac:dyDescent="0.25">
      <c r="A138" s="74" t="s">
        <v>84</v>
      </c>
      <c r="B138" s="75" t="s">
        <v>40</v>
      </c>
      <c r="C138" s="75" t="s">
        <v>82</v>
      </c>
      <c r="D138" s="76" t="s">
        <v>481</v>
      </c>
      <c r="E138" s="76" t="s">
        <v>502</v>
      </c>
      <c r="F138" s="76" t="s">
        <v>501</v>
      </c>
      <c r="G138" s="77">
        <v>999</v>
      </c>
      <c r="H138" s="77">
        <v>1029</v>
      </c>
      <c r="I138" s="78">
        <v>929</v>
      </c>
      <c r="J138" s="78">
        <v>929</v>
      </c>
      <c r="K138" s="78">
        <v>929</v>
      </c>
      <c r="L138" s="78">
        <v>539</v>
      </c>
      <c r="M138" s="78">
        <v>929</v>
      </c>
      <c r="N138" s="78">
        <v>929</v>
      </c>
      <c r="O138" s="78">
        <v>929</v>
      </c>
      <c r="P138" s="78">
        <v>539</v>
      </c>
      <c r="Q138" s="77">
        <v>929</v>
      </c>
      <c r="R138" s="77">
        <v>669</v>
      </c>
      <c r="S138" s="77">
        <v>529</v>
      </c>
      <c r="T138" s="77">
        <v>429</v>
      </c>
      <c r="U138" s="77">
        <v>329</v>
      </c>
      <c r="V138" s="77">
        <v>929</v>
      </c>
      <c r="W138" s="77">
        <v>669</v>
      </c>
      <c r="X138" s="77">
        <v>529</v>
      </c>
      <c r="Y138" s="77">
        <v>429</v>
      </c>
      <c r="Z138" s="77">
        <v>329</v>
      </c>
    </row>
    <row r="139" spans="1:26" s="79" customFormat="1" ht="28.5" customHeight="1" x14ac:dyDescent="0.25">
      <c r="A139" s="74" t="s">
        <v>84</v>
      </c>
      <c r="B139" s="75" t="s">
        <v>40</v>
      </c>
      <c r="C139" s="75" t="s">
        <v>82</v>
      </c>
      <c r="D139" s="76" t="s">
        <v>481</v>
      </c>
      <c r="E139" s="76" t="s">
        <v>503</v>
      </c>
      <c r="F139" s="76" t="s">
        <v>504</v>
      </c>
      <c r="G139" s="77">
        <v>1129</v>
      </c>
      <c r="H139" s="77">
        <v>1159</v>
      </c>
      <c r="I139" s="78">
        <v>1059</v>
      </c>
      <c r="J139" s="78">
        <v>1059</v>
      </c>
      <c r="K139" s="78">
        <v>1059</v>
      </c>
      <c r="L139" s="78">
        <v>669</v>
      </c>
      <c r="M139" s="78">
        <v>1059</v>
      </c>
      <c r="N139" s="78">
        <v>1059</v>
      </c>
      <c r="O139" s="78">
        <v>1059</v>
      </c>
      <c r="P139" s="78">
        <v>669</v>
      </c>
      <c r="Q139" s="77">
        <v>1059</v>
      </c>
      <c r="R139" s="77">
        <v>799</v>
      </c>
      <c r="S139" s="77">
        <v>659</v>
      </c>
      <c r="T139" s="77">
        <v>559</v>
      </c>
      <c r="U139" s="77">
        <v>459</v>
      </c>
      <c r="V139" s="77">
        <v>1059</v>
      </c>
      <c r="W139" s="77">
        <v>799</v>
      </c>
      <c r="X139" s="77">
        <v>659</v>
      </c>
      <c r="Y139" s="77">
        <v>559</v>
      </c>
      <c r="Z139" s="77">
        <v>459</v>
      </c>
    </row>
    <row r="140" spans="1:26" s="79" customFormat="1" ht="28.5" customHeight="1" x14ac:dyDescent="0.25">
      <c r="A140" s="74" t="s">
        <v>84</v>
      </c>
      <c r="B140" s="75" t="s">
        <v>40</v>
      </c>
      <c r="C140" s="75" t="s">
        <v>82</v>
      </c>
      <c r="D140" s="76" t="s">
        <v>481</v>
      </c>
      <c r="E140" s="76" t="s">
        <v>505</v>
      </c>
      <c r="F140" s="76" t="s">
        <v>504</v>
      </c>
      <c r="G140" s="77">
        <v>1129</v>
      </c>
      <c r="H140" s="77">
        <v>1159</v>
      </c>
      <c r="I140" s="78">
        <v>1059</v>
      </c>
      <c r="J140" s="78">
        <v>1059</v>
      </c>
      <c r="K140" s="78">
        <v>1059</v>
      </c>
      <c r="L140" s="78">
        <v>669</v>
      </c>
      <c r="M140" s="78">
        <v>1059</v>
      </c>
      <c r="N140" s="78">
        <v>1059</v>
      </c>
      <c r="O140" s="78">
        <v>1059</v>
      </c>
      <c r="P140" s="78">
        <v>669</v>
      </c>
      <c r="Q140" s="77">
        <v>1059</v>
      </c>
      <c r="R140" s="77">
        <v>799</v>
      </c>
      <c r="S140" s="77">
        <v>659</v>
      </c>
      <c r="T140" s="77">
        <v>559</v>
      </c>
      <c r="U140" s="77">
        <v>459</v>
      </c>
      <c r="V140" s="77">
        <v>1059</v>
      </c>
      <c r="W140" s="77">
        <v>799</v>
      </c>
      <c r="X140" s="77">
        <v>659</v>
      </c>
      <c r="Y140" s="77">
        <v>559</v>
      </c>
      <c r="Z140" s="77">
        <v>459</v>
      </c>
    </row>
    <row r="141" spans="1:26" s="79" customFormat="1" ht="28.5" customHeight="1" x14ac:dyDescent="0.25">
      <c r="A141" s="74" t="s">
        <v>81</v>
      </c>
      <c r="B141" s="75" t="s">
        <v>40</v>
      </c>
      <c r="C141" s="75" t="s">
        <v>82</v>
      </c>
      <c r="D141" s="76" t="s">
        <v>481</v>
      </c>
      <c r="E141" s="76" t="s">
        <v>506</v>
      </c>
      <c r="F141" s="76" t="s">
        <v>507</v>
      </c>
      <c r="G141" s="77">
        <v>1259</v>
      </c>
      <c r="H141" s="77">
        <v>1289</v>
      </c>
      <c r="I141" s="78">
        <v>1189</v>
      </c>
      <c r="J141" s="78">
        <v>1189</v>
      </c>
      <c r="K141" s="78">
        <v>1189</v>
      </c>
      <c r="L141" s="78">
        <v>799</v>
      </c>
      <c r="M141" s="78">
        <v>1189</v>
      </c>
      <c r="N141" s="78">
        <v>1189</v>
      </c>
      <c r="O141" s="78">
        <v>1189</v>
      </c>
      <c r="P141" s="78">
        <v>799</v>
      </c>
      <c r="Q141" s="77">
        <v>1189</v>
      </c>
      <c r="R141" s="77">
        <v>929</v>
      </c>
      <c r="S141" s="77">
        <v>789</v>
      </c>
      <c r="T141" s="77">
        <v>689</v>
      </c>
      <c r="U141" s="77">
        <v>589</v>
      </c>
      <c r="V141" s="77">
        <v>1189</v>
      </c>
      <c r="W141" s="77">
        <v>929</v>
      </c>
      <c r="X141" s="77">
        <v>789</v>
      </c>
      <c r="Y141" s="77">
        <v>689</v>
      </c>
      <c r="Z141" s="77">
        <v>589</v>
      </c>
    </row>
    <row r="142" spans="1:26" s="79" customFormat="1" ht="28.5" customHeight="1" x14ac:dyDescent="0.25">
      <c r="A142" s="74" t="s">
        <v>81</v>
      </c>
      <c r="B142" s="75" t="s">
        <v>40</v>
      </c>
      <c r="C142" s="75" t="s">
        <v>82</v>
      </c>
      <c r="D142" s="76" t="s">
        <v>481</v>
      </c>
      <c r="E142" s="76" t="s">
        <v>508</v>
      </c>
      <c r="F142" s="76" t="s">
        <v>507</v>
      </c>
      <c r="G142" s="77">
        <v>1259</v>
      </c>
      <c r="H142" s="77">
        <v>1289</v>
      </c>
      <c r="I142" s="78">
        <v>1189</v>
      </c>
      <c r="J142" s="78">
        <v>1189</v>
      </c>
      <c r="K142" s="78">
        <v>1189</v>
      </c>
      <c r="L142" s="78">
        <v>799</v>
      </c>
      <c r="M142" s="78">
        <v>1189</v>
      </c>
      <c r="N142" s="78">
        <v>1189</v>
      </c>
      <c r="O142" s="78">
        <v>1189</v>
      </c>
      <c r="P142" s="78">
        <v>799</v>
      </c>
      <c r="Q142" s="77">
        <v>1189</v>
      </c>
      <c r="R142" s="77">
        <v>929</v>
      </c>
      <c r="S142" s="77">
        <v>789</v>
      </c>
      <c r="T142" s="77">
        <v>689</v>
      </c>
      <c r="U142" s="77">
        <v>589</v>
      </c>
      <c r="V142" s="77">
        <v>1189</v>
      </c>
      <c r="W142" s="77">
        <v>929</v>
      </c>
      <c r="X142" s="77">
        <v>789</v>
      </c>
      <c r="Y142" s="77">
        <v>689</v>
      </c>
      <c r="Z142" s="77">
        <v>589</v>
      </c>
    </row>
    <row r="143" spans="1:26" s="79" customFormat="1" ht="28.5" customHeight="1" x14ac:dyDescent="0.25">
      <c r="A143" s="74" t="s">
        <v>84</v>
      </c>
      <c r="B143" s="75" t="s">
        <v>40</v>
      </c>
      <c r="C143" s="75" t="s">
        <v>105</v>
      </c>
      <c r="D143" s="76" t="s">
        <v>120</v>
      </c>
      <c r="E143" s="76" t="s">
        <v>121</v>
      </c>
      <c r="F143" s="76" t="s">
        <v>122</v>
      </c>
      <c r="G143" s="77">
        <v>130</v>
      </c>
      <c r="H143" s="77">
        <v>179.99</v>
      </c>
      <c r="I143" s="78">
        <v>39.99</v>
      </c>
      <c r="J143" s="78" t="s">
        <v>40</v>
      </c>
      <c r="K143" s="78" t="s">
        <v>40</v>
      </c>
      <c r="L143" s="77" t="s">
        <v>40</v>
      </c>
      <c r="M143" s="78">
        <v>39.99</v>
      </c>
      <c r="N143" s="78" t="s">
        <v>40</v>
      </c>
      <c r="O143" s="78" t="s">
        <v>40</v>
      </c>
      <c r="P143" s="77" t="s">
        <v>40</v>
      </c>
      <c r="Q143" s="77">
        <v>79.990000000000009</v>
      </c>
      <c r="R143" s="77">
        <v>0</v>
      </c>
      <c r="S143" s="77">
        <v>0</v>
      </c>
      <c r="T143" s="77">
        <v>0</v>
      </c>
      <c r="U143" s="77">
        <v>0</v>
      </c>
      <c r="V143" s="77">
        <v>79.990000000000009</v>
      </c>
      <c r="W143" s="77">
        <v>0</v>
      </c>
      <c r="X143" s="77">
        <v>0</v>
      </c>
      <c r="Y143" s="77">
        <v>0</v>
      </c>
      <c r="Z143" s="77">
        <v>0</v>
      </c>
    </row>
    <row r="144" spans="1:26" s="79" customFormat="1" ht="28.5" customHeight="1" x14ac:dyDescent="0.25">
      <c r="A144" s="74" t="s">
        <v>81</v>
      </c>
      <c r="B144" s="75">
        <v>43344</v>
      </c>
      <c r="C144" s="75" t="s">
        <v>82</v>
      </c>
      <c r="D144" s="76" t="s">
        <v>120</v>
      </c>
      <c r="E144" s="76" t="s">
        <v>509</v>
      </c>
      <c r="F144" s="76" t="s">
        <v>510</v>
      </c>
      <c r="G144" s="77">
        <v>390</v>
      </c>
      <c r="H144" s="77">
        <v>400</v>
      </c>
      <c r="I144" s="78">
        <v>300</v>
      </c>
      <c r="J144" s="78">
        <v>300</v>
      </c>
      <c r="K144" s="78">
        <v>300</v>
      </c>
      <c r="L144" s="77">
        <v>0</v>
      </c>
      <c r="M144" s="78">
        <v>300</v>
      </c>
      <c r="N144" s="78">
        <v>300</v>
      </c>
      <c r="O144" s="78">
        <v>300</v>
      </c>
      <c r="P144" s="77">
        <v>0</v>
      </c>
      <c r="Q144" s="77">
        <v>300</v>
      </c>
      <c r="R144" s="77">
        <v>40</v>
      </c>
      <c r="S144" s="77">
        <v>0</v>
      </c>
      <c r="T144" s="77">
        <v>0</v>
      </c>
      <c r="U144" s="77">
        <v>0</v>
      </c>
      <c r="V144" s="77">
        <v>300</v>
      </c>
      <c r="W144" s="77">
        <v>40</v>
      </c>
      <c r="X144" s="77">
        <v>0</v>
      </c>
      <c r="Y144" s="77">
        <v>0</v>
      </c>
      <c r="Z144" s="77">
        <v>0</v>
      </c>
    </row>
    <row r="145" spans="1:26" s="79" customFormat="1" ht="28.5" customHeight="1" x14ac:dyDescent="0.25">
      <c r="A145" s="74" t="s">
        <v>81</v>
      </c>
      <c r="B145" s="75" t="s">
        <v>40</v>
      </c>
      <c r="C145" s="75" t="s">
        <v>82</v>
      </c>
      <c r="D145" s="76" t="s">
        <v>120</v>
      </c>
      <c r="E145" s="76" t="s">
        <v>123</v>
      </c>
      <c r="F145" s="76" t="s">
        <v>124</v>
      </c>
      <c r="G145" s="77">
        <v>255</v>
      </c>
      <c r="H145" s="77">
        <v>100</v>
      </c>
      <c r="I145" s="78">
        <v>100</v>
      </c>
      <c r="J145" s="78">
        <v>100</v>
      </c>
      <c r="K145" s="78">
        <v>100</v>
      </c>
      <c r="L145" s="77">
        <v>0</v>
      </c>
      <c r="M145" s="78">
        <v>100</v>
      </c>
      <c r="N145" s="78">
        <v>100</v>
      </c>
      <c r="O145" s="78">
        <v>100</v>
      </c>
      <c r="P145" s="77">
        <v>0</v>
      </c>
      <c r="Q145" s="77">
        <v>0</v>
      </c>
      <c r="R145" s="77">
        <v>0</v>
      </c>
      <c r="S145" s="77">
        <v>0</v>
      </c>
      <c r="T145" s="77">
        <v>0</v>
      </c>
      <c r="U145" s="77">
        <v>0</v>
      </c>
      <c r="V145" s="77">
        <v>0</v>
      </c>
      <c r="W145" s="77">
        <v>0</v>
      </c>
      <c r="X145" s="77">
        <v>0</v>
      </c>
      <c r="Y145" s="77">
        <v>0</v>
      </c>
      <c r="Z145" s="77">
        <v>0</v>
      </c>
    </row>
    <row r="146" spans="1:26" s="79" customFormat="1" ht="28.5" customHeight="1" x14ac:dyDescent="0.25">
      <c r="A146" s="74" t="s">
        <v>81</v>
      </c>
      <c r="B146" s="75" t="s">
        <v>40</v>
      </c>
      <c r="C146" s="75" t="s">
        <v>82</v>
      </c>
      <c r="D146" s="76" t="s">
        <v>120</v>
      </c>
      <c r="E146" s="76" t="s">
        <v>511</v>
      </c>
      <c r="F146" s="76" t="s">
        <v>512</v>
      </c>
      <c r="G146" s="77">
        <v>620</v>
      </c>
      <c r="H146" s="77">
        <v>649</v>
      </c>
      <c r="I146" s="78">
        <v>549</v>
      </c>
      <c r="J146" s="78">
        <v>549</v>
      </c>
      <c r="K146" s="78">
        <v>549</v>
      </c>
      <c r="L146" s="77">
        <v>0</v>
      </c>
      <c r="M146" s="78">
        <v>549</v>
      </c>
      <c r="N146" s="78">
        <v>549</v>
      </c>
      <c r="O146" s="78">
        <v>549</v>
      </c>
      <c r="P146" s="77">
        <v>0</v>
      </c>
      <c r="Q146" s="77">
        <v>549</v>
      </c>
      <c r="R146" s="77">
        <v>289</v>
      </c>
      <c r="S146" s="77">
        <v>149</v>
      </c>
      <c r="T146" s="77">
        <v>49</v>
      </c>
      <c r="U146" s="77">
        <v>0</v>
      </c>
      <c r="V146" s="77">
        <v>549</v>
      </c>
      <c r="W146" s="77">
        <v>289</v>
      </c>
      <c r="X146" s="77">
        <v>149</v>
      </c>
      <c r="Y146" s="77">
        <v>49</v>
      </c>
      <c r="Z146" s="77">
        <v>0</v>
      </c>
    </row>
    <row r="147" spans="1:26" s="79" customFormat="1" ht="28.5" customHeight="1" x14ac:dyDescent="0.25">
      <c r="A147" s="74" t="s">
        <v>81</v>
      </c>
      <c r="B147" s="75" t="s">
        <v>40</v>
      </c>
      <c r="C147" s="75" t="s">
        <v>82</v>
      </c>
      <c r="D147" s="76" t="s">
        <v>120</v>
      </c>
      <c r="E147" s="76" t="s">
        <v>513</v>
      </c>
      <c r="F147" s="76" t="s">
        <v>512</v>
      </c>
      <c r="G147" s="77">
        <v>620</v>
      </c>
      <c r="H147" s="77">
        <v>649</v>
      </c>
      <c r="I147" s="78">
        <v>549</v>
      </c>
      <c r="J147" s="78">
        <v>549</v>
      </c>
      <c r="K147" s="78">
        <v>549</v>
      </c>
      <c r="L147" s="77">
        <v>0</v>
      </c>
      <c r="M147" s="78">
        <v>549</v>
      </c>
      <c r="N147" s="78">
        <v>549</v>
      </c>
      <c r="O147" s="78">
        <v>549</v>
      </c>
      <c r="P147" s="77">
        <v>0</v>
      </c>
      <c r="Q147" s="77">
        <v>549</v>
      </c>
      <c r="R147" s="77">
        <v>289</v>
      </c>
      <c r="S147" s="77">
        <v>149</v>
      </c>
      <c r="T147" s="77">
        <v>49</v>
      </c>
      <c r="U147" s="77">
        <v>0</v>
      </c>
      <c r="V147" s="77">
        <v>549</v>
      </c>
      <c r="W147" s="77">
        <v>289</v>
      </c>
      <c r="X147" s="77">
        <v>149</v>
      </c>
      <c r="Y147" s="77">
        <v>49</v>
      </c>
      <c r="Z147" s="77">
        <v>0</v>
      </c>
    </row>
    <row r="148" spans="1:26" s="79" customFormat="1" ht="28.5" customHeight="1" x14ac:dyDescent="0.25">
      <c r="A148" s="74" t="s">
        <v>81</v>
      </c>
      <c r="B148" s="75" t="s">
        <v>40</v>
      </c>
      <c r="C148" s="75" t="s">
        <v>82</v>
      </c>
      <c r="D148" s="76" t="s">
        <v>120</v>
      </c>
      <c r="E148" s="76" t="s">
        <v>514</v>
      </c>
      <c r="F148" s="76" t="s">
        <v>512</v>
      </c>
      <c r="G148" s="77">
        <v>620</v>
      </c>
      <c r="H148" s="77">
        <v>649</v>
      </c>
      <c r="I148" s="78">
        <v>549</v>
      </c>
      <c r="J148" s="78">
        <v>549</v>
      </c>
      <c r="K148" s="78">
        <v>549</v>
      </c>
      <c r="L148" s="77">
        <v>0</v>
      </c>
      <c r="M148" s="78">
        <v>549</v>
      </c>
      <c r="N148" s="78">
        <v>549</v>
      </c>
      <c r="O148" s="78">
        <v>549</v>
      </c>
      <c r="P148" s="77">
        <v>0</v>
      </c>
      <c r="Q148" s="77">
        <v>549</v>
      </c>
      <c r="R148" s="77">
        <v>289</v>
      </c>
      <c r="S148" s="77">
        <v>149</v>
      </c>
      <c r="T148" s="77">
        <v>49</v>
      </c>
      <c r="U148" s="77">
        <v>0</v>
      </c>
      <c r="V148" s="77">
        <v>549</v>
      </c>
      <c r="W148" s="77">
        <v>289</v>
      </c>
      <c r="X148" s="77">
        <v>149</v>
      </c>
      <c r="Y148" s="77">
        <v>49</v>
      </c>
      <c r="Z148" s="77">
        <v>0</v>
      </c>
    </row>
    <row r="149" spans="1:26" s="79" customFormat="1" ht="28.5" customHeight="1" x14ac:dyDescent="0.25">
      <c r="A149" s="74" t="s">
        <v>81</v>
      </c>
      <c r="B149" s="75" t="s">
        <v>40</v>
      </c>
      <c r="C149" s="75" t="s">
        <v>82</v>
      </c>
      <c r="D149" s="76" t="s">
        <v>120</v>
      </c>
      <c r="E149" s="76" t="s">
        <v>515</v>
      </c>
      <c r="F149" s="76" t="s">
        <v>516</v>
      </c>
      <c r="G149" s="77">
        <v>700</v>
      </c>
      <c r="H149" s="77">
        <v>749</v>
      </c>
      <c r="I149" s="78">
        <v>649</v>
      </c>
      <c r="J149" s="78">
        <v>649</v>
      </c>
      <c r="K149" s="78">
        <v>649</v>
      </c>
      <c r="L149" s="77">
        <v>299</v>
      </c>
      <c r="M149" s="78">
        <v>649</v>
      </c>
      <c r="N149" s="78">
        <v>649</v>
      </c>
      <c r="O149" s="78">
        <v>649</v>
      </c>
      <c r="P149" s="77">
        <v>299</v>
      </c>
      <c r="Q149" s="77">
        <v>649</v>
      </c>
      <c r="R149" s="77">
        <v>389</v>
      </c>
      <c r="S149" s="77">
        <v>249</v>
      </c>
      <c r="T149" s="77">
        <v>149</v>
      </c>
      <c r="U149" s="77">
        <v>49</v>
      </c>
      <c r="V149" s="77">
        <v>649</v>
      </c>
      <c r="W149" s="77">
        <v>389</v>
      </c>
      <c r="X149" s="77">
        <v>249</v>
      </c>
      <c r="Y149" s="77">
        <v>149</v>
      </c>
      <c r="Z149" s="77">
        <v>49</v>
      </c>
    </row>
    <row r="150" spans="1:26" s="79" customFormat="1" ht="28.5" customHeight="1" x14ac:dyDescent="0.25">
      <c r="A150" s="74" t="s">
        <v>81</v>
      </c>
      <c r="B150" s="75" t="s">
        <v>40</v>
      </c>
      <c r="C150" s="75" t="s">
        <v>82</v>
      </c>
      <c r="D150" s="76" t="s">
        <v>120</v>
      </c>
      <c r="E150" s="76" t="s">
        <v>517</v>
      </c>
      <c r="F150" s="76" t="s">
        <v>518</v>
      </c>
      <c r="G150" s="77">
        <v>330</v>
      </c>
      <c r="H150" s="77">
        <v>349</v>
      </c>
      <c r="I150" s="78">
        <v>299</v>
      </c>
      <c r="J150" s="78">
        <v>299</v>
      </c>
      <c r="K150" s="78">
        <v>299</v>
      </c>
      <c r="L150" s="77">
        <v>49</v>
      </c>
      <c r="M150" s="78">
        <v>299</v>
      </c>
      <c r="N150" s="78">
        <v>299</v>
      </c>
      <c r="O150" s="78">
        <v>299</v>
      </c>
      <c r="P150" s="77">
        <v>49</v>
      </c>
      <c r="Q150" s="77">
        <v>249</v>
      </c>
      <c r="R150" s="77">
        <v>0</v>
      </c>
      <c r="S150" s="77">
        <v>0</v>
      </c>
      <c r="T150" s="77">
        <v>0</v>
      </c>
      <c r="U150" s="77">
        <v>0</v>
      </c>
      <c r="V150" s="77">
        <v>249</v>
      </c>
      <c r="W150" s="77">
        <v>0</v>
      </c>
      <c r="X150" s="77">
        <v>0</v>
      </c>
      <c r="Y150" s="77">
        <v>0</v>
      </c>
      <c r="Z150" s="77">
        <v>0</v>
      </c>
    </row>
    <row r="151" spans="1:26" s="79" customFormat="1" ht="28.5" customHeight="1" x14ac:dyDescent="0.25">
      <c r="A151" s="80" t="s">
        <v>84</v>
      </c>
      <c r="B151" s="81" t="s">
        <v>40</v>
      </c>
      <c r="C151" s="81" t="s">
        <v>82</v>
      </c>
      <c r="D151" s="82" t="s">
        <v>120</v>
      </c>
      <c r="E151" s="82" t="s">
        <v>519</v>
      </c>
      <c r="F151" s="82" t="s">
        <v>520</v>
      </c>
      <c r="G151" s="83">
        <v>399</v>
      </c>
      <c r="H151" s="83">
        <v>499</v>
      </c>
      <c r="I151" s="84">
        <v>399</v>
      </c>
      <c r="J151" s="84">
        <v>399</v>
      </c>
      <c r="K151" s="84">
        <v>399</v>
      </c>
      <c r="L151" s="83">
        <v>0</v>
      </c>
      <c r="M151" s="84">
        <v>399</v>
      </c>
      <c r="N151" s="84">
        <v>399</v>
      </c>
      <c r="O151" s="84">
        <v>399</v>
      </c>
      <c r="P151" s="83">
        <v>0</v>
      </c>
      <c r="Q151" s="83">
        <v>399</v>
      </c>
      <c r="R151" s="83">
        <v>139</v>
      </c>
      <c r="S151" s="83">
        <v>0</v>
      </c>
      <c r="T151" s="83">
        <v>0</v>
      </c>
      <c r="U151" s="83">
        <v>0</v>
      </c>
      <c r="V151" s="83">
        <v>399</v>
      </c>
      <c r="W151" s="83">
        <v>139</v>
      </c>
      <c r="X151" s="83">
        <v>0</v>
      </c>
      <c r="Y151" s="83">
        <v>0</v>
      </c>
      <c r="Z151" s="83">
        <v>0</v>
      </c>
    </row>
    <row r="152" spans="1:26" s="79" customFormat="1" ht="28.5" customHeight="1" x14ac:dyDescent="0.25">
      <c r="A152" s="80" t="s">
        <v>84</v>
      </c>
      <c r="B152" s="81" t="s">
        <v>40</v>
      </c>
      <c r="C152" s="81" t="s">
        <v>82</v>
      </c>
      <c r="D152" s="82" t="s">
        <v>120</v>
      </c>
      <c r="E152" s="82" t="s">
        <v>521</v>
      </c>
      <c r="F152" s="82" t="s">
        <v>522</v>
      </c>
      <c r="G152" s="83">
        <v>649</v>
      </c>
      <c r="H152" s="83">
        <v>749</v>
      </c>
      <c r="I152" s="84">
        <v>649</v>
      </c>
      <c r="J152" s="84">
        <v>649</v>
      </c>
      <c r="K152" s="84">
        <v>649</v>
      </c>
      <c r="L152" s="83">
        <v>249</v>
      </c>
      <c r="M152" s="84">
        <v>649</v>
      </c>
      <c r="N152" s="84">
        <v>649</v>
      </c>
      <c r="O152" s="84">
        <v>649</v>
      </c>
      <c r="P152" s="83">
        <v>249</v>
      </c>
      <c r="Q152" s="83">
        <v>649</v>
      </c>
      <c r="R152" s="83">
        <v>389</v>
      </c>
      <c r="S152" s="83">
        <v>249</v>
      </c>
      <c r="T152" s="83">
        <v>149</v>
      </c>
      <c r="U152" s="83">
        <v>49</v>
      </c>
      <c r="V152" s="83">
        <v>649</v>
      </c>
      <c r="W152" s="83">
        <v>389</v>
      </c>
      <c r="X152" s="83">
        <v>249</v>
      </c>
      <c r="Y152" s="83">
        <v>149</v>
      </c>
      <c r="Z152" s="83">
        <v>49</v>
      </c>
    </row>
    <row r="153" spans="1:26" s="79" customFormat="1" ht="28.5" customHeight="1" x14ac:dyDescent="0.25">
      <c r="A153" s="80" t="s">
        <v>84</v>
      </c>
      <c r="B153" s="81" t="s">
        <v>40</v>
      </c>
      <c r="C153" s="81" t="s">
        <v>82</v>
      </c>
      <c r="D153" s="82" t="s">
        <v>120</v>
      </c>
      <c r="E153" s="82" t="s">
        <v>523</v>
      </c>
      <c r="F153" s="82" t="s">
        <v>524</v>
      </c>
      <c r="G153" s="83">
        <v>899</v>
      </c>
      <c r="H153" s="83">
        <v>999</v>
      </c>
      <c r="I153" s="84">
        <v>899</v>
      </c>
      <c r="J153" s="84">
        <v>899</v>
      </c>
      <c r="K153" s="84">
        <v>899</v>
      </c>
      <c r="L153" s="83">
        <v>499</v>
      </c>
      <c r="M153" s="84">
        <v>899</v>
      </c>
      <c r="N153" s="84">
        <v>899</v>
      </c>
      <c r="O153" s="84">
        <v>899</v>
      </c>
      <c r="P153" s="83">
        <v>499</v>
      </c>
      <c r="Q153" s="83">
        <v>899</v>
      </c>
      <c r="R153" s="83">
        <v>639</v>
      </c>
      <c r="S153" s="83">
        <v>499</v>
      </c>
      <c r="T153" s="83">
        <v>399</v>
      </c>
      <c r="U153" s="83">
        <v>299</v>
      </c>
      <c r="V153" s="83">
        <v>899</v>
      </c>
      <c r="W153" s="83">
        <v>639</v>
      </c>
      <c r="X153" s="83">
        <v>499</v>
      </c>
      <c r="Y153" s="83">
        <v>399</v>
      </c>
      <c r="Z153" s="83">
        <v>299</v>
      </c>
    </row>
    <row r="154" spans="1:26" s="79" customFormat="1" ht="28.5" customHeight="1" x14ac:dyDescent="0.25">
      <c r="A154" s="80" t="s">
        <v>84</v>
      </c>
      <c r="B154" s="81" t="s">
        <v>40</v>
      </c>
      <c r="C154" s="81" t="s">
        <v>82</v>
      </c>
      <c r="D154" s="82" t="s">
        <v>120</v>
      </c>
      <c r="E154" s="82" t="s">
        <v>525</v>
      </c>
      <c r="F154" s="82" t="s">
        <v>526</v>
      </c>
      <c r="G154" s="83">
        <v>0</v>
      </c>
      <c r="H154" s="83">
        <v>0</v>
      </c>
      <c r="I154" s="84" t="s">
        <v>40</v>
      </c>
      <c r="J154" s="84" t="s">
        <v>40</v>
      </c>
      <c r="K154" s="84" t="s">
        <v>40</v>
      </c>
      <c r="L154" s="84" t="s">
        <v>40</v>
      </c>
      <c r="M154" s="84" t="s">
        <v>40</v>
      </c>
      <c r="N154" s="84" t="s">
        <v>40</v>
      </c>
      <c r="O154" s="84" t="s">
        <v>40</v>
      </c>
      <c r="P154" s="84" t="s">
        <v>40</v>
      </c>
      <c r="Q154" s="84" t="s">
        <v>40</v>
      </c>
      <c r="R154" s="84" t="s">
        <v>40</v>
      </c>
      <c r="S154" s="84" t="s">
        <v>40</v>
      </c>
      <c r="T154" s="84" t="s">
        <v>40</v>
      </c>
      <c r="U154" s="84" t="s">
        <v>40</v>
      </c>
      <c r="V154" s="84" t="s">
        <v>40</v>
      </c>
      <c r="W154" s="84" t="s">
        <v>40</v>
      </c>
      <c r="X154" s="84" t="s">
        <v>40</v>
      </c>
      <c r="Y154" s="84" t="s">
        <v>40</v>
      </c>
      <c r="Z154" s="84" t="s">
        <v>40</v>
      </c>
    </row>
    <row r="155" spans="1:26" s="79" customFormat="1" ht="28.5" customHeight="1" x14ac:dyDescent="0.25">
      <c r="A155" s="74" t="s">
        <v>81</v>
      </c>
      <c r="B155" s="75" t="s">
        <v>40</v>
      </c>
      <c r="C155" s="75" t="s">
        <v>82</v>
      </c>
      <c r="D155" s="76" t="s">
        <v>125</v>
      </c>
      <c r="E155" s="76" t="s">
        <v>126</v>
      </c>
      <c r="F155" s="76" t="s">
        <v>127</v>
      </c>
      <c r="G155" s="77">
        <v>380</v>
      </c>
      <c r="H155" s="77">
        <v>399</v>
      </c>
      <c r="I155" s="77">
        <v>299</v>
      </c>
      <c r="J155" s="77">
        <v>299</v>
      </c>
      <c r="K155" s="77">
        <v>299</v>
      </c>
      <c r="L155" s="77">
        <v>0</v>
      </c>
      <c r="M155" s="77">
        <v>299</v>
      </c>
      <c r="N155" s="77">
        <v>299</v>
      </c>
      <c r="O155" s="77">
        <v>299</v>
      </c>
      <c r="P155" s="77">
        <v>0</v>
      </c>
      <c r="Q155" s="77">
        <v>299</v>
      </c>
      <c r="R155" s="77">
        <v>39</v>
      </c>
      <c r="S155" s="77">
        <v>0</v>
      </c>
      <c r="T155" s="77">
        <v>0</v>
      </c>
      <c r="U155" s="77">
        <v>0</v>
      </c>
      <c r="V155" s="77">
        <v>299</v>
      </c>
      <c r="W155" s="77">
        <v>39</v>
      </c>
      <c r="X155" s="77">
        <v>0</v>
      </c>
      <c r="Y155" s="77">
        <v>0</v>
      </c>
      <c r="Z155" s="77">
        <v>0</v>
      </c>
    </row>
    <row r="156" spans="1:26" s="79" customFormat="1" ht="28.5" customHeight="1" x14ac:dyDescent="0.25">
      <c r="A156" s="74" t="s">
        <v>81</v>
      </c>
      <c r="B156" s="75" t="s">
        <v>40</v>
      </c>
      <c r="C156" s="75" t="s">
        <v>105</v>
      </c>
      <c r="D156" s="76" t="s">
        <v>125</v>
      </c>
      <c r="E156" s="76" t="s">
        <v>128</v>
      </c>
      <c r="F156" s="76" t="s">
        <v>129</v>
      </c>
      <c r="G156" s="77">
        <v>240</v>
      </c>
      <c r="H156" s="77">
        <v>240</v>
      </c>
      <c r="I156" s="78" t="s">
        <v>40</v>
      </c>
      <c r="J156" s="78" t="s">
        <v>40</v>
      </c>
      <c r="K156" s="78" t="s">
        <v>40</v>
      </c>
      <c r="L156" s="78" t="s">
        <v>40</v>
      </c>
      <c r="M156" s="78" t="s">
        <v>40</v>
      </c>
      <c r="N156" s="78" t="s">
        <v>40</v>
      </c>
      <c r="O156" s="78" t="s">
        <v>40</v>
      </c>
      <c r="P156" s="78" t="s">
        <v>40</v>
      </c>
      <c r="Q156" s="78" t="s">
        <v>40</v>
      </c>
      <c r="R156" s="78" t="s">
        <v>40</v>
      </c>
      <c r="S156" s="78" t="s">
        <v>40</v>
      </c>
      <c r="T156" s="78" t="s">
        <v>40</v>
      </c>
      <c r="U156" s="78" t="s">
        <v>40</v>
      </c>
      <c r="V156" s="78" t="s">
        <v>40</v>
      </c>
      <c r="W156" s="78" t="s">
        <v>40</v>
      </c>
      <c r="X156" s="78" t="s">
        <v>40</v>
      </c>
      <c r="Y156" s="78" t="s">
        <v>40</v>
      </c>
      <c r="Z156" s="78" t="s">
        <v>40</v>
      </c>
    </row>
    <row r="157" spans="1:26" s="79" customFormat="1" ht="28.5" customHeight="1" x14ac:dyDescent="0.25">
      <c r="A157" s="74" t="s">
        <v>84</v>
      </c>
      <c r="B157" s="75" t="s">
        <v>40</v>
      </c>
      <c r="C157" s="75" t="s">
        <v>82</v>
      </c>
      <c r="D157" s="76" t="s">
        <v>125</v>
      </c>
      <c r="E157" s="76" t="s">
        <v>130</v>
      </c>
      <c r="F157" s="76" t="s">
        <v>131</v>
      </c>
      <c r="G157" s="77">
        <v>479</v>
      </c>
      <c r="H157" s="77">
        <v>499</v>
      </c>
      <c r="I157" s="78">
        <v>399</v>
      </c>
      <c r="J157" s="78">
        <v>399</v>
      </c>
      <c r="K157" s="78">
        <v>399</v>
      </c>
      <c r="L157" s="78">
        <v>49</v>
      </c>
      <c r="M157" s="78">
        <v>399</v>
      </c>
      <c r="N157" s="78">
        <v>399</v>
      </c>
      <c r="O157" s="78">
        <v>399</v>
      </c>
      <c r="P157" s="78">
        <v>49</v>
      </c>
      <c r="Q157" s="77">
        <v>399</v>
      </c>
      <c r="R157" s="77">
        <v>139</v>
      </c>
      <c r="S157" s="77">
        <v>0</v>
      </c>
      <c r="T157" s="77">
        <v>0</v>
      </c>
      <c r="U157" s="77">
        <v>0</v>
      </c>
      <c r="V157" s="77">
        <v>399</v>
      </c>
      <c r="W157" s="77">
        <v>139</v>
      </c>
      <c r="X157" s="77">
        <v>0</v>
      </c>
      <c r="Y157" s="77">
        <v>0</v>
      </c>
      <c r="Z157" s="77">
        <v>0</v>
      </c>
    </row>
    <row r="158" spans="1:26" s="79" customFormat="1" ht="28.5" customHeight="1" x14ac:dyDescent="0.25">
      <c r="A158" s="74" t="s">
        <v>81</v>
      </c>
      <c r="B158" s="75" t="s">
        <v>40</v>
      </c>
      <c r="C158" s="75" t="s">
        <v>82</v>
      </c>
      <c r="D158" s="76" t="s">
        <v>125</v>
      </c>
      <c r="E158" s="76" t="s">
        <v>132</v>
      </c>
      <c r="F158" s="76" t="s">
        <v>131</v>
      </c>
      <c r="G158" s="77">
        <v>479</v>
      </c>
      <c r="H158" s="77">
        <v>499</v>
      </c>
      <c r="I158" s="78">
        <v>399</v>
      </c>
      <c r="J158" s="78">
        <v>399</v>
      </c>
      <c r="K158" s="78">
        <v>399</v>
      </c>
      <c r="L158" s="78">
        <v>49</v>
      </c>
      <c r="M158" s="78">
        <v>399</v>
      </c>
      <c r="N158" s="78">
        <v>399</v>
      </c>
      <c r="O158" s="78">
        <v>399</v>
      </c>
      <c r="P158" s="78">
        <v>49</v>
      </c>
      <c r="Q158" s="77">
        <v>399</v>
      </c>
      <c r="R158" s="77">
        <v>139</v>
      </c>
      <c r="S158" s="77">
        <v>0</v>
      </c>
      <c r="T158" s="77">
        <v>0</v>
      </c>
      <c r="U158" s="77">
        <v>0</v>
      </c>
      <c r="V158" s="77">
        <v>399</v>
      </c>
      <c r="W158" s="77">
        <v>139</v>
      </c>
      <c r="X158" s="77">
        <v>0</v>
      </c>
      <c r="Y158" s="77">
        <v>0</v>
      </c>
      <c r="Z158" s="77">
        <v>0</v>
      </c>
    </row>
    <row r="159" spans="1:26" s="79" customFormat="1" ht="28.5" customHeight="1" x14ac:dyDescent="0.25">
      <c r="A159" s="74" t="s">
        <v>84</v>
      </c>
      <c r="B159" s="75" t="s">
        <v>40</v>
      </c>
      <c r="C159" s="75" t="s">
        <v>82</v>
      </c>
      <c r="D159" s="76" t="s">
        <v>125</v>
      </c>
      <c r="E159" s="76" t="s">
        <v>527</v>
      </c>
      <c r="F159" s="76" t="s">
        <v>321</v>
      </c>
      <c r="G159" s="77">
        <v>870</v>
      </c>
      <c r="H159" s="77">
        <v>900</v>
      </c>
      <c r="I159" s="78">
        <v>800</v>
      </c>
      <c r="J159" s="78">
        <v>800</v>
      </c>
      <c r="K159" s="78">
        <v>800</v>
      </c>
      <c r="L159" s="78">
        <v>399</v>
      </c>
      <c r="M159" s="78">
        <v>800</v>
      </c>
      <c r="N159" s="78">
        <v>800</v>
      </c>
      <c r="O159" s="78">
        <v>800</v>
      </c>
      <c r="P159" s="78">
        <v>399</v>
      </c>
      <c r="Q159" s="77">
        <v>800</v>
      </c>
      <c r="R159" s="77">
        <v>540</v>
      </c>
      <c r="S159" s="77">
        <v>400</v>
      </c>
      <c r="T159" s="77">
        <v>300</v>
      </c>
      <c r="U159" s="77">
        <v>200</v>
      </c>
      <c r="V159" s="77">
        <v>800</v>
      </c>
      <c r="W159" s="77">
        <v>540</v>
      </c>
      <c r="X159" s="77">
        <v>400</v>
      </c>
      <c r="Y159" s="77">
        <v>300</v>
      </c>
      <c r="Z159" s="77">
        <v>200</v>
      </c>
    </row>
    <row r="160" spans="1:26" s="79" customFormat="1" ht="28.5" customHeight="1" x14ac:dyDescent="0.25">
      <c r="A160" s="74" t="s">
        <v>84</v>
      </c>
      <c r="B160" s="75" t="s">
        <v>40</v>
      </c>
      <c r="C160" s="75" t="s">
        <v>82</v>
      </c>
      <c r="D160" s="76" t="s">
        <v>125</v>
      </c>
      <c r="E160" s="76" t="s">
        <v>528</v>
      </c>
      <c r="F160" s="76" t="s">
        <v>321</v>
      </c>
      <c r="G160" s="77">
        <v>870</v>
      </c>
      <c r="H160" s="77">
        <v>900</v>
      </c>
      <c r="I160" s="78">
        <v>800</v>
      </c>
      <c r="J160" s="78">
        <v>800</v>
      </c>
      <c r="K160" s="78">
        <v>800</v>
      </c>
      <c r="L160" s="78">
        <v>399</v>
      </c>
      <c r="M160" s="78">
        <v>800</v>
      </c>
      <c r="N160" s="78">
        <v>800</v>
      </c>
      <c r="O160" s="78">
        <v>800</v>
      </c>
      <c r="P160" s="78">
        <v>399</v>
      </c>
      <c r="Q160" s="77">
        <v>800</v>
      </c>
      <c r="R160" s="77">
        <v>540</v>
      </c>
      <c r="S160" s="77">
        <v>400</v>
      </c>
      <c r="T160" s="77">
        <v>300</v>
      </c>
      <c r="U160" s="77">
        <v>200</v>
      </c>
      <c r="V160" s="77">
        <v>800</v>
      </c>
      <c r="W160" s="77">
        <v>540</v>
      </c>
      <c r="X160" s="77">
        <v>400</v>
      </c>
      <c r="Y160" s="77">
        <v>300</v>
      </c>
      <c r="Z160" s="77">
        <v>200</v>
      </c>
    </row>
    <row r="161" spans="1:26" s="79" customFormat="1" ht="28.5" customHeight="1" x14ac:dyDescent="0.25">
      <c r="A161" s="74" t="s">
        <v>81</v>
      </c>
      <c r="B161" s="75">
        <v>43282</v>
      </c>
      <c r="C161" s="75" t="s">
        <v>82</v>
      </c>
      <c r="D161" s="76" t="s">
        <v>125</v>
      </c>
      <c r="E161" s="76" t="s">
        <v>529</v>
      </c>
      <c r="F161" s="76" t="s">
        <v>318</v>
      </c>
      <c r="G161" s="77">
        <v>70</v>
      </c>
      <c r="H161" s="77">
        <v>100</v>
      </c>
      <c r="I161" s="78">
        <v>0</v>
      </c>
      <c r="J161" s="78">
        <v>0</v>
      </c>
      <c r="K161" s="78">
        <v>0</v>
      </c>
      <c r="L161" s="78">
        <v>0</v>
      </c>
      <c r="M161" s="78">
        <v>0</v>
      </c>
      <c r="N161" s="78">
        <v>0</v>
      </c>
      <c r="O161" s="78">
        <v>0</v>
      </c>
      <c r="P161" s="78">
        <v>0</v>
      </c>
      <c r="Q161" s="77">
        <v>0</v>
      </c>
      <c r="R161" s="77">
        <v>0</v>
      </c>
      <c r="S161" s="77">
        <v>0</v>
      </c>
      <c r="T161" s="77">
        <v>0</v>
      </c>
      <c r="U161" s="77">
        <v>0</v>
      </c>
      <c r="V161" s="77">
        <v>0</v>
      </c>
      <c r="W161" s="77">
        <v>0</v>
      </c>
      <c r="X161" s="77">
        <v>0</v>
      </c>
      <c r="Y161" s="77">
        <v>0</v>
      </c>
      <c r="Z161" s="77">
        <v>0</v>
      </c>
    </row>
    <row r="162" spans="1:26" s="79" customFormat="1" ht="28.5" customHeight="1" x14ac:dyDescent="0.25">
      <c r="A162" s="74" t="s">
        <v>84</v>
      </c>
      <c r="B162" s="75" t="s">
        <v>40</v>
      </c>
      <c r="C162" s="75" t="s">
        <v>82</v>
      </c>
      <c r="D162" s="76" t="s">
        <v>125</v>
      </c>
      <c r="E162" s="76" t="s">
        <v>530</v>
      </c>
      <c r="F162" s="76" t="s">
        <v>531</v>
      </c>
      <c r="G162" s="77">
        <v>110</v>
      </c>
      <c r="H162" s="77">
        <v>120</v>
      </c>
      <c r="I162" s="78">
        <v>20</v>
      </c>
      <c r="J162" s="78">
        <v>20</v>
      </c>
      <c r="K162" s="78">
        <v>20</v>
      </c>
      <c r="L162" s="78">
        <v>0</v>
      </c>
      <c r="M162" s="78">
        <v>20</v>
      </c>
      <c r="N162" s="78">
        <v>20</v>
      </c>
      <c r="O162" s="78">
        <v>20</v>
      </c>
      <c r="P162" s="78">
        <v>0</v>
      </c>
      <c r="Q162" s="77">
        <v>20</v>
      </c>
      <c r="R162" s="77">
        <v>0</v>
      </c>
      <c r="S162" s="77">
        <v>0</v>
      </c>
      <c r="T162" s="77">
        <v>0</v>
      </c>
      <c r="U162" s="77">
        <v>0</v>
      </c>
      <c r="V162" s="77">
        <v>20</v>
      </c>
      <c r="W162" s="77">
        <v>0</v>
      </c>
      <c r="X162" s="77">
        <v>0</v>
      </c>
      <c r="Y162" s="77">
        <v>0</v>
      </c>
      <c r="Z162" s="77">
        <v>0</v>
      </c>
    </row>
    <row r="163" spans="1:26" s="79" customFormat="1" ht="28.5" customHeight="1" x14ac:dyDescent="0.25">
      <c r="A163" s="74" t="s">
        <v>81</v>
      </c>
      <c r="B163" s="75" t="s">
        <v>40</v>
      </c>
      <c r="C163" s="75" t="s">
        <v>82</v>
      </c>
      <c r="D163" s="76" t="s">
        <v>125</v>
      </c>
      <c r="E163" s="76" t="s">
        <v>532</v>
      </c>
      <c r="F163" s="76" t="s">
        <v>320</v>
      </c>
      <c r="G163" s="77">
        <v>979</v>
      </c>
      <c r="H163" s="77">
        <v>999</v>
      </c>
      <c r="I163" s="78">
        <v>899</v>
      </c>
      <c r="J163" s="78">
        <v>899</v>
      </c>
      <c r="K163" s="78">
        <v>899</v>
      </c>
      <c r="L163" s="78">
        <v>499</v>
      </c>
      <c r="M163" s="78">
        <v>899</v>
      </c>
      <c r="N163" s="78">
        <v>899</v>
      </c>
      <c r="O163" s="78">
        <v>899</v>
      </c>
      <c r="P163" s="78">
        <v>499</v>
      </c>
      <c r="Q163" s="77">
        <v>899</v>
      </c>
      <c r="R163" s="77">
        <v>639</v>
      </c>
      <c r="S163" s="77">
        <v>499</v>
      </c>
      <c r="T163" s="77">
        <v>399</v>
      </c>
      <c r="U163" s="77">
        <v>299</v>
      </c>
      <c r="V163" s="77">
        <v>899</v>
      </c>
      <c r="W163" s="77">
        <v>639</v>
      </c>
      <c r="X163" s="77">
        <v>499</v>
      </c>
      <c r="Y163" s="77">
        <v>399</v>
      </c>
      <c r="Z163" s="77">
        <v>299</v>
      </c>
    </row>
    <row r="164" spans="1:26" s="79" customFormat="1" ht="28.5" customHeight="1" x14ac:dyDescent="0.25">
      <c r="A164" s="74" t="s">
        <v>84</v>
      </c>
      <c r="B164" s="75" t="s">
        <v>40</v>
      </c>
      <c r="C164" s="75" t="s">
        <v>82</v>
      </c>
      <c r="D164" s="76" t="s">
        <v>125</v>
      </c>
      <c r="E164" s="76" t="s">
        <v>134</v>
      </c>
      <c r="F164" s="76" t="s">
        <v>135</v>
      </c>
      <c r="G164" s="77">
        <v>360</v>
      </c>
      <c r="H164" s="77">
        <v>359.99</v>
      </c>
      <c r="I164" s="78">
        <v>174.99</v>
      </c>
      <c r="J164" s="78">
        <v>174.99</v>
      </c>
      <c r="K164" s="78">
        <v>174.99</v>
      </c>
      <c r="L164" s="78">
        <v>0</v>
      </c>
      <c r="M164" s="78">
        <v>174.99</v>
      </c>
      <c r="N164" s="78">
        <v>174.99</v>
      </c>
      <c r="O164" s="78">
        <v>174.99</v>
      </c>
      <c r="P164" s="78">
        <v>0</v>
      </c>
      <c r="Q164" s="77">
        <v>259.99</v>
      </c>
      <c r="R164" s="77">
        <v>0</v>
      </c>
      <c r="S164" s="77">
        <v>0</v>
      </c>
      <c r="T164" s="77">
        <v>0</v>
      </c>
      <c r="U164" s="77">
        <v>0</v>
      </c>
      <c r="V164" s="77">
        <v>259.99</v>
      </c>
      <c r="W164" s="77">
        <v>0</v>
      </c>
      <c r="X164" s="77">
        <v>0</v>
      </c>
      <c r="Y164" s="77">
        <v>0</v>
      </c>
      <c r="Z164" s="77">
        <v>0</v>
      </c>
    </row>
    <row r="165" spans="1:26" s="79" customFormat="1" ht="28.5" customHeight="1" x14ac:dyDescent="0.25">
      <c r="A165" s="74" t="s">
        <v>84</v>
      </c>
      <c r="B165" s="75" t="s">
        <v>40</v>
      </c>
      <c r="C165" s="75" t="s">
        <v>82</v>
      </c>
      <c r="D165" s="76" t="s">
        <v>125</v>
      </c>
      <c r="E165" s="76" t="s">
        <v>136</v>
      </c>
      <c r="F165" s="76" t="s">
        <v>133</v>
      </c>
      <c r="G165" s="77">
        <v>360</v>
      </c>
      <c r="H165" s="77">
        <v>359.99</v>
      </c>
      <c r="I165" s="78">
        <v>174.99</v>
      </c>
      <c r="J165" s="78">
        <v>174.99</v>
      </c>
      <c r="K165" s="78">
        <v>174.99</v>
      </c>
      <c r="L165" s="78">
        <v>0</v>
      </c>
      <c r="M165" s="78">
        <v>174.99</v>
      </c>
      <c r="N165" s="78">
        <v>174.99</v>
      </c>
      <c r="O165" s="78">
        <v>174.99</v>
      </c>
      <c r="P165" s="78">
        <v>0</v>
      </c>
      <c r="Q165" s="77">
        <v>259.99</v>
      </c>
      <c r="R165" s="77">
        <v>0</v>
      </c>
      <c r="S165" s="77">
        <v>0</v>
      </c>
      <c r="T165" s="77">
        <v>0</v>
      </c>
      <c r="U165" s="77">
        <v>0</v>
      </c>
      <c r="V165" s="77">
        <v>259.99</v>
      </c>
      <c r="W165" s="77">
        <v>0</v>
      </c>
      <c r="X165" s="77">
        <v>0</v>
      </c>
      <c r="Y165" s="77">
        <v>0</v>
      </c>
      <c r="Z165" s="77">
        <v>0</v>
      </c>
    </row>
    <row r="166" spans="1:26" s="79" customFormat="1" ht="28.5" customHeight="1" x14ac:dyDescent="0.25">
      <c r="A166" s="74" t="s">
        <v>81</v>
      </c>
      <c r="B166" s="75" t="s">
        <v>40</v>
      </c>
      <c r="C166" s="75" t="s">
        <v>82</v>
      </c>
      <c r="D166" s="76" t="s">
        <v>533</v>
      </c>
      <c r="E166" s="76" t="s">
        <v>534</v>
      </c>
      <c r="F166" s="76" t="s">
        <v>329</v>
      </c>
      <c r="G166" s="77">
        <v>979</v>
      </c>
      <c r="H166" s="77">
        <v>999</v>
      </c>
      <c r="I166" s="78">
        <v>899</v>
      </c>
      <c r="J166" s="78">
        <v>899</v>
      </c>
      <c r="K166" s="78">
        <v>899</v>
      </c>
      <c r="L166" s="78">
        <v>529</v>
      </c>
      <c r="M166" s="78">
        <v>899</v>
      </c>
      <c r="N166" s="78">
        <v>899</v>
      </c>
      <c r="O166" s="78">
        <v>899</v>
      </c>
      <c r="P166" s="78">
        <v>529</v>
      </c>
      <c r="Q166" s="77">
        <v>899</v>
      </c>
      <c r="R166" s="77">
        <v>639</v>
      </c>
      <c r="S166" s="77">
        <v>499</v>
      </c>
      <c r="T166" s="77">
        <v>399</v>
      </c>
      <c r="U166" s="77">
        <v>299</v>
      </c>
      <c r="V166" s="77">
        <v>899</v>
      </c>
      <c r="W166" s="77">
        <v>639</v>
      </c>
      <c r="X166" s="77">
        <v>499</v>
      </c>
      <c r="Y166" s="77">
        <v>399</v>
      </c>
      <c r="Z166" s="77">
        <v>299</v>
      </c>
    </row>
    <row r="167" spans="1:26" s="79" customFormat="1" ht="28.5" customHeight="1" x14ac:dyDescent="0.25">
      <c r="A167" s="74" t="s">
        <v>84</v>
      </c>
      <c r="B167" s="75" t="s">
        <v>40</v>
      </c>
      <c r="C167" s="75" t="s">
        <v>82</v>
      </c>
      <c r="D167" s="76" t="s">
        <v>533</v>
      </c>
      <c r="E167" s="76" t="s">
        <v>535</v>
      </c>
      <c r="F167" s="76" t="s">
        <v>536</v>
      </c>
      <c r="G167" s="77">
        <v>399</v>
      </c>
      <c r="H167" s="77">
        <v>449</v>
      </c>
      <c r="I167" s="78">
        <v>349</v>
      </c>
      <c r="J167" s="78">
        <v>349</v>
      </c>
      <c r="K167" s="78">
        <v>349</v>
      </c>
      <c r="L167" s="78">
        <v>49.99</v>
      </c>
      <c r="M167" s="78">
        <v>349</v>
      </c>
      <c r="N167" s="78">
        <v>349</v>
      </c>
      <c r="O167" s="78">
        <v>349</v>
      </c>
      <c r="P167" s="78">
        <v>49.99</v>
      </c>
      <c r="Q167" s="77">
        <v>349</v>
      </c>
      <c r="R167" s="77">
        <v>89</v>
      </c>
      <c r="S167" s="77">
        <v>0</v>
      </c>
      <c r="T167" s="77">
        <v>0</v>
      </c>
      <c r="U167" s="77">
        <v>0</v>
      </c>
      <c r="V167" s="77">
        <v>349</v>
      </c>
      <c r="W167" s="77">
        <v>89</v>
      </c>
      <c r="X167" s="77">
        <v>0</v>
      </c>
      <c r="Y167" s="77">
        <v>0</v>
      </c>
      <c r="Z167" s="77">
        <v>0</v>
      </c>
    </row>
    <row r="168" spans="1:26" s="79" customFormat="1" ht="28.5" customHeight="1" x14ac:dyDescent="0.25">
      <c r="A168" s="74" t="s">
        <v>81</v>
      </c>
      <c r="B168" s="75">
        <v>43160</v>
      </c>
      <c r="C168" s="75" t="s">
        <v>82</v>
      </c>
      <c r="D168" s="76" t="s">
        <v>137</v>
      </c>
      <c r="E168" s="76" t="s">
        <v>537</v>
      </c>
      <c r="F168" s="76" t="s">
        <v>538</v>
      </c>
      <c r="G168" s="77">
        <v>390</v>
      </c>
      <c r="H168" s="77">
        <v>400</v>
      </c>
      <c r="I168" s="78">
        <v>300</v>
      </c>
      <c r="J168" s="78">
        <v>300</v>
      </c>
      <c r="K168" s="78">
        <v>300</v>
      </c>
      <c r="L168" s="77">
        <v>0</v>
      </c>
      <c r="M168" s="78">
        <v>300</v>
      </c>
      <c r="N168" s="78">
        <v>300</v>
      </c>
      <c r="O168" s="78">
        <v>300</v>
      </c>
      <c r="P168" s="77">
        <v>0</v>
      </c>
      <c r="Q168" s="77">
        <v>300</v>
      </c>
      <c r="R168" s="77">
        <v>40</v>
      </c>
      <c r="S168" s="77">
        <v>0</v>
      </c>
      <c r="T168" s="77">
        <v>0</v>
      </c>
      <c r="U168" s="77">
        <v>0</v>
      </c>
      <c r="V168" s="77">
        <v>300</v>
      </c>
      <c r="W168" s="77">
        <v>40</v>
      </c>
      <c r="X168" s="77">
        <v>0</v>
      </c>
      <c r="Y168" s="77">
        <v>0</v>
      </c>
      <c r="Z168" s="77">
        <v>0</v>
      </c>
    </row>
    <row r="169" spans="1:26" s="79" customFormat="1" ht="28.5" customHeight="1" x14ac:dyDescent="0.25">
      <c r="A169" s="74" t="s">
        <v>81</v>
      </c>
      <c r="B169" s="75">
        <v>43313</v>
      </c>
      <c r="C169" s="75" t="s">
        <v>82</v>
      </c>
      <c r="D169" s="76" t="s">
        <v>137</v>
      </c>
      <c r="E169" s="76" t="s">
        <v>539</v>
      </c>
      <c r="F169" s="76" t="s">
        <v>540</v>
      </c>
      <c r="G169" s="77">
        <v>890</v>
      </c>
      <c r="H169" s="77">
        <v>900</v>
      </c>
      <c r="I169" s="78">
        <v>800</v>
      </c>
      <c r="J169" s="78">
        <v>800</v>
      </c>
      <c r="K169" s="78">
        <v>800</v>
      </c>
      <c r="L169" s="77">
        <v>399.99</v>
      </c>
      <c r="M169" s="78">
        <v>800</v>
      </c>
      <c r="N169" s="78">
        <v>800</v>
      </c>
      <c r="O169" s="78">
        <v>800</v>
      </c>
      <c r="P169" s="77">
        <v>399.99</v>
      </c>
      <c r="Q169" s="77">
        <v>800</v>
      </c>
      <c r="R169" s="77">
        <v>540</v>
      </c>
      <c r="S169" s="77">
        <v>400</v>
      </c>
      <c r="T169" s="77">
        <v>300</v>
      </c>
      <c r="U169" s="77">
        <v>200</v>
      </c>
      <c r="V169" s="77">
        <v>800</v>
      </c>
      <c r="W169" s="77">
        <v>540</v>
      </c>
      <c r="X169" s="77">
        <v>400</v>
      </c>
      <c r="Y169" s="77">
        <v>300</v>
      </c>
      <c r="Z169" s="77">
        <v>200</v>
      </c>
    </row>
    <row r="170" spans="1:26" s="79" customFormat="1" ht="28.5" customHeight="1" x14ac:dyDescent="0.25">
      <c r="A170" s="74" t="s">
        <v>81</v>
      </c>
      <c r="B170" s="75">
        <v>43344</v>
      </c>
      <c r="C170" s="75" t="s">
        <v>82</v>
      </c>
      <c r="D170" s="76" t="s">
        <v>137</v>
      </c>
      <c r="E170" s="76" t="s">
        <v>541</v>
      </c>
      <c r="F170" s="76" t="s">
        <v>542</v>
      </c>
      <c r="G170" s="77">
        <v>640</v>
      </c>
      <c r="H170" s="77">
        <v>650</v>
      </c>
      <c r="I170" s="78">
        <v>550</v>
      </c>
      <c r="J170" s="78">
        <v>550</v>
      </c>
      <c r="K170" s="78">
        <v>550</v>
      </c>
      <c r="L170" s="77">
        <v>149.99</v>
      </c>
      <c r="M170" s="78">
        <v>550</v>
      </c>
      <c r="N170" s="78">
        <v>550</v>
      </c>
      <c r="O170" s="78">
        <v>550</v>
      </c>
      <c r="P170" s="77">
        <v>149.99</v>
      </c>
      <c r="Q170" s="77">
        <v>550</v>
      </c>
      <c r="R170" s="77">
        <v>290</v>
      </c>
      <c r="S170" s="77">
        <v>150</v>
      </c>
      <c r="T170" s="77">
        <v>50</v>
      </c>
      <c r="U170" s="77">
        <v>0</v>
      </c>
      <c r="V170" s="77">
        <v>550</v>
      </c>
      <c r="W170" s="77">
        <v>290</v>
      </c>
      <c r="X170" s="77">
        <v>150</v>
      </c>
      <c r="Y170" s="77">
        <v>50</v>
      </c>
      <c r="Z170" s="77">
        <v>0</v>
      </c>
    </row>
    <row r="171" spans="1:26" s="79" customFormat="1" ht="27.75" customHeight="1" x14ac:dyDescent="0.25">
      <c r="A171" s="74" t="s">
        <v>84</v>
      </c>
      <c r="B171" s="75" t="s">
        <v>40</v>
      </c>
      <c r="C171" s="75" t="s">
        <v>82</v>
      </c>
      <c r="D171" s="76" t="s">
        <v>138</v>
      </c>
      <c r="E171" s="76" t="s">
        <v>543</v>
      </c>
      <c r="F171" s="76" t="s">
        <v>544</v>
      </c>
      <c r="G171" s="77">
        <v>485</v>
      </c>
      <c r="H171" s="77">
        <v>500</v>
      </c>
      <c r="I171" s="77">
        <v>400</v>
      </c>
      <c r="J171" s="77">
        <v>400</v>
      </c>
      <c r="K171" s="77">
        <v>400</v>
      </c>
      <c r="L171" s="77">
        <v>0</v>
      </c>
      <c r="M171" s="77">
        <v>400</v>
      </c>
      <c r="N171" s="77">
        <v>400</v>
      </c>
      <c r="O171" s="77">
        <v>400</v>
      </c>
      <c r="P171" s="77">
        <v>0</v>
      </c>
      <c r="Q171" s="77">
        <v>400</v>
      </c>
      <c r="R171" s="77">
        <v>140</v>
      </c>
      <c r="S171" s="77">
        <v>0</v>
      </c>
      <c r="T171" s="77">
        <v>0</v>
      </c>
      <c r="U171" s="77">
        <v>0</v>
      </c>
      <c r="V171" s="77">
        <v>400</v>
      </c>
      <c r="W171" s="77">
        <v>140</v>
      </c>
      <c r="X171" s="77">
        <v>0</v>
      </c>
      <c r="Y171" s="77">
        <v>0</v>
      </c>
      <c r="Z171" s="77">
        <v>0</v>
      </c>
    </row>
    <row r="172" spans="1:26" s="79" customFormat="1" ht="28.5" customHeight="1" x14ac:dyDescent="0.25">
      <c r="A172" s="74" t="s">
        <v>84</v>
      </c>
      <c r="B172" s="75" t="s">
        <v>40</v>
      </c>
      <c r="C172" s="75" t="s">
        <v>82</v>
      </c>
      <c r="D172" s="76" t="s">
        <v>138</v>
      </c>
      <c r="E172" s="245" t="s">
        <v>545</v>
      </c>
      <c r="F172" s="245" t="s">
        <v>546</v>
      </c>
      <c r="G172" s="77">
        <v>649</v>
      </c>
      <c r="H172" s="77">
        <v>699</v>
      </c>
      <c r="I172" s="77">
        <v>599</v>
      </c>
      <c r="J172" s="77">
        <v>599</v>
      </c>
      <c r="K172" s="77">
        <v>599</v>
      </c>
      <c r="L172" s="246">
        <v>169</v>
      </c>
      <c r="M172" s="77">
        <v>599</v>
      </c>
      <c r="N172" s="77">
        <v>599</v>
      </c>
      <c r="O172" s="77">
        <v>599</v>
      </c>
      <c r="P172" s="246">
        <v>169</v>
      </c>
      <c r="Q172" s="77">
        <v>599</v>
      </c>
      <c r="R172" s="77">
        <v>339</v>
      </c>
      <c r="S172" s="246">
        <v>149</v>
      </c>
      <c r="T172" s="246">
        <v>49</v>
      </c>
      <c r="U172" s="77">
        <v>0</v>
      </c>
      <c r="V172" s="77">
        <v>599</v>
      </c>
      <c r="W172" s="77">
        <v>339</v>
      </c>
      <c r="X172" s="246">
        <v>149</v>
      </c>
      <c r="Y172" s="246">
        <v>49</v>
      </c>
      <c r="Z172" s="77">
        <v>0</v>
      </c>
    </row>
    <row r="173" spans="1:26" s="79" customFormat="1" ht="28.5" customHeight="1" x14ac:dyDescent="0.25">
      <c r="A173" s="74" t="s">
        <v>84</v>
      </c>
      <c r="B173" s="75" t="s">
        <v>40</v>
      </c>
      <c r="C173" s="75" t="s">
        <v>82</v>
      </c>
      <c r="D173" s="76" t="s">
        <v>138</v>
      </c>
      <c r="E173" s="245" t="s">
        <v>547</v>
      </c>
      <c r="F173" s="245" t="s">
        <v>546</v>
      </c>
      <c r="G173" s="77">
        <v>649</v>
      </c>
      <c r="H173" s="77">
        <v>699</v>
      </c>
      <c r="I173" s="77">
        <v>599</v>
      </c>
      <c r="J173" s="77">
        <v>599</v>
      </c>
      <c r="K173" s="77">
        <v>599</v>
      </c>
      <c r="L173" s="246">
        <v>169</v>
      </c>
      <c r="M173" s="77">
        <v>599</v>
      </c>
      <c r="N173" s="77">
        <v>599</v>
      </c>
      <c r="O173" s="77">
        <v>599</v>
      </c>
      <c r="P173" s="246">
        <v>169</v>
      </c>
      <c r="Q173" s="77">
        <v>599</v>
      </c>
      <c r="R173" s="77">
        <v>339</v>
      </c>
      <c r="S173" s="246">
        <v>149</v>
      </c>
      <c r="T173" s="246">
        <v>49</v>
      </c>
      <c r="U173" s="77">
        <v>0</v>
      </c>
      <c r="V173" s="77">
        <v>599</v>
      </c>
      <c r="W173" s="77">
        <v>339</v>
      </c>
      <c r="X173" s="246">
        <v>149</v>
      </c>
      <c r="Y173" s="246">
        <v>49</v>
      </c>
      <c r="Z173" s="77">
        <v>0</v>
      </c>
    </row>
    <row r="174" spans="1:26" s="79" customFormat="1" ht="28.5" customHeight="1" x14ac:dyDescent="0.25">
      <c r="A174" s="74" t="s">
        <v>84</v>
      </c>
      <c r="B174" s="75" t="s">
        <v>40</v>
      </c>
      <c r="C174" s="75" t="s">
        <v>82</v>
      </c>
      <c r="D174" s="76" t="s">
        <v>138</v>
      </c>
      <c r="E174" s="76" t="s">
        <v>548</v>
      </c>
      <c r="F174" s="76" t="s">
        <v>549</v>
      </c>
      <c r="G174" s="77">
        <v>240</v>
      </c>
      <c r="H174" s="77">
        <v>250</v>
      </c>
      <c r="I174" s="77">
        <v>150</v>
      </c>
      <c r="J174" s="77">
        <v>150</v>
      </c>
      <c r="K174" s="77">
        <v>150</v>
      </c>
      <c r="L174" s="77">
        <v>0</v>
      </c>
      <c r="M174" s="77">
        <v>150</v>
      </c>
      <c r="N174" s="77">
        <v>150</v>
      </c>
      <c r="O174" s="77">
        <v>150</v>
      </c>
      <c r="P174" s="77">
        <v>0</v>
      </c>
      <c r="Q174" s="77">
        <v>150</v>
      </c>
      <c r="R174" s="77">
        <v>0</v>
      </c>
      <c r="S174" s="77">
        <v>0</v>
      </c>
      <c r="T174" s="77">
        <v>0</v>
      </c>
      <c r="U174" s="77">
        <v>0</v>
      </c>
      <c r="V174" s="77">
        <v>150</v>
      </c>
      <c r="W174" s="77">
        <v>0</v>
      </c>
      <c r="X174" s="77">
        <v>0</v>
      </c>
      <c r="Y174" s="77">
        <v>0</v>
      </c>
      <c r="Z174" s="77">
        <v>0</v>
      </c>
    </row>
    <row r="175" spans="1:26" s="79" customFormat="1" ht="28.5" customHeight="1" x14ac:dyDescent="0.25">
      <c r="A175" s="74" t="s">
        <v>84</v>
      </c>
      <c r="B175" s="75" t="s">
        <v>40</v>
      </c>
      <c r="C175" s="75" t="s">
        <v>82</v>
      </c>
      <c r="D175" s="76" t="s">
        <v>138</v>
      </c>
      <c r="E175" s="76" t="s">
        <v>550</v>
      </c>
      <c r="F175" s="76" t="s">
        <v>551</v>
      </c>
      <c r="G175" s="77">
        <v>230</v>
      </c>
      <c r="H175" s="77">
        <v>250</v>
      </c>
      <c r="I175" s="77">
        <v>130</v>
      </c>
      <c r="J175" s="77">
        <v>130</v>
      </c>
      <c r="K175" s="77">
        <v>130</v>
      </c>
      <c r="L175" s="77">
        <v>0</v>
      </c>
      <c r="M175" s="77">
        <v>130</v>
      </c>
      <c r="N175" s="77">
        <v>130</v>
      </c>
      <c r="O175" s="77">
        <v>130</v>
      </c>
      <c r="P175" s="77">
        <v>0</v>
      </c>
      <c r="Q175" s="77">
        <v>150</v>
      </c>
      <c r="R175" s="77">
        <v>0</v>
      </c>
      <c r="S175" s="77">
        <v>0</v>
      </c>
      <c r="T175" s="77">
        <v>0</v>
      </c>
      <c r="U175" s="77">
        <v>0</v>
      </c>
      <c r="V175" s="77">
        <v>150</v>
      </c>
      <c r="W175" s="77">
        <v>0</v>
      </c>
      <c r="X175" s="77">
        <v>0</v>
      </c>
      <c r="Y175" s="77">
        <v>0</v>
      </c>
      <c r="Z175" s="77">
        <v>0</v>
      </c>
    </row>
    <row r="176" spans="1:26" s="79" customFormat="1" ht="28.5" customHeight="1" x14ac:dyDescent="0.25">
      <c r="A176" s="74" t="s">
        <v>81</v>
      </c>
      <c r="B176" s="75">
        <v>43221</v>
      </c>
      <c r="C176" s="75" t="s">
        <v>82</v>
      </c>
      <c r="D176" s="76" t="s">
        <v>138</v>
      </c>
      <c r="E176" s="76" t="s">
        <v>140</v>
      </c>
      <c r="F176" s="76" t="s">
        <v>141</v>
      </c>
      <c r="G176" s="77">
        <v>540</v>
      </c>
      <c r="H176" s="77">
        <v>549.99</v>
      </c>
      <c r="I176" s="78">
        <v>449.99</v>
      </c>
      <c r="J176" s="78">
        <v>449.99</v>
      </c>
      <c r="K176" s="78">
        <v>449.99</v>
      </c>
      <c r="L176" s="78">
        <v>0</v>
      </c>
      <c r="M176" s="78">
        <v>449.99</v>
      </c>
      <c r="N176" s="78">
        <v>449.99</v>
      </c>
      <c r="O176" s="78">
        <v>449.99</v>
      </c>
      <c r="P176" s="78">
        <v>0</v>
      </c>
      <c r="Q176" s="77">
        <v>449.99</v>
      </c>
      <c r="R176" s="77">
        <v>189.99</v>
      </c>
      <c r="S176" s="77">
        <v>49.990000000000009</v>
      </c>
      <c r="T176" s="77">
        <v>0</v>
      </c>
      <c r="U176" s="77">
        <v>0</v>
      </c>
      <c r="V176" s="77">
        <v>449.99</v>
      </c>
      <c r="W176" s="77">
        <v>189.99</v>
      </c>
      <c r="X176" s="77">
        <v>49.990000000000009</v>
      </c>
      <c r="Y176" s="77">
        <v>0</v>
      </c>
      <c r="Z176" s="77">
        <v>0</v>
      </c>
    </row>
    <row r="177" spans="1:26" s="79" customFormat="1" ht="28.5" customHeight="1" x14ac:dyDescent="0.25">
      <c r="A177" s="74" t="s">
        <v>81</v>
      </c>
      <c r="B177" s="75">
        <v>43221</v>
      </c>
      <c r="C177" s="75" t="s">
        <v>82</v>
      </c>
      <c r="D177" s="76" t="s">
        <v>138</v>
      </c>
      <c r="E177" s="76" t="s">
        <v>142</v>
      </c>
      <c r="F177" s="76" t="s">
        <v>143</v>
      </c>
      <c r="G177" s="77">
        <v>750</v>
      </c>
      <c r="H177" s="77">
        <v>759.99</v>
      </c>
      <c r="I177" s="78">
        <v>549.99</v>
      </c>
      <c r="J177" s="78">
        <v>549.99</v>
      </c>
      <c r="K177" s="78">
        <v>549.99</v>
      </c>
      <c r="L177" s="78">
        <v>49.99</v>
      </c>
      <c r="M177" s="78">
        <v>549.99</v>
      </c>
      <c r="N177" s="78">
        <v>549.99</v>
      </c>
      <c r="O177" s="78">
        <v>549.99</v>
      </c>
      <c r="P177" s="78">
        <v>49.99</v>
      </c>
      <c r="Q177" s="77">
        <v>659.99</v>
      </c>
      <c r="R177" s="77">
        <v>399.99</v>
      </c>
      <c r="S177" s="77">
        <v>259.99</v>
      </c>
      <c r="T177" s="77">
        <v>159.99</v>
      </c>
      <c r="U177" s="77">
        <v>59.990000000000009</v>
      </c>
      <c r="V177" s="77">
        <v>659.99</v>
      </c>
      <c r="W177" s="77">
        <v>399.99</v>
      </c>
      <c r="X177" s="77">
        <v>259.99</v>
      </c>
      <c r="Y177" s="77">
        <v>159.99</v>
      </c>
      <c r="Z177" s="77">
        <v>59.990000000000009</v>
      </c>
    </row>
    <row r="178" spans="1:26" s="79" customFormat="1" ht="28.5" customHeight="1" x14ac:dyDescent="0.25">
      <c r="A178" s="74" t="s">
        <v>81</v>
      </c>
      <c r="B178" s="75">
        <v>43070</v>
      </c>
      <c r="C178" s="75" t="s">
        <v>82</v>
      </c>
      <c r="D178" s="76" t="s">
        <v>138</v>
      </c>
      <c r="E178" s="76" t="s">
        <v>144</v>
      </c>
      <c r="F178" s="76" t="s">
        <v>145</v>
      </c>
      <c r="G178" s="77">
        <v>850</v>
      </c>
      <c r="H178" s="77">
        <v>859.99</v>
      </c>
      <c r="I178" s="78">
        <v>649.99</v>
      </c>
      <c r="J178" s="78">
        <v>649.99</v>
      </c>
      <c r="K178" s="78">
        <v>649.99</v>
      </c>
      <c r="L178" s="78">
        <v>299.99</v>
      </c>
      <c r="M178" s="78">
        <v>649.99</v>
      </c>
      <c r="N178" s="78">
        <v>649.99</v>
      </c>
      <c r="O178" s="78">
        <v>649.99</v>
      </c>
      <c r="P178" s="78">
        <v>299.99</v>
      </c>
      <c r="Q178" s="77">
        <v>759.99</v>
      </c>
      <c r="R178" s="77">
        <v>499.99</v>
      </c>
      <c r="S178" s="77">
        <v>359.99</v>
      </c>
      <c r="T178" s="77">
        <v>259.99</v>
      </c>
      <c r="U178" s="77">
        <v>159.99</v>
      </c>
      <c r="V178" s="77">
        <v>759.99</v>
      </c>
      <c r="W178" s="77">
        <v>499.99</v>
      </c>
      <c r="X178" s="77">
        <v>359.99</v>
      </c>
      <c r="Y178" s="77">
        <v>259.99</v>
      </c>
      <c r="Z178" s="77">
        <v>159.99</v>
      </c>
    </row>
    <row r="179" spans="1:26" s="79" customFormat="1" ht="28.5" customHeight="1" x14ac:dyDescent="0.25">
      <c r="A179" s="74" t="s">
        <v>81</v>
      </c>
      <c r="B179" s="75" t="s">
        <v>40</v>
      </c>
      <c r="C179" s="75" t="s">
        <v>82</v>
      </c>
      <c r="D179" s="76" t="s">
        <v>138</v>
      </c>
      <c r="E179" s="76" t="s">
        <v>146</v>
      </c>
      <c r="F179" s="76" t="s">
        <v>147</v>
      </c>
      <c r="G179" s="77">
        <v>760</v>
      </c>
      <c r="H179" s="77">
        <v>780</v>
      </c>
      <c r="I179" s="78">
        <v>680</v>
      </c>
      <c r="J179" s="78">
        <v>680</v>
      </c>
      <c r="K179" s="78">
        <v>680</v>
      </c>
      <c r="L179" s="78">
        <v>99.99</v>
      </c>
      <c r="M179" s="78">
        <v>680</v>
      </c>
      <c r="N179" s="78">
        <v>680</v>
      </c>
      <c r="O179" s="78">
        <v>680</v>
      </c>
      <c r="P179" s="78">
        <v>99.99</v>
      </c>
      <c r="Q179" s="77">
        <v>680</v>
      </c>
      <c r="R179" s="77">
        <v>420</v>
      </c>
      <c r="S179" s="77">
        <v>280</v>
      </c>
      <c r="T179" s="77">
        <v>180</v>
      </c>
      <c r="U179" s="77">
        <v>80</v>
      </c>
      <c r="V179" s="77">
        <v>680</v>
      </c>
      <c r="W179" s="77">
        <v>420</v>
      </c>
      <c r="X179" s="77">
        <v>280</v>
      </c>
      <c r="Y179" s="77">
        <v>180</v>
      </c>
      <c r="Z179" s="77">
        <v>80</v>
      </c>
    </row>
    <row r="180" spans="1:26" s="79" customFormat="1" ht="28.5" customHeight="1" x14ac:dyDescent="0.25">
      <c r="A180" s="74" t="s">
        <v>81</v>
      </c>
      <c r="B180" s="75" t="s">
        <v>40</v>
      </c>
      <c r="C180" s="75" t="s">
        <v>82</v>
      </c>
      <c r="D180" s="76" t="s">
        <v>138</v>
      </c>
      <c r="E180" s="76" t="s">
        <v>148</v>
      </c>
      <c r="F180" s="76" t="s">
        <v>147</v>
      </c>
      <c r="G180" s="77">
        <v>760</v>
      </c>
      <c r="H180" s="77">
        <v>780</v>
      </c>
      <c r="I180" s="78">
        <v>680</v>
      </c>
      <c r="J180" s="78">
        <v>680</v>
      </c>
      <c r="K180" s="78">
        <v>680</v>
      </c>
      <c r="L180" s="78">
        <v>99.99</v>
      </c>
      <c r="M180" s="78">
        <v>680</v>
      </c>
      <c r="N180" s="78">
        <v>680</v>
      </c>
      <c r="O180" s="78">
        <v>680</v>
      </c>
      <c r="P180" s="78">
        <v>99.99</v>
      </c>
      <c r="Q180" s="77">
        <v>680</v>
      </c>
      <c r="R180" s="77">
        <v>420</v>
      </c>
      <c r="S180" s="77">
        <v>280</v>
      </c>
      <c r="T180" s="77">
        <v>180</v>
      </c>
      <c r="U180" s="77">
        <v>80</v>
      </c>
      <c r="V180" s="77">
        <v>680</v>
      </c>
      <c r="W180" s="77">
        <v>420</v>
      </c>
      <c r="X180" s="77">
        <v>280</v>
      </c>
      <c r="Y180" s="77">
        <v>180</v>
      </c>
      <c r="Z180" s="77">
        <v>80</v>
      </c>
    </row>
    <row r="181" spans="1:26" s="79" customFormat="1" ht="28.5" customHeight="1" x14ac:dyDescent="0.25">
      <c r="A181" s="74" t="s">
        <v>81</v>
      </c>
      <c r="B181" s="75" t="s">
        <v>40</v>
      </c>
      <c r="C181" s="75" t="s">
        <v>82</v>
      </c>
      <c r="D181" s="76" t="s">
        <v>138</v>
      </c>
      <c r="E181" s="76" t="s">
        <v>149</v>
      </c>
      <c r="F181" s="76" t="s">
        <v>150</v>
      </c>
      <c r="G181" s="77">
        <v>910</v>
      </c>
      <c r="H181" s="77">
        <v>930</v>
      </c>
      <c r="I181" s="78">
        <v>899.99</v>
      </c>
      <c r="J181" s="78">
        <v>899.99</v>
      </c>
      <c r="K181" s="78">
        <v>899.99</v>
      </c>
      <c r="L181" s="78">
        <v>349.99</v>
      </c>
      <c r="M181" s="78">
        <v>899.99</v>
      </c>
      <c r="N181" s="78">
        <v>899.99</v>
      </c>
      <c r="O181" s="78">
        <v>899.99</v>
      </c>
      <c r="P181" s="78">
        <v>349.99</v>
      </c>
      <c r="Q181" s="77">
        <v>830</v>
      </c>
      <c r="R181" s="77">
        <v>570</v>
      </c>
      <c r="S181" s="77">
        <v>430</v>
      </c>
      <c r="T181" s="77">
        <v>330</v>
      </c>
      <c r="U181" s="77">
        <v>230</v>
      </c>
      <c r="V181" s="77">
        <v>830</v>
      </c>
      <c r="W181" s="77">
        <v>570</v>
      </c>
      <c r="X181" s="77">
        <v>430</v>
      </c>
      <c r="Y181" s="77">
        <v>330</v>
      </c>
      <c r="Z181" s="77">
        <v>230</v>
      </c>
    </row>
    <row r="182" spans="1:26" s="79" customFormat="1" ht="28.5" customHeight="1" x14ac:dyDescent="0.25">
      <c r="A182" s="74" t="s">
        <v>84</v>
      </c>
      <c r="B182" s="75" t="s">
        <v>40</v>
      </c>
      <c r="C182" s="75" t="s">
        <v>82</v>
      </c>
      <c r="D182" s="76" t="s">
        <v>138</v>
      </c>
      <c r="E182" s="245" t="s">
        <v>552</v>
      </c>
      <c r="F182" s="245" t="s">
        <v>553</v>
      </c>
      <c r="G182" s="77">
        <v>799</v>
      </c>
      <c r="H182" s="77">
        <v>849</v>
      </c>
      <c r="I182" s="78">
        <v>749</v>
      </c>
      <c r="J182" s="78">
        <v>749</v>
      </c>
      <c r="K182" s="78">
        <v>749</v>
      </c>
      <c r="L182" s="247">
        <v>165</v>
      </c>
      <c r="M182" s="78">
        <v>749</v>
      </c>
      <c r="N182" s="78">
        <v>749</v>
      </c>
      <c r="O182" s="78">
        <v>749</v>
      </c>
      <c r="P182" s="247">
        <v>165</v>
      </c>
      <c r="Q182" s="77">
        <v>749</v>
      </c>
      <c r="R182" s="77">
        <v>399</v>
      </c>
      <c r="S182" s="246">
        <v>199</v>
      </c>
      <c r="T182" s="246">
        <v>99</v>
      </c>
      <c r="U182" s="246">
        <v>0</v>
      </c>
      <c r="V182" s="77">
        <v>749</v>
      </c>
      <c r="W182" s="77">
        <v>399</v>
      </c>
      <c r="X182" s="246">
        <v>199</v>
      </c>
      <c r="Y182" s="246">
        <v>99</v>
      </c>
      <c r="Z182" s="246">
        <v>0</v>
      </c>
    </row>
    <row r="183" spans="1:26" s="79" customFormat="1" ht="28.5" customHeight="1" x14ac:dyDescent="0.25">
      <c r="A183" s="74" t="s">
        <v>84</v>
      </c>
      <c r="B183" s="75" t="s">
        <v>40</v>
      </c>
      <c r="C183" s="75" t="s">
        <v>82</v>
      </c>
      <c r="D183" s="76" t="s">
        <v>138</v>
      </c>
      <c r="E183" s="245" t="s">
        <v>554</v>
      </c>
      <c r="F183" s="245" t="s">
        <v>553</v>
      </c>
      <c r="G183" s="77">
        <v>799</v>
      </c>
      <c r="H183" s="77">
        <v>849</v>
      </c>
      <c r="I183" s="78">
        <v>749</v>
      </c>
      <c r="J183" s="78">
        <v>749</v>
      </c>
      <c r="K183" s="78">
        <v>749</v>
      </c>
      <c r="L183" s="247">
        <v>165</v>
      </c>
      <c r="M183" s="78">
        <v>749</v>
      </c>
      <c r="N183" s="78">
        <v>749</v>
      </c>
      <c r="O183" s="78">
        <v>749</v>
      </c>
      <c r="P183" s="247">
        <v>165</v>
      </c>
      <c r="Q183" s="77">
        <v>749</v>
      </c>
      <c r="R183" s="77">
        <v>399</v>
      </c>
      <c r="S183" s="246">
        <v>199</v>
      </c>
      <c r="T183" s="246">
        <v>99</v>
      </c>
      <c r="U183" s="246">
        <v>0</v>
      </c>
      <c r="V183" s="77">
        <v>749</v>
      </c>
      <c r="W183" s="77">
        <v>399</v>
      </c>
      <c r="X183" s="246">
        <v>199</v>
      </c>
      <c r="Y183" s="246">
        <v>99</v>
      </c>
      <c r="Z183" s="246">
        <v>0</v>
      </c>
    </row>
    <row r="184" spans="1:26" s="79" customFormat="1" ht="28.5" customHeight="1" x14ac:dyDescent="0.25">
      <c r="A184" s="74" t="s">
        <v>84</v>
      </c>
      <c r="B184" s="75" t="s">
        <v>40</v>
      </c>
      <c r="C184" s="75" t="s">
        <v>82</v>
      </c>
      <c r="D184" s="76" t="s">
        <v>138</v>
      </c>
      <c r="E184" s="76" t="s">
        <v>555</v>
      </c>
      <c r="F184" s="76" t="s">
        <v>556</v>
      </c>
      <c r="G184" s="77">
        <v>909</v>
      </c>
      <c r="H184" s="77">
        <v>969</v>
      </c>
      <c r="I184" s="78">
        <v>869</v>
      </c>
      <c r="J184" s="78">
        <v>869</v>
      </c>
      <c r="K184" s="78">
        <v>869</v>
      </c>
      <c r="L184" s="78">
        <v>549.99</v>
      </c>
      <c r="M184" s="78">
        <v>869</v>
      </c>
      <c r="N184" s="78">
        <v>869</v>
      </c>
      <c r="O184" s="78">
        <v>869</v>
      </c>
      <c r="P184" s="78">
        <v>549.99</v>
      </c>
      <c r="Q184" s="77">
        <v>869</v>
      </c>
      <c r="R184" s="77">
        <v>609</v>
      </c>
      <c r="S184" s="77">
        <v>469</v>
      </c>
      <c r="T184" s="77">
        <v>369</v>
      </c>
      <c r="U184" s="77">
        <v>269</v>
      </c>
      <c r="V184" s="77">
        <v>869</v>
      </c>
      <c r="W184" s="77">
        <v>609</v>
      </c>
      <c r="X184" s="77">
        <v>469</v>
      </c>
      <c r="Y184" s="77">
        <v>369</v>
      </c>
      <c r="Z184" s="77">
        <v>269</v>
      </c>
    </row>
    <row r="185" spans="1:26" s="79" customFormat="1" ht="28.5" customHeight="1" x14ac:dyDescent="0.25">
      <c r="A185" s="74" t="s">
        <v>81</v>
      </c>
      <c r="B185" s="75" t="s">
        <v>40</v>
      </c>
      <c r="C185" s="75" t="s">
        <v>82</v>
      </c>
      <c r="D185" s="76" t="s">
        <v>138</v>
      </c>
      <c r="E185" s="76" t="s">
        <v>557</v>
      </c>
      <c r="F185" s="76" t="s">
        <v>556</v>
      </c>
      <c r="G185" s="77">
        <v>909</v>
      </c>
      <c r="H185" s="77">
        <v>969</v>
      </c>
      <c r="I185" s="78">
        <v>869</v>
      </c>
      <c r="J185" s="78">
        <v>869</v>
      </c>
      <c r="K185" s="78">
        <v>869</v>
      </c>
      <c r="L185" s="78">
        <v>549.99</v>
      </c>
      <c r="M185" s="78">
        <v>869</v>
      </c>
      <c r="N185" s="78">
        <v>869</v>
      </c>
      <c r="O185" s="78">
        <v>869</v>
      </c>
      <c r="P185" s="78">
        <v>549.99</v>
      </c>
      <c r="Q185" s="77">
        <v>869</v>
      </c>
      <c r="R185" s="77">
        <v>609</v>
      </c>
      <c r="S185" s="77">
        <v>469</v>
      </c>
      <c r="T185" s="77">
        <v>369</v>
      </c>
      <c r="U185" s="77">
        <v>269</v>
      </c>
      <c r="V185" s="77">
        <v>869</v>
      </c>
      <c r="W185" s="77">
        <v>609</v>
      </c>
      <c r="X185" s="77">
        <v>469</v>
      </c>
      <c r="Y185" s="77">
        <v>369</v>
      </c>
      <c r="Z185" s="77">
        <v>269</v>
      </c>
    </row>
    <row r="186" spans="1:26" s="79" customFormat="1" ht="28.5" customHeight="1" x14ac:dyDescent="0.25">
      <c r="A186" s="74" t="s">
        <v>84</v>
      </c>
      <c r="B186" s="75" t="s">
        <v>40</v>
      </c>
      <c r="C186" s="75" t="s">
        <v>82</v>
      </c>
      <c r="D186" s="76" t="s">
        <v>138</v>
      </c>
      <c r="E186" s="245" t="s">
        <v>558</v>
      </c>
      <c r="F186" s="245" t="s">
        <v>559</v>
      </c>
      <c r="G186" s="77">
        <v>1249</v>
      </c>
      <c r="H186" s="77">
        <v>1299</v>
      </c>
      <c r="I186" s="77">
        <v>1199</v>
      </c>
      <c r="J186" s="77">
        <v>1199</v>
      </c>
      <c r="K186" s="77">
        <v>1199</v>
      </c>
      <c r="L186" s="246">
        <v>679</v>
      </c>
      <c r="M186" s="77">
        <v>1199</v>
      </c>
      <c r="N186" s="77">
        <v>1199</v>
      </c>
      <c r="O186" s="77">
        <v>1199</v>
      </c>
      <c r="P186" s="246">
        <v>679</v>
      </c>
      <c r="Q186" s="77">
        <v>1199</v>
      </c>
      <c r="R186" s="77">
        <v>939</v>
      </c>
      <c r="S186" s="246">
        <v>729</v>
      </c>
      <c r="T186" s="246">
        <v>629</v>
      </c>
      <c r="U186" s="246">
        <v>529</v>
      </c>
      <c r="V186" s="77">
        <v>1199</v>
      </c>
      <c r="W186" s="77">
        <v>939</v>
      </c>
      <c r="X186" s="246">
        <v>729</v>
      </c>
      <c r="Y186" s="246">
        <v>629</v>
      </c>
      <c r="Z186" s="246">
        <v>529</v>
      </c>
    </row>
    <row r="187" spans="1:26" s="79" customFormat="1" ht="28.5" customHeight="1" x14ac:dyDescent="0.25">
      <c r="A187" s="74" t="s">
        <v>81</v>
      </c>
      <c r="B187" s="75" t="s">
        <v>40</v>
      </c>
      <c r="C187" s="75" t="s">
        <v>82</v>
      </c>
      <c r="D187" s="76" t="s">
        <v>138</v>
      </c>
      <c r="E187" s="245" t="s">
        <v>560</v>
      </c>
      <c r="F187" s="245" t="s">
        <v>559</v>
      </c>
      <c r="G187" s="77">
        <v>1249</v>
      </c>
      <c r="H187" s="77">
        <v>1299</v>
      </c>
      <c r="I187" s="77">
        <v>1199</v>
      </c>
      <c r="J187" s="77">
        <v>1199</v>
      </c>
      <c r="K187" s="77">
        <v>1199</v>
      </c>
      <c r="L187" s="246">
        <v>679</v>
      </c>
      <c r="M187" s="77">
        <v>1199</v>
      </c>
      <c r="N187" s="77">
        <v>1199</v>
      </c>
      <c r="O187" s="77">
        <v>1199</v>
      </c>
      <c r="P187" s="246">
        <v>679</v>
      </c>
      <c r="Q187" s="77">
        <v>1199</v>
      </c>
      <c r="R187" s="77">
        <v>939</v>
      </c>
      <c r="S187" s="246">
        <v>729</v>
      </c>
      <c r="T187" s="246">
        <v>629</v>
      </c>
      <c r="U187" s="246">
        <v>529</v>
      </c>
      <c r="V187" s="77">
        <v>1199</v>
      </c>
      <c r="W187" s="77">
        <v>939</v>
      </c>
      <c r="X187" s="246">
        <v>729</v>
      </c>
      <c r="Y187" s="246">
        <v>629</v>
      </c>
      <c r="Z187" s="246">
        <v>529</v>
      </c>
    </row>
    <row r="188" spans="1:26" s="79" customFormat="1" ht="28.5" customHeight="1" x14ac:dyDescent="0.25">
      <c r="A188" s="74" t="s">
        <v>84</v>
      </c>
      <c r="B188" s="75" t="s">
        <v>40</v>
      </c>
      <c r="C188" s="75" t="s">
        <v>82</v>
      </c>
      <c r="D188" s="76" t="s">
        <v>138</v>
      </c>
      <c r="E188" s="76" t="s">
        <v>561</v>
      </c>
      <c r="F188" s="76" t="s">
        <v>562</v>
      </c>
      <c r="G188" s="77">
        <v>929</v>
      </c>
      <c r="H188" s="77">
        <v>1019</v>
      </c>
      <c r="I188" s="77">
        <v>919</v>
      </c>
      <c r="J188" s="77">
        <v>919</v>
      </c>
      <c r="K188" s="77">
        <v>919</v>
      </c>
      <c r="L188" s="77">
        <v>489</v>
      </c>
      <c r="M188" s="77">
        <v>919</v>
      </c>
      <c r="N188" s="77">
        <v>919</v>
      </c>
      <c r="O188" s="77">
        <v>919</v>
      </c>
      <c r="P188" s="77">
        <v>489</v>
      </c>
      <c r="Q188" s="77">
        <v>919</v>
      </c>
      <c r="R188" s="77">
        <v>659</v>
      </c>
      <c r="S188" s="77">
        <v>519</v>
      </c>
      <c r="T188" s="77">
        <v>419</v>
      </c>
      <c r="U188" s="77">
        <v>319</v>
      </c>
      <c r="V188" s="77">
        <v>919</v>
      </c>
      <c r="W188" s="77">
        <v>659</v>
      </c>
      <c r="X188" s="77">
        <v>519</v>
      </c>
      <c r="Y188" s="77">
        <v>419</v>
      </c>
      <c r="Z188" s="77">
        <v>319</v>
      </c>
    </row>
    <row r="189" spans="1:26" s="79" customFormat="1" ht="28.5" customHeight="1" x14ac:dyDescent="0.25">
      <c r="A189" s="74" t="s">
        <v>84</v>
      </c>
      <c r="B189" s="75" t="s">
        <v>40</v>
      </c>
      <c r="C189" s="75" t="s">
        <v>82</v>
      </c>
      <c r="D189" s="76" t="s">
        <v>138</v>
      </c>
      <c r="E189" s="76" t="s">
        <v>563</v>
      </c>
      <c r="F189" s="76" t="s">
        <v>562</v>
      </c>
      <c r="G189" s="77">
        <v>929</v>
      </c>
      <c r="H189" s="77">
        <v>1019</v>
      </c>
      <c r="I189" s="77">
        <v>919</v>
      </c>
      <c r="J189" s="77">
        <v>919</v>
      </c>
      <c r="K189" s="77">
        <v>919</v>
      </c>
      <c r="L189" s="77">
        <v>489</v>
      </c>
      <c r="M189" s="77">
        <v>919</v>
      </c>
      <c r="N189" s="77">
        <v>919</v>
      </c>
      <c r="O189" s="77">
        <v>919</v>
      </c>
      <c r="P189" s="77">
        <v>489</v>
      </c>
      <c r="Q189" s="77">
        <v>919</v>
      </c>
      <c r="R189" s="77">
        <v>659</v>
      </c>
      <c r="S189" s="77">
        <v>519</v>
      </c>
      <c r="T189" s="77">
        <v>419</v>
      </c>
      <c r="U189" s="77">
        <v>319</v>
      </c>
      <c r="V189" s="77">
        <v>919</v>
      </c>
      <c r="W189" s="77">
        <v>659</v>
      </c>
      <c r="X189" s="77">
        <v>519</v>
      </c>
      <c r="Y189" s="77">
        <v>419</v>
      </c>
      <c r="Z189" s="77">
        <v>319</v>
      </c>
    </row>
    <row r="190" spans="1:26" s="79" customFormat="1" ht="28.5" customHeight="1" x14ac:dyDescent="0.25">
      <c r="A190" s="74" t="s">
        <v>84</v>
      </c>
      <c r="B190" s="75" t="s">
        <v>40</v>
      </c>
      <c r="C190" s="75" t="s">
        <v>82</v>
      </c>
      <c r="D190" s="76" t="s">
        <v>138</v>
      </c>
      <c r="E190" s="76" t="s">
        <v>564</v>
      </c>
      <c r="F190" s="76" t="s">
        <v>565</v>
      </c>
      <c r="G190" s="77">
        <v>1069</v>
      </c>
      <c r="H190" s="77">
        <v>1179</v>
      </c>
      <c r="I190" s="77">
        <v>1079</v>
      </c>
      <c r="J190" s="77">
        <v>1079</v>
      </c>
      <c r="K190" s="77">
        <v>1079</v>
      </c>
      <c r="L190" s="77">
        <v>629</v>
      </c>
      <c r="M190" s="77">
        <v>1079</v>
      </c>
      <c r="N190" s="77">
        <v>1079</v>
      </c>
      <c r="O190" s="77">
        <v>1079</v>
      </c>
      <c r="P190" s="77">
        <v>629</v>
      </c>
      <c r="Q190" s="77">
        <v>1079</v>
      </c>
      <c r="R190" s="77">
        <v>819</v>
      </c>
      <c r="S190" s="77">
        <v>679</v>
      </c>
      <c r="T190" s="77">
        <v>579</v>
      </c>
      <c r="U190" s="77">
        <v>479</v>
      </c>
      <c r="V190" s="77">
        <v>1079</v>
      </c>
      <c r="W190" s="77">
        <v>819</v>
      </c>
      <c r="X190" s="77">
        <v>679</v>
      </c>
      <c r="Y190" s="77">
        <v>579</v>
      </c>
      <c r="Z190" s="77">
        <v>479</v>
      </c>
    </row>
    <row r="191" spans="1:26" s="79" customFormat="1" ht="28.5" customHeight="1" x14ac:dyDescent="0.25">
      <c r="A191" s="74" t="s">
        <v>84</v>
      </c>
      <c r="B191" s="75" t="s">
        <v>40</v>
      </c>
      <c r="C191" s="75" t="s">
        <v>82</v>
      </c>
      <c r="D191" s="76" t="s">
        <v>138</v>
      </c>
      <c r="E191" s="76" t="s">
        <v>566</v>
      </c>
      <c r="F191" s="76" t="s">
        <v>565</v>
      </c>
      <c r="G191" s="77">
        <v>1069</v>
      </c>
      <c r="H191" s="77">
        <v>1179</v>
      </c>
      <c r="I191" s="77">
        <v>1079</v>
      </c>
      <c r="J191" s="77">
        <v>1079</v>
      </c>
      <c r="K191" s="77">
        <v>1079</v>
      </c>
      <c r="L191" s="77">
        <v>629</v>
      </c>
      <c r="M191" s="77">
        <v>1079</v>
      </c>
      <c r="N191" s="77">
        <v>1079</v>
      </c>
      <c r="O191" s="77">
        <v>1079</v>
      </c>
      <c r="P191" s="77">
        <v>629</v>
      </c>
      <c r="Q191" s="77">
        <v>1079</v>
      </c>
      <c r="R191" s="77">
        <v>819</v>
      </c>
      <c r="S191" s="77">
        <v>679</v>
      </c>
      <c r="T191" s="77">
        <v>579</v>
      </c>
      <c r="U191" s="77">
        <v>479</v>
      </c>
      <c r="V191" s="77">
        <v>1079</v>
      </c>
      <c r="W191" s="77">
        <v>819</v>
      </c>
      <c r="X191" s="77">
        <v>679</v>
      </c>
      <c r="Y191" s="77">
        <v>579</v>
      </c>
      <c r="Z191" s="77">
        <v>479</v>
      </c>
    </row>
    <row r="192" spans="1:26" s="79" customFormat="1" ht="28.5" customHeight="1" x14ac:dyDescent="0.25">
      <c r="A192" s="74" t="s">
        <v>84</v>
      </c>
      <c r="B192" s="75" t="s">
        <v>40</v>
      </c>
      <c r="C192" s="75" t="s">
        <v>82</v>
      </c>
      <c r="D192" s="76" t="s">
        <v>138</v>
      </c>
      <c r="E192" s="76" t="s">
        <v>567</v>
      </c>
      <c r="F192" s="76" t="s">
        <v>568</v>
      </c>
      <c r="G192" s="77">
        <v>330</v>
      </c>
      <c r="H192" s="77">
        <v>350</v>
      </c>
      <c r="I192" s="77">
        <v>250</v>
      </c>
      <c r="J192" s="77">
        <v>250</v>
      </c>
      <c r="K192" s="77">
        <v>250</v>
      </c>
      <c r="L192" s="77">
        <v>0</v>
      </c>
      <c r="M192" s="77">
        <v>250</v>
      </c>
      <c r="N192" s="77">
        <v>250</v>
      </c>
      <c r="O192" s="77">
        <v>250</v>
      </c>
      <c r="P192" s="77">
        <v>0</v>
      </c>
      <c r="Q192" s="77">
        <v>250</v>
      </c>
      <c r="R192" s="77">
        <v>0</v>
      </c>
      <c r="S192" s="77">
        <v>0</v>
      </c>
      <c r="T192" s="77">
        <v>0</v>
      </c>
      <c r="U192" s="77">
        <v>0</v>
      </c>
      <c r="V192" s="77">
        <v>250</v>
      </c>
      <c r="W192" s="77">
        <v>0</v>
      </c>
      <c r="X192" s="77">
        <v>0</v>
      </c>
      <c r="Y192" s="77">
        <v>0</v>
      </c>
      <c r="Z192" s="77">
        <v>0</v>
      </c>
    </row>
    <row r="193" spans="1:26" s="79" customFormat="1" ht="28.5" customHeight="1" x14ac:dyDescent="0.25">
      <c r="A193" s="74" t="s">
        <v>84</v>
      </c>
      <c r="B193" s="75" t="s">
        <v>40</v>
      </c>
      <c r="C193" s="75" t="s">
        <v>105</v>
      </c>
      <c r="D193" s="248" t="s">
        <v>138</v>
      </c>
      <c r="E193" s="248" t="s">
        <v>153</v>
      </c>
      <c r="F193" s="248" t="s">
        <v>154</v>
      </c>
      <c r="G193" s="77">
        <v>270</v>
      </c>
      <c r="H193" s="77">
        <v>329</v>
      </c>
      <c r="I193" s="78">
        <v>276</v>
      </c>
      <c r="J193" s="78" t="s">
        <v>40</v>
      </c>
      <c r="K193" s="78" t="s">
        <v>40</v>
      </c>
      <c r="L193" s="78" t="s">
        <v>40</v>
      </c>
      <c r="M193" s="78">
        <v>276</v>
      </c>
      <c r="N193" s="78" t="s">
        <v>40</v>
      </c>
      <c r="O193" s="78" t="s">
        <v>40</v>
      </c>
      <c r="P193" s="78" t="s">
        <v>40</v>
      </c>
      <c r="Q193" s="249">
        <v>229</v>
      </c>
      <c r="R193" s="78" t="s">
        <v>40</v>
      </c>
      <c r="S193" s="78" t="s">
        <v>40</v>
      </c>
      <c r="T193" s="78" t="s">
        <v>40</v>
      </c>
      <c r="U193" s="78" t="s">
        <v>40</v>
      </c>
      <c r="V193" s="78" t="s">
        <v>40</v>
      </c>
      <c r="W193" s="78" t="s">
        <v>40</v>
      </c>
      <c r="X193" s="78" t="s">
        <v>40</v>
      </c>
      <c r="Y193" s="78" t="s">
        <v>40</v>
      </c>
      <c r="Z193" s="78" t="s">
        <v>40</v>
      </c>
    </row>
    <row r="194" spans="1:26" s="79" customFormat="1" ht="28.5" customHeight="1" x14ac:dyDescent="0.25">
      <c r="A194" s="74" t="s">
        <v>81</v>
      </c>
      <c r="B194" s="75">
        <v>43132</v>
      </c>
      <c r="C194" s="75" t="s">
        <v>105</v>
      </c>
      <c r="D194" s="76" t="s">
        <v>138</v>
      </c>
      <c r="E194" s="76" t="s">
        <v>151</v>
      </c>
      <c r="F194" s="76" t="s">
        <v>152</v>
      </c>
      <c r="G194" s="77">
        <v>690</v>
      </c>
      <c r="H194" s="77">
        <v>699.99</v>
      </c>
      <c r="I194" s="78" t="s">
        <v>40</v>
      </c>
      <c r="J194" s="78" t="s">
        <v>40</v>
      </c>
      <c r="K194" s="78" t="s">
        <v>40</v>
      </c>
      <c r="L194" s="78" t="s">
        <v>40</v>
      </c>
      <c r="M194" s="78" t="s">
        <v>40</v>
      </c>
      <c r="N194" s="78" t="s">
        <v>40</v>
      </c>
      <c r="O194" s="78" t="s">
        <v>40</v>
      </c>
      <c r="P194" s="78" t="s">
        <v>40</v>
      </c>
      <c r="Q194" s="77">
        <v>599.99</v>
      </c>
      <c r="R194" s="77">
        <v>330</v>
      </c>
      <c r="S194" s="77">
        <v>199.99</v>
      </c>
      <c r="T194" s="77">
        <v>99.990000000000009</v>
      </c>
      <c r="U194" s="77">
        <v>0</v>
      </c>
      <c r="V194" s="77">
        <v>599.99</v>
      </c>
      <c r="W194" s="77">
        <v>339.99</v>
      </c>
      <c r="X194" s="77">
        <v>199.99</v>
      </c>
      <c r="Y194" s="77">
        <v>99.990000000000009</v>
      </c>
      <c r="Z194" s="77">
        <v>0</v>
      </c>
    </row>
    <row r="195" spans="1:26" s="79" customFormat="1" ht="28.5" customHeight="1" x14ac:dyDescent="0.25">
      <c r="A195" s="74" t="s">
        <v>84</v>
      </c>
      <c r="B195" s="75"/>
      <c r="C195" s="75" t="s">
        <v>105</v>
      </c>
      <c r="D195" s="76" t="s">
        <v>138</v>
      </c>
      <c r="E195" s="76" t="s">
        <v>569</v>
      </c>
      <c r="F195" s="76" t="s">
        <v>570</v>
      </c>
      <c r="G195" s="77">
        <v>670</v>
      </c>
      <c r="H195" s="77">
        <v>720</v>
      </c>
      <c r="I195" s="78" t="s">
        <v>40</v>
      </c>
      <c r="J195" s="78" t="s">
        <v>40</v>
      </c>
      <c r="K195" s="78" t="s">
        <v>40</v>
      </c>
      <c r="L195" s="78" t="s">
        <v>40</v>
      </c>
      <c r="M195" s="78" t="s">
        <v>40</v>
      </c>
      <c r="N195" s="78" t="s">
        <v>40</v>
      </c>
      <c r="O195" s="78" t="s">
        <v>40</v>
      </c>
      <c r="P195" s="78" t="s">
        <v>40</v>
      </c>
      <c r="Q195" s="77">
        <v>620</v>
      </c>
      <c r="R195" s="77">
        <v>360</v>
      </c>
      <c r="S195" s="77">
        <v>220</v>
      </c>
      <c r="T195" s="77">
        <v>120</v>
      </c>
      <c r="U195" s="77">
        <v>20</v>
      </c>
      <c r="V195" s="77">
        <v>620</v>
      </c>
      <c r="W195" s="77">
        <v>360</v>
      </c>
      <c r="X195" s="77">
        <v>220</v>
      </c>
      <c r="Y195" s="77">
        <v>120</v>
      </c>
      <c r="Z195" s="77">
        <v>20</v>
      </c>
    </row>
    <row r="196" spans="1:26" s="79" customFormat="1" ht="28.5" customHeight="1" x14ac:dyDescent="0.25">
      <c r="A196" s="74" t="s">
        <v>81</v>
      </c>
      <c r="B196" s="75" t="s">
        <v>40</v>
      </c>
      <c r="C196" s="75" t="s">
        <v>105</v>
      </c>
      <c r="D196" s="75" t="s">
        <v>155</v>
      </c>
      <c r="E196" s="75" t="s">
        <v>157</v>
      </c>
      <c r="F196" s="75" t="s">
        <v>156</v>
      </c>
      <c r="G196" s="77">
        <v>175</v>
      </c>
      <c r="H196" s="77">
        <v>199.99</v>
      </c>
      <c r="I196" s="78">
        <v>0</v>
      </c>
      <c r="J196" s="78" t="s">
        <v>40</v>
      </c>
      <c r="K196" s="78" t="s">
        <v>40</v>
      </c>
      <c r="L196" s="78" t="s">
        <v>40</v>
      </c>
      <c r="M196" s="78">
        <v>0</v>
      </c>
      <c r="N196" s="78" t="s">
        <v>40</v>
      </c>
      <c r="O196" s="78" t="s">
        <v>40</v>
      </c>
      <c r="P196" s="78" t="s">
        <v>40</v>
      </c>
      <c r="Q196" s="77">
        <v>99.990000000000009</v>
      </c>
      <c r="R196" s="77">
        <v>0</v>
      </c>
      <c r="S196" s="77">
        <v>0</v>
      </c>
      <c r="T196" s="77">
        <v>0</v>
      </c>
      <c r="U196" s="77">
        <v>0</v>
      </c>
      <c r="V196" s="77">
        <v>99.990000000000009</v>
      </c>
      <c r="W196" s="77">
        <v>0</v>
      </c>
      <c r="X196" s="77">
        <v>0</v>
      </c>
      <c r="Y196" s="77">
        <v>0</v>
      </c>
      <c r="Z196" s="77">
        <v>0</v>
      </c>
    </row>
    <row r="197" spans="1:26" s="79" customFormat="1" ht="28.5" customHeight="1" x14ac:dyDescent="0.25">
      <c r="A197" s="74" t="s">
        <v>84</v>
      </c>
      <c r="B197" s="75" t="s">
        <v>40</v>
      </c>
      <c r="C197" s="75" t="s">
        <v>82</v>
      </c>
      <c r="D197" s="75" t="s">
        <v>158</v>
      </c>
      <c r="E197" s="75" t="s">
        <v>159</v>
      </c>
      <c r="F197" s="75" t="s">
        <v>160</v>
      </c>
      <c r="G197" s="77">
        <v>400</v>
      </c>
      <c r="H197" s="77">
        <v>399.99</v>
      </c>
      <c r="I197" s="78">
        <v>299.99</v>
      </c>
      <c r="J197" s="78">
        <v>99.99</v>
      </c>
      <c r="K197" s="78">
        <v>49.99</v>
      </c>
      <c r="L197" s="78">
        <v>0</v>
      </c>
      <c r="M197" s="78">
        <v>299.99</v>
      </c>
      <c r="N197" s="78">
        <v>99.99</v>
      </c>
      <c r="O197" s="78">
        <v>49.99</v>
      </c>
      <c r="P197" s="78">
        <v>0</v>
      </c>
      <c r="Q197" s="77">
        <v>299.99</v>
      </c>
      <c r="R197" s="77">
        <v>69.989999999999995</v>
      </c>
      <c r="S197" s="77">
        <v>0</v>
      </c>
      <c r="T197" s="77">
        <v>0</v>
      </c>
      <c r="U197" s="77">
        <v>0</v>
      </c>
      <c r="V197" s="77">
        <v>299.99</v>
      </c>
      <c r="W197" s="246">
        <v>69.989999999999995</v>
      </c>
      <c r="X197" s="77">
        <v>0</v>
      </c>
      <c r="Y197" s="77">
        <v>0</v>
      </c>
      <c r="Z197" s="77">
        <v>0</v>
      </c>
    </row>
    <row r="198" spans="1:26" s="79" customFormat="1" ht="28.5" customHeight="1" x14ac:dyDescent="0.25">
      <c r="A198" s="74" t="s">
        <v>84</v>
      </c>
      <c r="B198" s="75" t="s">
        <v>40</v>
      </c>
      <c r="C198" s="75" t="s">
        <v>82</v>
      </c>
      <c r="D198" s="75" t="s">
        <v>158</v>
      </c>
      <c r="E198" s="75" t="s">
        <v>161</v>
      </c>
      <c r="F198" s="75" t="s">
        <v>162</v>
      </c>
      <c r="G198" s="77">
        <v>750</v>
      </c>
      <c r="H198" s="77">
        <v>749.99</v>
      </c>
      <c r="I198" s="78">
        <v>549.99</v>
      </c>
      <c r="J198" s="78">
        <v>549.99</v>
      </c>
      <c r="K198" s="78">
        <v>549.99</v>
      </c>
      <c r="L198" s="78">
        <v>199.99</v>
      </c>
      <c r="M198" s="78">
        <v>549.99</v>
      </c>
      <c r="N198" s="78">
        <v>549.99</v>
      </c>
      <c r="O198" s="78">
        <v>549.99</v>
      </c>
      <c r="P198" s="78">
        <v>199.99</v>
      </c>
      <c r="Q198" s="77">
        <v>649.99</v>
      </c>
      <c r="R198" s="77">
        <v>389.99</v>
      </c>
      <c r="S198" s="77">
        <v>249.99</v>
      </c>
      <c r="T198" s="77">
        <v>149.99</v>
      </c>
      <c r="U198" s="77">
        <v>49.990000000000009</v>
      </c>
      <c r="V198" s="77">
        <v>649.99</v>
      </c>
      <c r="W198" s="77">
        <v>389.99</v>
      </c>
      <c r="X198" s="77">
        <v>249.99</v>
      </c>
      <c r="Y198" s="77">
        <v>149.99</v>
      </c>
      <c r="Z198" s="77">
        <v>49.990000000000009</v>
      </c>
    </row>
    <row r="199" spans="1:26" s="79" customFormat="1" ht="28.5" customHeight="1" x14ac:dyDescent="0.25">
      <c r="A199" s="74" t="s">
        <v>81</v>
      </c>
      <c r="B199" s="75">
        <v>43344</v>
      </c>
      <c r="C199" s="75" t="s">
        <v>82</v>
      </c>
      <c r="D199" s="75" t="s">
        <v>163</v>
      </c>
      <c r="E199" s="243" t="s">
        <v>571</v>
      </c>
      <c r="F199" s="75" t="s">
        <v>572</v>
      </c>
      <c r="G199" s="77">
        <v>690</v>
      </c>
      <c r="H199" s="77">
        <v>700</v>
      </c>
      <c r="I199" s="78">
        <v>600</v>
      </c>
      <c r="J199" s="78">
        <v>600</v>
      </c>
      <c r="K199" s="78">
        <v>600</v>
      </c>
      <c r="L199" s="78">
        <v>199.99</v>
      </c>
      <c r="M199" s="78">
        <v>600</v>
      </c>
      <c r="N199" s="78">
        <v>600</v>
      </c>
      <c r="O199" s="78">
        <v>600</v>
      </c>
      <c r="P199" s="78">
        <v>199.99</v>
      </c>
      <c r="Q199" s="77">
        <v>600</v>
      </c>
      <c r="R199" s="77">
        <v>340</v>
      </c>
      <c r="S199" s="77">
        <v>200</v>
      </c>
      <c r="T199" s="77">
        <v>100</v>
      </c>
      <c r="U199" s="77">
        <v>0</v>
      </c>
      <c r="V199" s="77">
        <v>600</v>
      </c>
      <c r="W199" s="77">
        <v>340</v>
      </c>
      <c r="X199" s="77">
        <v>200</v>
      </c>
      <c r="Y199" s="77">
        <v>100</v>
      </c>
      <c r="Z199" s="77">
        <v>0</v>
      </c>
    </row>
    <row r="200" spans="1:26" s="79" customFormat="1" ht="36" x14ac:dyDescent="0.25">
      <c r="A200" s="74" t="s">
        <v>84</v>
      </c>
      <c r="B200" s="75" t="s">
        <v>40</v>
      </c>
      <c r="C200" s="75" t="s">
        <v>105</v>
      </c>
      <c r="D200" s="76" t="s">
        <v>164</v>
      </c>
      <c r="E200" s="76" t="s">
        <v>167</v>
      </c>
      <c r="F200" s="76" t="s">
        <v>573</v>
      </c>
      <c r="G200" s="77">
        <v>235</v>
      </c>
      <c r="H200" s="77">
        <v>239.99</v>
      </c>
      <c r="I200" s="78">
        <v>139.99</v>
      </c>
      <c r="J200" s="78" t="s">
        <v>40</v>
      </c>
      <c r="K200" s="78" t="s">
        <v>40</v>
      </c>
      <c r="L200" s="78" t="s">
        <v>40</v>
      </c>
      <c r="M200" s="78">
        <v>139.99</v>
      </c>
      <c r="N200" s="78" t="s">
        <v>40</v>
      </c>
      <c r="O200" s="78" t="s">
        <v>40</v>
      </c>
      <c r="P200" s="78" t="s">
        <v>40</v>
      </c>
      <c r="Q200" s="250">
        <v>139.99</v>
      </c>
      <c r="R200" s="78" t="s">
        <v>40</v>
      </c>
      <c r="S200" s="78" t="s">
        <v>40</v>
      </c>
      <c r="T200" s="78" t="s">
        <v>40</v>
      </c>
      <c r="U200" s="78" t="s">
        <v>40</v>
      </c>
      <c r="V200" s="78" t="s">
        <v>40</v>
      </c>
      <c r="W200" s="78" t="s">
        <v>40</v>
      </c>
      <c r="X200" s="78" t="s">
        <v>40</v>
      </c>
      <c r="Y200" s="78" t="s">
        <v>40</v>
      </c>
      <c r="Z200" s="78" t="s">
        <v>40</v>
      </c>
    </row>
    <row r="201" spans="1:26" s="79" customFormat="1" ht="28.5" customHeight="1" x14ac:dyDescent="0.25">
      <c r="A201" s="74" t="s">
        <v>81</v>
      </c>
      <c r="B201" s="75" t="s">
        <v>40</v>
      </c>
      <c r="C201" s="75" t="s">
        <v>105</v>
      </c>
      <c r="D201" s="76" t="s">
        <v>164</v>
      </c>
      <c r="E201" s="76" t="s">
        <v>165</v>
      </c>
      <c r="F201" s="76" t="s">
        <v>166</v>
      </c>
      <c r="G201" s="77">
        <v>640</v>
      </c>
      <c r="H201" s="77">
        <v>650</v>
      </c>
      <c r="I201" s="78">
        <v>550</v>
      </c>
      <c r="J201" s="78">
        <v>550</v>
      </c>
      <c r="K201" s="78">
        <v>550</v>
      </c>
      <c r="L201" s="78">
        <v>399.99</v>
      </c>
      <c r="M201" s="78">
        <v>550</v>
      </c>
      <c r="N201" s="78">
        <v>550</v>
      </c>
      <c r="O201" s="78">
        <v>550</v>
      </c>
      <c r="P201" s="78">
        <v>399.99</v>
      </c>
      <c r="Q201" s="77">
        <v>550</v>
      </c>
      <c r="R201" s="77">
        <v>290</v>
      </c>
      <c r="S201" s="77">
        <v>150</v>
      </c>
      <c r="T201" s="77">
        <v>50</v>
      </c>
      <c r="U201" s="77">
        <v>0</v>
      </c>
      <c r="V201" s="77">
        <v>550</v>
      </c>
      <c r="W201" s="77">
        <v>290</v>
      </c>
      <c r="X201" s="77">
        <v>150</v>
      </c>
      <c r="Y201" s="77">
        <v>50</v>
      </c>
      <c r="Z201" s="77">
        <v>0</v>
      </c>
    </row>
    <row r="202" spans="1:26" s="79" customFormat="1" ht="28.5" customHeight="1" x14ac:dyDescent="0.25">
      <c r="A202" s="74" t="s">
        <v>84</v>
      </c>
      <c r="B202" s="75" t="s">
        <v>40</v>
      </c>
      <c r="C202" s="75" t="s">
        <v>105</v>
      </c>
      <c r="D202" s="76" t="s">
        <v>164</v>
      </c>
      <c r="E202" s="76" t="s">
        <v>168</v>
      </c>
      <c r="F202" s="76" t="s">
        <v>169</v>
      </c>
      <c r="G202" s="77">
        <v>175</v>
      </c>
      <c r="H202" s="77">
        <v>199.99</v>
      </c>
      <c r="I202" s="78">
        <v>99.99</v>
      </c>
      <c r="J202" s="78" t="s">
        <v>40</v>
      </c>
      <c r="K202" s="78" t="s">
        <v>40</v>
      </c>
      <c r="L202" s="78" t="s">
        <v>40</v>
      </c>
      <c r="M202" s="78">
        <v>99.99</v>
      </c>
      <c r="N202" s="78" t="s">
        <v>40</v>
      </c>
      <c r="O202" s="78" t="s">
        <v>40</v>
      </c>
      <c r="P202" s="78" t="s">
        <v>40</v>
      </c>
      <c r="Q202" s="250">
        <v>99.990000000000009</v>
      </c>
      <c r="R202" s="78" t="s">
        <v>40</v>
      </c>
      <c r="S202" s="78" t="s">
        <v>40</v>
      </c>
      <c r="T202" s="78" t="s">
        <v>40</v>
      </c>
      <c r="U202" s="78" t="s">
        <v>40</v>
      </c>
      <c r="V202" s="78" t="s">
        <v>40</v>
      </c>
      <c r="W202" s="78" t="s">
        <v>40</v>
      </c>
      <c r="X202" s="78" t="s">
        <v>40</v>
      </c>
      <c r="Y202" s="78" t="s">
        <v>40</v>
      </c>
      <c r="Z202" s="78" t="s">
        <v>40</v>
      </c>
    </row>
    <row r="203" spans="1:26" s="79" customFormat="1" ht="28.5" customHeight="1" x14ac:dyDescent="0.25">
      <c r="A203" s="74" t="s">
        <v>84</v>
      </c>
      <c r="B203" s="75" t="s">
        <v>40</v>
      </c>
      <c r="C203" s="75" t="s">
        <v>82</v>
      </c>
      <c r="D203" s="76" t="s">
        <v>164</v>
      </c>
      <c r="E203" s="76" t="s">
        <v>574</v>
      </c>
      <c r="F203" s="76" t="s">
        <v>575</v>
      </c>
      <c r="G203" s="77">
        <v>63</v>
      </c>
      <c r="H203" s="77">
        <v>63</v>
      </c>
      <c r="I203" s="78" t="s">
        <v>40</v>
      </c>
      <c r="J203" s="78">
        <v>0</v>
      </c>
      <c r="K203" s="78">
        <v>0</v>
      </c>
      <c r="L203" s="78">
        <v>0</v>
      </c>
      <c r="M203" s="78" t="s">
        <v>40</v>
      </c>
      <c r="N203" s="78">
        <v>0</v>
      </c>
      <c r="O203" s="78">
        <v>0</v>
      </c>
      <c r="P203" s="78">
        <v>0</v>
      </c>
      <c r="Q203" s="77">
        <v>0</v>
      </c>
      <c r="R203" s="77">
        <v>0</v>
      </c>
      <c r="S203" s="77">
        <v>0</v>
      </c>
      <c r="T203" s="77">
        <v>0</v>
      </c>
      <c r="U203" s="77">
        <v>0</v>
      </c>
      <c r="V203" s="77">
        <v>0</v>
      </c>
      <c r="W203" s="77">
        <v>0</v>
      </c>
      <c r="X203" s="77">
        <v>0</v>
      </c>
      <c r="Y203" s="77">
        <v>0</v>
      </c>
      <c r="Z203" s="77">
        <v>0</v>
      </c>
    </row>
    <row r="204" spans="1:26" s="79" customFormat="1" ht="30" customHeight="1" x14ac:dyDescent="0.25">
      <c r="A204" s="85"/>
      <c r="B204" s="85"/>
      <c r="C204" s="85"/>
      <c r="D204" s="86"/>
      <c r="E204" s="86"/>
      <c r="F204" s="86"/>
      <c r="G204" s="86"/>
      <c r="H204" s="260"/>
      <c r="I204" s="87"/>
      <c r="J204" s="87"/>
      <c r="K204" s="87"/>
      <c r="L204" s="87"/>
      <c r="M204" s="88"/>
      <c r="N204" s="87"/>
      <c r="O204" s="88"/>
      <c r="P204" s="88"/>
      <c r="Q204" s="87"/>
      <c r="R204" s="88"/>
      <c r="S204" s="88"/>
      <c r="T204" s="88"/>
      <c r="U204" s="88"/>
      <c r="V204" s="88"/>
      <c r="W204" s="88"/>
      <c r="X204" s="88"/>
      <c r="Y204" s="88"/>
      <c r="Z204" s="88"/>
    </row>
    <row r="205" spans="1:26" s="79" customFormat="1" ht="30" customHeight="1" x14ac:dyDescent="0.25">
      <c r="A205" s="89"/>
      <c r="B205" s="89"/>
      <c r="C205" s="89"/>
      <c r="D205" s="90"/>
      <c r="E205" s="90"/>
      <c r="F205" s="90"/>
      <c r="G205" s="90"/>
      <c r="H205" s="260"/>
      <c r="I205" s="91"/>
      <c r="J205" s="91"/>
      <c r="K205" s="91"/>
      <c r="L205" s="91"/>
      <c r="M205" s="92"/>
      <c r="N205" s="87"/>
      <c r="O205" s="88"/>
      <c r="P205" s="88"/>
      <c r="Q205" s="251"/>
      <c r="R205" s="251"/>
      <c r="S205" s="251"/>
      <c r="T205" s="251"/>
      <c r="U205" s="251"/>
      <c r="V205" s="251"/>
      <c r="W205" s="88"/>
      <c r="X205" s="88"/>
      <c r="Y205" s="88"/>
      <c r="Z205" s="92"/>
    </row>
    <row r="206" spans="1:26" ht="30" customHeight="1" x14ac:dyDescent="0.25">
      <c r="A206" s="93" t="s">
        <v>170</v>
      </c>
      <c r="B206" s="93"/>
      <c r="C206" s="93"/>
      <c r="D206" s="90"/>
      <c r="E206" s="90"/>
      <c r="F206" s="94"/>
      <c r="G206" s="95" t="s">
        <v>171</v>
      </c>
      <c r="H206" s="261"/>
      <c r="I206" s="95"/>
      <c r="J206" s="95"/>
      <c r="K206" s="95"/>
      <c r="L206" s="95"/>
      <c r="M206" s="92"/>
      <c r="N206" s="96"/>
      <c r="O206" s="89"/>
      <c r="P206" s="89"/>
      <c r="Q206" s="50"/>
      <c r="R206" s="50"/>
      <c r="S206" s="50"/>
      <c r="T206" s="50"/>
      <c r="U206" s="50"/>
      <c r="V206" s="50"/>
      <c r="W206" s="89"/>
      <c r="X206" s="89"/>
      <c r="Y206" s="89"/>
      <c r="Z206" s="89"/>
    </row>
    <row r="207" spans="1:26" ht="15" customHeight="1" x14ac:dyDescent="0.25">
      <c r="A207" s="97"/>
      <c r="B207" s="97"/>
      <c r="C207" s="97"/>
      <c r="D207" s="98"/>
      <c r="E207" s="98"/>
      <c r="F207" s="99"/>
      <c r="G207" s="99"/>
      <c r="H207" s="262"/>
      <c r="I207" s="100"/>
      <c r="J207" s="100"/>
      <c r="K207" s="100"/>
      <c r="L207" s="100"/>
      <c r="M207" s="101"/>
      <c r="N207" s="102"/>
      <c r="O207" s="50"/>
      <c r="P207" s="50"/>
      <c r="Q207" s="50"/>
      <c r="R207" s="50"/>
      <c r="S207" s="50"/>
      <c r="T207" s="50"/>
      <c r="U207" s="50"/>
      <c r="V207" s="50"/>
      <c r="W207" s="50"/>
      <c r="X207" s="50"/>
      <c r="Y207" s="50"/>
      <c r="Z207" s="50"/>
    </row>
    <row r="208" spans="1:26" ht="15" customHeight="1" x14ac:dyDescent="0.25">
      <c r="A208" s="103" t="s">
        <v>172</v>
      </c>
      <c r="B208" s="103"/>
      <c r="C208" s="103"/>
      <c r="D208" s="50"/>
      <c r="E208" s="97"/>
      <c r="F208" s="103"/>
      <c r="G208" s="103" t="s">
        <v>173</v>
      </c>
      <c r="H208" s="263"/>
      <c r="I208" s="50"/>
      <c r="J208" s="50"/>
      <c r="K208" s="50"/>
      <c r="L208" s="50"/>
      <c r="M208" s="101"/>
      <c r="N208" s="98"/>
      <c r="O208" s="103"/>
      <c r="P208" s="103"/>
      <c r="Q208" s="50"/>
      <c r="R208" s="50"/>
      <c r="S208" s="50"/>
      <c r="T208" s="50"/>
      <c r="U208" s="50"/>
      <c r="V208" s="50"/>
      <c r="W208" s="103"/>
      <c r="X208" s="103"/>
      <c r="Y208" s="103"/>
      <c r="Z208" s="103"/>
    </row>
    <row r="209" spans="1:26" s="251" customFormat="1" ht="15" customHeight="1" x14ac:dyDescent="0.25">
      <c r="A209" s="103"/>
      <c r="B209" s="103"/>
      <c r="C209" s="103"/>
      <c r="D209" s="50"/>
      <c r="E209" s="97"/>
      <c r="F209" s="103"/>
      <c r="G209" s="103"/>
      <c r="H209" s="264"/>
      <c r="I209" s="50"/>
      <c r="J209" s="50"/>
      <c r="K209" s="50"/>
      <c r="L209" s="50"/>
      <c r="M209" s="101"/>
      <c r="N209" s="98"/>
      <c r="O209" s="103"/>
      <c r="P209" s="103"/>
      <c r="Q209" s="50"/>
      <c r="R209" s="50"/>
      <c r="S209" s="50"/>
      <c r="T209" s="50"/>
      <c r="U209" s="50"/>
      <c r="V209" s="50"/>
      <c r="W209" s="103"/>
      <c r="X209" s="103"/>
      <c r="Y209" s="103"/>
      <c r="Z209" s="103"/>
    </row>
    <row r="210" spans="1:26" s="251" customFormat="1" ht="15" customHeight="1" x14ac:dyDescent="0.2">
      <c r="A210" s="105" t="s">
        <v>174</v>
      </c>
      <c r="B210" s="105"/>
      <c r="C210" s="105"/>
      <c r="D210" s="50"/>
      <c r="E210" s="50"/>
      <c r="F210" s="98"/>
      <c r="G210" s="105" t="s">
        <v>175</v>
      </c>
      <c r="H210" s="265"/>
      <c r="I210" s="104"/>
      <c r="J210" s="104"/>
      <c r="K210" s="104"/>
      <c r="L210" s="104"/>
      <c r="M210" s="101"/>
      <c r="N210" s="98"/>
      <c r="O210" s="50"/>
      <c r="P210" s="50"/>
      <c r="Q210" s="50"/>
      <c r="R210" s="50"/>
      <c r="S210" s="50"/>
      <c r="T210" s="50"/>
      <c r="U210" s="50"/>
      <c r="V210" s="50"/>
      <c r="W210" s="50"/>
      <c r="X210" s="50"/>
      <c r="Y210" s="50"/>
      <c r="Z210" s="50"/>
    </row>
    <row r="211" spans="1:26" s="251" customFormat="1" ht="15" customHeight="1" x14ac:dyDescent="0.2">
      <c r="A211" s="105" t="s">
        <v>176</v>
      </c>
      <c r="B211" s="105"/>
      <c r="C211" s="105"/>
      <c r="D211" s="50"/>
      <c r="E211" s="50"/>
      <c r="F211" s="98"/>
      <c r="G211" s="105" t="s">
        <v>177</v>
      </c>
      <c r="H211" s="265"/>
      <c r="I211" s="104"/>
      <c r="J211" s="104"/>
      <c r="K211" s="104"/>
      <c r="L211" s="104"/>
      <c r="M211" s="106"/>
      <c r="N211" s="98"/>
      <c r="O211" s="107"/>
      <c r="P211" s="50"/>
      <c r="Q211" s="50"/>
      <c r="R211" s="50"/>
      <c r="S211" s="50"/>
      <c r="T211" s="50"/>
      <c r="U211" s="50"/>
      <c r="V211" s="50"/>
      <c r="W211" s="50"/>
      <c r="X211" s="50"/>
      <c r="Y211" s="50"/>
      <c r="Z211" s="50"/>
    </row>
    <row r="212" spans="1:26" s="251" customFormat="1" ht="15" customHeight="1" x14ac:dyDescent="0.2">
      <c r="A212" s="105" t="s">
        <v>178</v>
      </c>
      <c r="B212" s="108"/>
      <c r="C212" s="108"/>
      <c r="D212" s="50"/>
      <c r="E212" s="103"/>
      <c r="F212" s="103"/>
      <c r="G212" s="105" t="s">
        <v>179</v>
      </c>
      <c r="H212" s="265"/>
      <c r="I212" s="50"/>
      <c r="J212" s="50"/>
      <c r="K212" s="50"/>
      <c r="L212" s="50"/>
      <c r="M212" s="106"/>
      <c r="N212" s="98"/>
      <c r="O212" s="104"/>
      <c r="P212" s="50"/>
      <c r="Q212" s="50"/>
      <c r="R212" s="50"/>
      <c r="S212" s="50"/>
      <c r="T212" s="50"/>
      <c r="U212" s="50"/>
      <c r="V212" s="50"/>
      <c r="W212" s="50"/>
      <c r="X212" s="50"/>
      <c r="Y212" s="50"/>
      <c r="Z212" s="50"/>
    </row>
    <row r="213" spans="1:26" s="251" customFormat="1" ht="15" customHeight="1" x14ac:dyDescent="0.2">
      <c r="A213" s="105"/>
      <c r="B213" s="108"/>
      <c r="C213" s="108"/>
      <c r="D213" s="98"/>
      <c r="E213" s="103"/>
      <c r="F213" s="103"/>
      <c r="G213" s="105"/>
      <c r="H213" s="263"/>
      <c r="I213" s="109"/>
      <c r="J213" s="109"/>
      <c r="K213" s="109"/>
      <c r="L213" s="109"/>
      <c r="M213" s="106"/>
      <c r="N213" s="98"/>
      <c r="O213" s="104"/>
      <c r="P213" s="50"/>
      <c r="Q213" s="50"/>
      <c r="R213" s="50"/>
      <c r="S213" s="50"/>
      <c r="T213" s="50"/>
      <c r="U213" s="50"/>
      <c r="V213" s="50"/>
      <c r="W213" s="50"/>
      <c r="X213" s="50"/>
      <c r="Y213" s="50"/>
      <c r="Z213" s="50"/>
    </row>
    <row r="214" spans="1:26" s="251" customFormat="1" ht="15" x14ac:dyDescent="0.2">
      <c r="A214" s="105" t="s">
        <v>180</v>
      </c>
      <c r="B214" s="108"/>
      <c r="C214" s="108"/>
      <c r="D214" s="98"/>
      <c r="E214" s="103"/>
      <c r="F214" s="103"/>
      <c r="G214" s="105" t="s">
        <v>181</v>
      </c>
      <c r="H214" s="266"/>
      <c r="I214" s="98"/>
      <c r="J214" s="98"/>
      <c r="K214" s="98"/>
      <c r="L214" s="98"/>
      <c r="M214" s="106"/>
      <c r="N214" s="98"/>
      <c r="O214" s="104"/>
      <c r="P214" s="50"/>
      <c r="Q214" s="50"/>
      <c r="R214" s="50"/>
      <c r="S214" s="50"/>
      <c r="T214" s="50"/>
      <c r="U214" s="50"/>
      <c r="V214" s="50"/>
      <c r="W214" s="50"/>
      <c r="X214" s="50"/>
      <c r="Y214" s="50"/>
      <c r="Z214" s="50"/>
    </row>
    <row r="215" spans="1:26" s="251" customFormat="1" ht="15" customHeight="1" x14ac:dyDescent="0.2">
      <c r="A215" s="105" t="s">
        <v>182</v>
      </c>
      <c r="B215" s="108"/>
      <c r="C215" s="108"/>
      <c r="D215" s="50"/>
      <c r="E215" s="103"/>
      <c r="F215" s="103"/>
      <c r="G215" s="105" t="s">
        <v>183</v>
      </c>
      <c r="H215" s="265"/>
      <c r="I215" s="104"/>
      <c r="J215" s="104"/>
      <c r="K215" s="104"/>
      <c r="L215" s="104"/>
      <c r="M215" s="106"/>
      <c r="N215" s="98"/>
      <c r="O215" s="104"/>
      <c r="P215" s="50"/>
      <c r="Q215" s="50"/>
      <c r="R215" s="50"/>
      <c r="S215" s="50"/>
      <c r="T215" s="50"/>
      <c r="U215" s="50"/>
      <c r="V215" s="50"/>
      <c r="W215" s="50"/>
      <c r="X215" s="50"/>
      <c r="Y215" s="50"/>
      <c r="Z215" s="50"/>
    </row>
    <row r="216" spans="1:26" s="251" customFormat="1" ht="15" customHeight="1" x14ac:dyDescent="0.2">
      <c r="A216" s="105" t="s">
        <v>184</v>
      </c>
      <c r="B216" s="108"/>
      <c r="C216" s="108"/>
      <c r="D216" s="50"/>
      <c r="E216" s="97"/>
      <c r="F216" s="103"/>
      <c r="G216" s="105" t="s">
        <v>185</v>
      </c>
      <c r="H216" s="263"/>
      <c r="I216" s="103"/>
      <c r="J216" s="103"/>
      <c r="K216" s="103"/>
      <c r="L216" s="103"/>
      <c r="M216" s="106"/>
      <c r="N216" s="104"/>
      <c r="O216" s="104"/>
      <c r="P216" s="101"/>
      <c r="Q216" s="50"/>
      <c r="R216" s="50"/>
      <c r="S216" s="50"/>
      <c r="T216" s="50"/>
      <c r="U216" s="50"/>
      <c r="V216" s="50"/>
      <c r="W216" s="101"/>
      <c r="X216" s="101"/>
      <c r="Y216" s="101"/>
      <c r="Z216" s="101"/>
    </row>
    <row r="217" spans="1:26" s="251" customFormat="1" ht="15" customHeight="1" x14ac:dyDescent="0.25">
      <c r="A217" s="105"/>
      <c r="B217" s="108"/>
      <c r="C217" s="108"/>
      <c r="D217" s="50"/>
      <c r="E217" s="103"/>
      <c r="F217" s="103"/>
      <c r="G217" s="105"/>
      <c r="H217" s="263"/>
      <c r="I217" s="103"/>
      <c r="J217" s="103"/>
      <c r="K217" s="103"/>
      <c r="L217" s="103"/>
      <c r="M217" s="106"/>
      <c r="N217" s="110"/>
      <c r="O217" s="110"/>
      <c r="P217" s="101"/>
      <c r="Q217" s="50"/>
      <c r="R217" s="50"/>
      <c r="S217" s="50"/>
      <c r="T217" s="50"/>
      <c r="U217" s="50"/>
      <c r="V217" s="50"/>
      <c r="W217" s="101"/>
      <c r="X217" s="101"/>
      <c r="Y217" s="101"/>
      <c r="Z217" s="101"/>
    </row>
    <row r="218" spans="1:26" s="251" customFormat="1" ht="20.25" customHeight="1" x14ac:dyDescent="0.2">
      <c r="A218" s="252" t="s">
        <v>576</v>
      </c>
      <c r="B218" s="108"/>
      <c r="C218" s="108"/>
      <c r="D218" s="50"/>
      <c r="E218" s="111"/>
      <c r="F218" s="111"/>
      <c r="G218" s="252" t="s">
        <v>186</v>
      </c>
      <c r="H218" s="265"/>
      <c r="I218" s="112"/>
      <c r="J218" s="112"/>
      <c r="K218" s="112"/>
      <c r="L218" s="112"/>
      <c r="M218" s="106"/>
      <c r="N218" s="112"/>
      <c r="O218" s="106"/>
      <c r="P218" s="106"/>
      <c r="Q218" s="50"/>
      <c r="R218" s="50"/>
      <c r="S218" s="50"/>
      <c r="T218" s="50"/>
      <c r="U218" s="50"/>
      <c r="V218" s="50"/>
      <c r="W218" s="106"/>
      <c r="X218" s="106"/>
      <c r="Y218" s="106"/>
      <c r="Z218" s="106"/>
    </row>
    <row r="219" spans="1:26" s="251" customFormat="1" ht="15" x14ac:dyDescent="0.25">
      <c r="A219" s="108"/>
      <c r="B219" s="113"/>
      <c r="C219" s="113"/>
      <c r="D219" s="114"/>
      <c r="E219" s="114"/>
      <c r="F219" s="114"/>
      <c r="G219" s="108"/>
      <c r="H219" s="267"/>
      <c r="I219" s="114"/>
      <c r="J219" s="114"/>
      <c r="K219" s="114"/>
      <c r="L219" s="114"/>
      <c r="M219" s="115"/>
      <c r="N219" s="116"/>
      <c r="O219" s="115"/>
      <c r="P219" s="115"/>
      <c r="Q219" s="50"/>
      <c r="R219" s="50"/>
      <c r="S219" s="50"/>
      <c r="T219" s="50"/>
      <c r="U219" s="50"/>
      <c r="V219" s="50"/>
      <c r="W219" s="115"/>
      <c r="X219" s="115"/>
      <c r="Y219" s="115"/>
      <c r="Z219" s="115"/>
    </row>
    <row r="220" spans="1:26" s="251" customFormat="1" ht="15" x14ac:dyDescent="0.25">
      <c r="A220" s="252" t="s">
        <v>187</v>
      </c>
      <c r="B220" s="113"/>
      <c r="C220" s="113"/>
      <c r="D220" s="114"/>
      <c r="E220" s="114"/>
      <c r="F220" s="114"/>
      <c r="G220" s="252" t="s">
        <v>188</v>
      </c>
      <c r="H220" s="267"/>
      <c r="I220" s="114"/>
      <c r="J220" s="114"/>
      <c r="K220" s="114"/>
      <c r="L220" s="114"/>
      <c r="M220" s="113"/>
      <c r="N220" s="114"/>
      <c r="O220" s="113"/>
      <c r="P220" s="113"/>
      <c r="Q220" s="50"/>
      <c r="R220" s="50"/>
      <c r="S220" s="50"/>
      <c r="T220" s="50"/>
      <c r="U220" s="50"/>
      <c r="V220" s="50"/>
      <c r="W220" s="113"/>
      <c r="X220" s="113"/>
      <c r="Y220" s="113"/>
      <c r="Z220" s="113"/>
    </row>
    <row r="221" spans="1:26" ht="15" x14ac:dyDescent="0.25">
      <c r="A221" s="108"/>
      <c r="D221" s="114"/>
      <c r="E221" s="114"/>
      <c r="F221" s="114"/>
      <c r="G221" s="108"/>
      <c r="I221" s="114"/>
      <c r="J221" s="114"/>
      <c r="K221" s="114"/>
      <c r="L221" s="114"/>
      <c r="M221" s="113"/>
      <c r="N221" s="114"/>
      <c r="O221" s="113"/>
      <c r="P221" s="113"/>
      <c r="Q221" s="50"/>
      <c r="R221" s="50"/>
      <c r="S221" s="50"/>
      <c r="T221" s="50"/>
      <c r="U221" s="50"/>
      <c r="V221" s="50"/>
      <c r="W221" s="113"/>
      <c r="X221" s="113"/>
      <c r="Y221" s="113"/>
      <c r="Z221" s="113"/>
    </row>
    <row r="222" spans="1:26" ht="15" x14ac:dyDescent="0.25">
      <c r="A222" s="252" t="s">
        <v>577</v>
      </c>
      <c r="D222" s="114"/>
      <c r="E222" s="114"/>
      <c r="F222" s="114"/>
      <c r="G222" s="252" t="s">
        <v>577</v>
      </c>
      <c r="I222" s="114"/>
      <c r="J222" s="114"/>
      <c r="K222" s="114"/>
      <c r="L222" s="114"/>
      <c r="M222" s="113"/>
      <c r="N222" s="114"/>
      <c r="O222" s="113"/>
      <c r="P222" s="113"/>
      <c r="Q222" s="50"/>
      <c r="R222" s="50"/>
      <c r="S222" s="50"/>
      <c r="T222" s="50"/>
      <c r="U222" s="50"/>
      <c r="V222" s="50"/>
      <c r="W222" s="113"/>
      <c r="X222" s="113"/>
      <c r="Y222" s="113"/>
      <c r="Z222" s="113"/>
    </row>
    <row r="223" spans="1:26" ht="15" x14ac:dyDescent="0.25">
      <c r="A223" s="89"/>
      <c r="B223" s="89"/>
      <c r="C223" s="89"/>
      <c r="D223" s="114"/>
      <c r="E223" s="114"/>
      <c r="F223" s="114"/>
      <c r="G223" s="114"/>
      <c r="I223" s="114"/>
      <c r="J223" s="114"/>
      <c r="K223" s="114"/>
      <c r="L223" s="114"/>
      <c r="M223" s="113"/>
      <c r="N223" s="114"/>
      <c r="O223" s="113"/>
      <c r="P223" s="113"/>
      <c r="Q223" s="50"/>
      <c r="R223" s="50"/>
      <c r="S223" s="50"/>
      <c r="T223" s="50"/>
      <c r="U223" s="50"/>
      <c r="V223" s="50"/>
      <c r="W223" s="113"/>
      <c r="X223" s="113"/>
      <c r="Y223" s="113"/>
      <c r="Z223" s="113"/>
    </row>
    <row r="224" spans="1:26" ht="15" x14ac:dyDescent="0.25">
      <c r="A224" s="89"/>
      <c r="B224" s="89"/>
      <c r="C224" s="89"/>
      <c r="D224" s="114"/>
      <c r="E224" s="114"/>
      <c r="F224" s="114"/>
      <c r="G224" s="114"/>
      <c r="I224" s="114"/>
      <c r="J224" s="114"/>
      <c r="K224" s="114"/>
      <c r="L224" s="114"/>
      <c r="M224" s="113"/>
      <c r="N224" s="114"/>
      <c r="O224" s="113"/>
      <c r="P224" s="113"/>
      <c r="Q224" s="50"/>
      <c r="R224" s="50"/>
      <c r="S224" s="50"/>
      <c r="T224" s="50"/>
      <c r="U224" s="50"/>
      <c r="V224" s="50"/>
      <c r="W224" s="113"/>
      <c r="X224" s="113"/>
      <c r="Y224" s="113"/>
      <c r="Z224" s="113"/>
    </row>
    <row r="225" spans="1:26" ht="15" x14ac:dyDescent="0.25">
      <c r="A225" s="89"/>
      <c r="B225" s="89"/>
      <c r="C225" s="89"/>
      <c r="D225" s="114"/>
      <c r="E225" s="114"/>
      <c r="F225" s="114"/>
      <c r="G225" s="114"/>
      <c r="I225" s="114"/>
      <c r="J225" s="114"/>
      <c r="K225" s="114"/>
      <c r="L225" s="114"/>
      <c r="M225" s="113"/>
      <c r="N225" s="114"/>
      <c r="O225" s="113"/>
      <c r="P225" s="113"/>
      <c r="Q225" s="50"/>
      <c r="R225" s="50"/>
      <c r="S225" s="50"/>
      <c r="T225" s="50"/>
      <c r="U225" s="50"/>
      <c r="V225" s="50"/>
      <c r="W225" s="113"/>
      <c r="X225" s="113"/>
      <c r="Y225" s="113"/>
      <c r="Z225" s="113"/>
    </row>
    <row r="226" spans="1:26" ht="15" x14ac:dyDescent="0.25">
      <c r="A226" s="89"/>
      <c r="B226" s="89"/>
      <c r="C226" s="89"/>
      <c r="D226" s="114"/>
      <c r="E226" s="114"/>
      <c r="F226" s="114"/>
      <c r="G226" s="114"/>
      <c r="I226" s="114"/>
      <c r="J226" s="114"/>
      <c r="K226" s="114"/>
      <c r="L226" s="114"/>
      <c r="M226" s="113"/>
      <c r="N226" s="114"/>
      <c r="O226" s="113"/>
      <c r="P226" s="113"/>
      <c r="Q226" s="50"/>
      <c r="R226" s="50"/>
      <c r="S226" s="50"/>
      <c r="T226" s="50"/>
      <c r="U226" s="50"/>
      <c r="V226" s="50"/>
      <c r="W226" s="113"/>
      <c r="X226" s="113"/>
      <c r="Y226" s="113"/>
      <c r="Z226" s="113"/>
    </row>
    <row r="227" spans="1:26" ht="15" x14ac:dyDescent="0.25">
      <c r="A227" s="89"/>
      <c r="B227" s="89"/>
      <c r="C227" s="89"/>
      <c r="D227" s="114"/>
      <c r="E227" s="114"/>
      <c r="F227" s="114"/>
      <c r="G227" s="114"/>
      <c r="I227" s="114"/>
      <c r="J227" s="114"/>
      <c r="K227" s="114"/>
      <c r="L227" s="114"/>
      <c r="M227" s="113"/>
      <c r="N227" s="114"/>
      <c r="O227" s="113"/>
      <c r="P227" s="113"/>
      <c r="Q227" s="50"/>
      <c r="R227" s="50"/>
      <c r="S227" s="50"/>
      <c r="T227" s="50"/>
      <c r="U227" s="50"/>
      <c r="V227" s="50"/>
      <c r="W227" s="113"/>
      <c r="X227" s="113"/>
      <c r="Y227" s="113"/>
      <c r="Z227" s="113"/>
    </row>
    <row r="228" spans="1:26" ht="15" x14ac:dyDescent="0.25">
      <c r="A228" s="89"/>
      <c r="B228" s="89"/>
      <c r="C228" s="89"/>
      <c r="D228" s="114"/>
      <c r="E228" s="114"/>
      <c r="F228" s="114"/>
      <c r="G228" s="114"/>
      <c r="I228" s="114"/>
      <c r="J228" s="114"/>
      <c r="K228" s="114"/>
      <c r="L228" s="114"/>
      <c r="M228" s="113"/>
      <c r="N228" s="114"/>
      <c r="O228" s="113"/>
      <c r="P228" s="113"/>
      <c r="Q228" s="50"/>
      <c r="R228" s="50"/>
      <c r="S228" s="50"/>
      <c r="T228" s="50"/>
      <c r="U228" s="50"/>
      <c r="V228" s="50"/>
      <c r="W228" s="113"/>
      <c r="X228" s="113"/>
      <c r="Y228" s="113"/>
      <c r="Z228" s="113"/>
    </row>
    <row r="229" spans="1:26" ht="15" x14ac:dyDescent="0.25">
      <c r="A229" s="89"/>
      <c r="B229" s="89"/>
      <c r="C229" s="89"/>
      <c r="D229" s="117"/>
      <c r="E229" s="117"/>
      <c r="F229" s="114"/>
      <c r="G229" s="114"/>
      <c r="I229" s="114"/>
      <c r="J229" s="114"/>
      <c r="K229" s="114"/>
      <c r="L229" s="114"/>
      <c r="M229" s="113"/>
      <c r="N229" s="114"/>
      <c r="O229" s="113"/>
      <c r="P229" s="113"/>
      <c r="Q229" s="50"/>
      <c r="R229" s="50"/>
      <c r="S229" s="50"/>
      <c r="T229" s="50"/>
      <c r="U229" s="50"/>
      <c r="V229" s="50"/>
      <c r="W229" s="113"/>
      <c r="X229" s="113"/>
      <c r="Y229" s="113"/>
      <c r="Z229" s="113"/>
    </row>
    <row r="230" spans="1:26" ht="15" x14ac:dyDescent="0.25">
      <c r="A230" s="89"/>
      <c r="B230" s="89"/>
      <c r="C230" s="89"/>
      <c r="D230" s="114"/>
      <c r="E230" s="114"/>
      <c r="F230" s="114"/>
      <c r="G230" s="114"/>
      <c r="I230" s="114"/>
      <c r="J230" s="114"/>
      <c r="K230" s="114"/>
      <c r="L230" s="114"/>
      <c r="M230" s="113"/>
      <c r="N230" s="114"/>
      <c r="O230" s="113"/>
      <c r="P230" s="113"/>
      <c r="Q230" s="50"/>
      <c r="R230" s="50"/>
      <c r="S230" s="50"/>
      <c r="T230" s="50"/>
      <c r="U230" s="50"/>
      <c r="V230" s="50"/>
      <c r="W230" s="113"/>
      <c r="X230" s="113"/>
      <c r="Y230" s="113"/>
      <c r="Z230" s="113"/>
    </row>
    <row r="231" spans="1:26" ht="15" x14ac:dyDescent="0.25">
      <c r="A231" s="89"/>
      <c r="B231" s="89"/>
      <c r="C231" s="89"/>
      <c r="D231" s="114"/>
      <c r="E231" s="114"/>
      <c r="F231" s="114"/>
      <c r="G231" s="114"/>
      <c r="I231" s="114"/>
      <c r="J231" s="114"/>
      <c r="K231" s="114"/>
      <c r="L231" s="114"/>
      <c r="M231" s="113"/>
      <c r="N231" s="114"/>
      <c r="O231" s="113"/>
      <c r="P231" s="113"/>
      <c r="Q231" s="50"/>
      <c r="R231" s="50"/>
      <c r="S231" s="50"/>
      <c r="T231" s="50"/>
      <c r="U231" s="50"/>
      <c r="V231" s="50"/>
      <c r="W231" s="113"/>
      <c r="X231" s="113"/>
      <c r="Y231" s="113"/>
      <c r="Z231" s="113"/>
    </row>
    <row r="232" spans="1:26" ht="15" x14ac:dyDescent="0.25">
      <c r="A232" s="89"/>
      <c r="B232" s="89"/>
      <c r="C232" s="89"/>
      <c r="D232" s="114"/>
      <c r="E232" s="114"/>
      <c r="F232" s="114"/>
      <c r="G232" s="114"/>
      <c r="I232" s="114"/>
      <c r="J232" s="114"/>
      <c r="K232" s="114"/>
      <c r="L232" s="114"/>
      <c r="M232" s="113"/>
      <c r="N232" s="114"/>
      <c r="O232" s="113"/>
      <c r="P232" s="113"/>
      <c r="Q232" s="50"/>
      <c r="R232" s="50"/>
      <c r="S232" s="50"/>
      <c r="T232" s="50"/>
      <c r="U232" s="50"/>
      <c r="V232" s="50"/>
      <c r="W232" s="113"/>
      <c r="X232" s="113"/>
      <c r="Y232" s="113"/>
      <c r="Z232" s="113"/>
    </row>
    <row r="233" spans="1:26" ht="15" x14ac:dyDescent="0.25">
      <c r="A233" s="89"/>
      <c r="B233" s="89"/>
      <c r="C233" s="89"/>
      <c r="D233" s="114"/>
      <c r="E233" s="114"/>
      <c r="F233" s="114"/>
      <c r="G233" s="114"/>
      <c r="I233" s="114"/>
      <c r="J233" s="114"/>
      <c r="K233" s="114"/>
      <c r="L233" s="114"/>
      <c r="M233" s="113"/>
      <c r="N233" s="114"/>
      <c r="O233" s="113"/>
      <c r="P233" s="113"/>
      <c r="Q233" s="50"/>
      <c r="R233" s="50"/>
      <c r="S233" s="50"/>
      <c r="T233" s="50"/>
      <c r="U233" s="50"/>
      <c r="V233" s="50"/>
      <c r="W233" s="113"/>
      <c r="X233" s="113"/>
      <c r="Y233" s="113"/>
      <c r="Z233" s="113"/>
    </row>
    <row r="234" spans="1:26" ht="15" x14ac:dyDescent="0.25">
      <c r="A234" s="89"/>
      <c r="B234" s="89"/>
      <c r="C234" s="89"/>
      <c r="D234" s="114"/>
      <c r="E234" s="114"/>
      <c r="F234" s="114"/>
      <c r="G234" s="114"/>
      <c r="I234" s="114"/>
      <c r="J234" s="114"/>
      <c r="K234" s="114"/>
      <c r="L234" s="114"/>
      <c r="M234" s="113"/>
      <c r="N234" s="114"/>
      <c r="O234" s="113"/>
      <c r="P234" s="113"/>
      <c r="Q234" s="50"/>
      <c r="R234" s="50"/>
      <c r="S234" s="50"/>
      <c r="T234" s="50"/>
      <c r="U234" s="50"/>
      <c r="V234" s="50"/>
      <c r="W234" s="113"/>
      <c r="X234" s="113"/>
      <c r="Y234" s="113"/>
      <c r="Z234" s="113"/>
    </row>
    <row r="235" spans="1:26" ht="15" x14ac:dyDescent="0.25">
      <c r="A235" s="89"/>
      <c r="B235" s="89"/>
      <c r="C235" s="89"/>
      <c r="D235" s="114"/>
      <c r="E235" s="114"/>
      <c r="F235" s="114"/>
      <c r="G235" s="114"/>
      <c r="I235" s="114"/>
      <c r="J235" s="114"/>
      <c r="K235" s="114"/>
      <c r="L235" s="114"/>
      <c r="M235" s="113"/>
      <c r="N235" s="114"/>
      <c r="O235" s="113"/>
      <c r="P235" s="113"/>
      <c r="Q235" s="50"/>
      <c r="R235" s="50"/>
      <c r="S235" s="50"/>
      <c r="T235" s="50"/>
      <c r="U235" s="50"/>
      <c r="V235" s="50"/>
      <c r="W235" s="113"/>
      <c r="X235" s="113"/>
      <c r="Y235" s="113"/>
      <c r="Z235" s="113"/>
    </row>
    <row r="236" spans="1:26" ht="15" x14ac:dyDescent="0.25">
      <c r="A236" s="89"/>
      <c r="B236" s="89"/>
      <c r="C236" s="89"/>
      <c r="D236" s="114"/>
      <c r="E236" s="114"/>
      <c r="F236" s="114"/>
      <c r="G236" s="114"/>
      <c r="I236" s="114"/>
      <c r="J236" s="114"/>
      <c r="K236" s="114"/>
      <c r="L236" s="114"/>
      <c r="M236" s="113"/>
      <c r="N236" s="114"/>
      <c r="O236" s="113"/>
      <c r="P236" s="113"/>
      <c r="Q236" s="50"/>
      <c r="R236" s="50"/>
      <c r="S236" s="50"/>
      <c r="T236" s="50"/>
      <c r="U236" s="50"/>
      <c r="V236" s="50"/>
      <c r="W236" s="113"/>
      <c r="X236" s="113"/>
      <c r="Y236" s="113"/>
      <c r="Z236" s="113"/>
    </row>
    <row r="237" spans="1:26" ht="15" x14ac:dyDescent="0.25">
      <c r="A237" s="89"/>
      <c r="B237" s="89"/>
      <c r="C237" s="89"/>
      <c r="D237" s="114"/>
      <c r="E237" s="114"/>
      <c r="F237" s="114"/>
      <c r="G237" s="114"/>
      <c r="I237" s="114"/>
      <c r="J237" s="114"/>
      <c r="K237" s="114"/>
      <c r="L237" s="114"/>
      <c r="M237" s="113"/>
      <c r="N237" s="114"/>
      <c r="O237" s="113"/>
      <c r="P237" s="113"/>
      <c r="Q237" s="50"/>
      <c r="R237" s="50"/>
      <c r="S237" s="50"/>
      <c r="T237" s="50"/>
      <c r="U237" s="50"/>
      <c r="V237" s="50"/>
      <c r="W237" s="113"/>
      <c r="X237" s="113"/>
      <c r="Y237" s="113"/>
      <c r="Z237" s="113"/>
    </row>
    <row r="238" spans="1:26" ht="15" x14ac:dyDescent="0.25">
      <c r="A238" s="89"/>
      <c r="B238" s="89"/>
      <c r="C238" s="89"/>
      <c r="D238" s="114"/>
      <c r="E238" s="114"/>
      <c r="F238" s="114"/>
      <c r="G238" s="114"/>
      <c r="I238" s="114"/>
      <c r="J238" s="114"/>
      <c r="K238" s="114"/>
      <c r="L238" s="114"/>
      <c r="M238" s="113"/>
      <c r="N238" s="114"/>
      <c r="O238" s="113"/>
      <c r="P238" s="113"/>
      <c r="Q238" s="50"/>
      <c r="R238" s="50"/>
      <c r="S238" s="50"/>
      <c r="T238" s="50"/>
      <c r="U238" s="50"/>
      <c r="V238" s="50"/>
      <c r="W238" s="113"/>
      <c r="X238" s="113"/>
      <c r="Y238" s="113"/>
      <c r="Z238" s="113"/>
    </row>
    <row r="239" spans="1:26" ht="15" x14ac:dyDescent="0.25">
      <c r="A239" s="89"/>
      <c r="B239" s="89"/>
      <c r="C239" s="89"/>
      <c r="D239" s="114"/>
      <c r="E239" s="114"/>
      <c r="F239" s="114"/>
      <c r="G239" s="114"/>
      <c r="I239" s="114"/>
      <c r="J239" s="114"/>
      <c r="K239" s="114"/>
      <c r="L239" s="114"/>
      <c r="M239" s="113"/>
      <c r="N239" s="114"/>
      <c r="O239" s="113"/>
      <c r="P239" s="113"/>
      <c r="Q239" s="50"/>
      <c r="R239" s="50"/>
      <c r="S239" s="50"/>
      <c r="T239" s="50"/>
      <c r="U239" s="50"/>
      <c r="V239" s="50"/>
      <c r="W239" s="113"/>
      <c r="X239" s="113"/>
      <c r="Y239" s="113"/>
      <c r="Z239" s="113"/>
    </row>
    <row r="240" spans="1:26" ht="15" x14ac:dyDescent="0.25">
      <c r="A240" s="89"/>
      <c r="B240" s="89"/>
      <c r="C240" s="89"/>
      <c r="D240" s="114"/>
      <c r="E240" s="114"/>
      <c r="F240" s="114"/>
      <c r="G240" s="114"/>
      <c r="I240" s="114"/>
      <c r="J240" s="114"/>
      <c r="K240" s="114"/>
      <c r="L240" s="114"/>
      <c r="M240" s="113"/>
      <c r="N240" s="114"/>
      <c r="O240" s="113"/>
      <c r="P240" s="113"/>
      <c r="Q240" s="50"/>
      <c r="R240" s="50"/>
      <c r="S240" s="50"/>
      <c r="T240" s="50"/>
      <c r="U240" s="50"/>
      <c r="V240" s="50"/>
      <c r="W240" s="113"/>
      <c r="X240" s="113"/>
      <c r="Y240" s="113"/>
      <c r="Z240" s="113"/>
    </row>
    <row r="241" spans="1:26" ht="15" x14ac:dyDescent="0.25">
      <c r="A241" s="89"/>
      <c r="B241" s="89"/>
      <c r="C241" s="89"/>
      <c r="D241" s="114"/>
      <c r="E241" s="114"/>
      <c r="F241" s="114"/>
      <c r="G241" s="114"/>
      <c r="I241" s="114"/>
      <c r="J241" s="114"/>
      <c r="K241" s="114"/>
      <c r="L241" s="114"/>
      <c r="M241" s="113"/>
      <c r="N241" s="114"/>
      <c r="O241" s="113"/>
      <c r="P241" s="113"/>
      <c r="Q241" s="50"/>
      <c r="R241" s="50"/>
      <c r="S241" s="50"/>
      <c r="T241" s="50"/>
      <c r="U241" s="50"/>
      <c r="V241" s="50"/>
      <c r="W241" s="113"/>
      <c r="X241" s="113"/>
      <c r="Y241" s="113"/>
      <c r="Z241" s="113"/>
    </row>
    <row r="242" spans="1:26" ht="15" x14ac:dyDescent="0.25">
      <c r="A242" s="89"/>
      <c r="B242" s="89"/>
      <c r="C242" s="89"/>
      <c r="D242" s="114"/>
      <c r="E242" s="114"/>
      <c r="F242" s="114"/>
      <c r="G242" s="114"/>
      <c r="I242" s="114"/>
      <c r="J242" s="114"/>
      <c r="K242" s="114"/>
      <c r="L242" s="114"/>
      <c r="M242" s="113"/>
      <c r="N242" s="114"/>
      <c r="O242" s="113"/>
      <c r="P242" s="113"/>
      <c r="Q242" s="50"/>
      <c r="R242" s="50"/>
      <c r="S242" s="50"/>
      <c r="T242" s="50"/>
      <c r="U242" s="50"/>
      <c r="V242" s="50"/>
      <c r="W242" s="113"/>
      <c r="X242" s="113"/>
      <c r="Y242" s="113"/>
      <c r="Z242" s="113"/>
    </row>
    <row r="243" spans="1:26" ht="15" x14ac:dyDescent="0.25">
      <c r="A243" s="89"/>
      <c r="B243" s="89"/>
      <c r="C243" s="89"/>
      <c r="D243" s="114"/>
      <c r="E243" s="114"/>
      <c r="F243" s="114"/>
      <c r="G243" s="114"/>
      <c r="I243" s="114"/>
      <c r="J243" s="114"/>
      <c r="K243" s="114"/>
      <c r="L243" s="114"/>
      <c r="M243" s="113"/>
      <c r="N243" s="114"/>
      <c r="O243" s="113"/>
      <c r="P243" s="113"/>
      <c r="Q243" s="50"/>
      <c r="R243" s="50"/>
      <c r="S243" s="50"/>
      <c r="T243" s="50"/>
      <c r="U243" s="50"/>
      <c r="V243" s="50"/>
      <c r="W243" s="113"/>
      <c r="X243" s="113"/>
      <c r="Y243" s="113"/>
      <c r="Z243" s="113"/>
    </row>
    <row r="244" spans="1:26" ht="15" x14ac:dyDescent="0.25">
      <c r="A244" s="89"/>
      <c r="B244" s="89"/>
      <c r="C244" s="89"/>
      <c r="D244" s="114"/>
      <c r="E244" s="114"/>
      <c r="F244" s="114"/>
      <c r="G244" s="114"/>
      <c r="I244" s="114"/>
      <c r="J244" s="114"/>
      <c r="K244" s="114"/>
      <c r="L244" s="114"/>
      <c r="M244" s="113"/>
      <c r="N244" s="114"/>
      <c r="O244" s="113"/>
      <c r="P244" s="113"/>
      <c r="Q244" s="50"/>
      <c r="R244" s="50"/>
      <c r="S244" s="50"/>
      <c r="T244" s="50"/>
      <c r="U244" s="50"/>
      <c r="V244" s="50"/>
      <c r="W244" s="113"/>
      <c r="X244" s="113"/>
      <c r="Y244" s="113"/>
      <c r="Z244" s="113"/>
    </row>
    <row r="245" spans="1:26" ht="15" x14ac:dyDescent="0.25">
      <c r="A245" s="89"/>
      <c r="B245" s="89"/>
      <c r="C245" s="89"/>
      <c r="D245" s="114"/>
      <c r="E245" s="114"/>
      <c r="F245" s="114"/>
      <c r="G245" s="114"/>
      <c r="I245" s="114"/>
      <c r="J245" s="114"/>
      <c r="K245" s="114"/>
      <c r="L245" s="114"/>
      <c r="M245" s="113"/>
      <c r="N245" s="114"/>
      <c r="O245" s="113"/>
      <c r="P245" s="113"/>
      <c r="Q245" s="50"/>
      <c r="R245" s="50"/>
      <c r="S245" s="50"/>
      <c r="T245" s="50"/>
      <c r="U245" s="50"/>
      <c r="V245" s="50"/>
      <c r="W245" s="113"/>
      <c r="X245" s="113"/>
      <c r="Y245" s="113"/>
      <c r="Z245" s="113"/>
    </row>
    <row r="246" spans="1:26" ht="15" x14ac:dyDescent="0.25">
      <c r="A246" s="89"/>
      <c r="B246" s="89"/>
      <c r="C246" s="89"/>
      <c r="D246" s="114"/>
      <c r="E246" s="114"/>
      <c r="F246" s="114"/>
      <c r="G246" s="114"/>
      <c r="I246" s="114"/>
      <c r="J246" s="114"/>
      <c r="K246" s="114"/>
      <c r="L246" s="114"/>
      <c r="M246" s="113"/>
      <c r="N246" s="114"/>
      <c r="O246" s="113"/>
      <c r="P246" s="113"/>
      <c r="Q246" s="50"/>
      <c r="R246" s="50"/>
      <c r="S246" s="50"/>
      <c r="T246" s="50"/>
      <c r="U246" s="50"/>
      <c r="V246" s="50"/>
      <c r="W246" s="113"/>
      <c r="X246" s="113"/>
      <c r="Y246" s="113"/>
      <c r="Z246" s="113"/>
    </row>
    <row r="247" spans="1:26" ht="15" x14ac:dyDescent="0.25">
      <c r="A247" s="89"/>
      <c r="B247" s="89"/>
      <c r="C247" s="89"/>
      <c r="D247" s="114"/>
      <c r="E247" s="114"/>
      <c r="F247" s="114"/>
      <c r="G247" s="114"/>
      <c r="I247" s="114"/>
      <c r="J247" s="114"/>
      <c r="K247" s="114"/>
      <c r="L247" s="114"/>
      <c r="M247" s="113"/>
      <c r="N247" s="114"/>
      <c r="O247" s="113"/>
      <c r="P247" s="113"/>
      <c r="Q247" s="50"/>
      <c r="R247" s="50"/>
      <c r="S247" s="50"/>
      <c r="T247" s="50"/>
      <c r="U247" s="50"/>
      <c r="V247" s="50"/>
      <c r="W247" s="113"/>
      <c r="X247" s="113"/>
      <c r="Y247" s="113"/>
      <c r="Z247" s="113"/>
    </row>
    <row r="248" spans="1:26" ht="15" x14ac:dyDescent="0.25">
      <c r="A248" s="89"/>
      <c r="B248" s="89"/>
      <c r="C248" s="89"/>
      <c r="D248" s="114"/>
      <c r="E248" s="114"/>
      <c r="F248" s="114"/>
      <c r="G248" s="114"/>
      <c r="I248" s="114"/>
      <c r="J248" s="114"/>
      <c r="K248" s="114"/>
      <c r="L248" s="114"/>
      <c r="M248" s="113"/>
      <c r="N248" s="114"/>
      <c r="O248" s="113"/>
      <c r="P248" s="113"/>
      <c r="Q248" s="50"/>
      <c r="R248" s="50"/>
      <c r="S248" s="50"/>
      <c r="T248" s="50"/>
      <c r="U248" s="50"/>
      <c r="V248" s="50"/>
      <c r="W248" s="113"/>
      <c r="X248" s="113"/>
      <c r="Y248" s="113"/>
      <c r="Z248" s="113"/>
    </row>
    <row r="249" spans="1:26" ht="15" x14ac:dyDescent="0.25">
      <c r="A249" s="89"/>
      <c r="B249" s="89"/>
      <c r="C249" s="89"/>
      <c r="D249" s="114"/>
      <c r="E249" s="114"/>
      <c r="F249" s="114"/>
      <c r="G249" s="114"/>
      <c r="I249" s="114"/>
      <c r="J249" s="114"/>
      <c r="K249" s="114"/>
      <c r="L249" s="114"/>
      <c r="M249" s="113"/>
      <c r="N249" s="114"/>
      <c r="O249" s="113"/>
      <c r="P249" s="113"/>
      <c r="Q249" s="50"/>
      <c r="R249" s="50"/>
      <c r="S249" s="50"/>
      <c r="T249" s="50"/>
      <c r="U249" s="50"/>
      <c r="V249" s="50"/>
      <c r="W249" s="113"/>
      <c r="X249" s="113"/>
      <c r="Y249" s="113"/>
      <c r="Z249" s="113"/>
    </row>
    <row r="250" spans="1:26" ht="15" x14ac:dyDescent="0.25">
      <c r="A250" s="89"/>
      <c r="B250" s="89"/>
      <c r="C250" s="89"/>
      <c r="D250" s="114"/>
      <c r="E250" s="114"/>
      <c r="F250" s="114"/>
      <c r="G250" s="114"/>
      <c r="I250" s="114"/>
      <c r="J250" s="114"/>
      <c r="K250" s="114"/>
      <c r="L250" s="114"/>
      <c r="M250" s="113"/>
      <c r="N250" s="114"/>
      <c r="O250" s="113"/>
      <c r="P250" s="113"/>
      <c r="Q250" s="50"/>
      <c r="R250" s="50"/>
      <c r="S250" s="50"/>
      <c r="T250" s="50"/>
      <c r="U250" s="50"/>
      <c r="V250" s="50"/>
      <c r="W250" s="113"/>
      <c r="X250" s="113"/>
      <c r="Y250" s="113"/>
      <c r="Z250" s="113"/>
    </row>
    <row r="251" spans="1:26" ht="15" x14ac:dyDescent="0.25">
      <c r="A251" s="89"/>
      <c r="B251" s="89"/>
      <c r="C251" s="89"/>
      <c r="D251" s="114"/>
      <c r="E251" s="114"/>
      <c r="F251" s="114"/>
      <c r="G251" s="114"/>
      <c r="I251" s="114"/>
      <c r="J251" s="114"/>
      <c r="K251" s="114"/>
      <c r="L251" s="114"/>
      <c r="M251" s="113"/>
      <c r="N251" s="114"/>
      <c r="O251" s="113"/>
      <c r="P251" s="113"/>
      <c r="Q251" s="50"/>
      <c r="R251" s="50"/>
      <c r="S251" s="50"/>
      <c r="T251" s="50"/>
      <c r="U251" s="50"/>
      <c r="V251" s="50"/>
      <c r="W251" s="113"/>
      <c r="X251" s="113"/>
      <c r="Y251" s="113"/>
      <c r="Z251" s="113"/>
    </row>
    <row r="252" spans="1:26" ht="15" x14ac:dyDescent="0.25">
      <c r="A252" s="89"/>
      <c r="B252" s="89"/>
      <c r="C252" s="89"/>
      <c r="D252" s="114"/>
      <c r="E252" s="114"/>
      <c r="F252" s="114"/>
      <c r="G252" s="114"/>
      <c r="I252" s="114"/>
      <c r="J252" s="114"/>
      <c r="K252" s="114"/>
      <c r="L252" s="114"/>
      <c r="M252" s="113"/>
      <c r="N252" s="114"/>
      <c r="O252" s="113"/>
      <c r="P252" s="113"/>
      <c r="Q252" s="50"/>
      <c r="R252" s="50"/>
      <c r="S252" s="50"/>
      <c r="T252" s="50"/>
      <c r="U252" s="50"/>
      <c r="V252" s="50"/>
      <c r="W252" s="113"/>
      <c r="X252" s="113"/>
      <c r="Y252" s="113"/>
      <c r="Z252" s="113"/>
    </row>
    <row r="253" spans="1:26" ht="15" x14ac:dyDescent="0.25">
      <c r="A253" s="89"/>
      <c r="B253" s="89"/>
      <c r="C253" s="89"/>
      <c r="D253" s="114"/>
      <c r="E253" s="114"/>
      <c r="F253" s="114"/>
      <c r="G253" s="114"/>
      <c r="I253" s="114"/>
      <c r="J253" s="114"/>
      <c r="K253" s="114"/>
      <c r="L253" s="114"/>
      <c r="M253" s="113"/>
      <c r="N253" s="114"/>
      <c r="O253" s="113"/>
      <c r="P253" s="113"/>
      <c r="Q253" s="50"/>
      <c r="R253" s="50"/>
      <c r="S253" s="50"/>
      <c r="T253" s="50"/>
      <c r="U253" s="50"/>
      <c r="V253" s="50"/>
      <c r="W253" s="113"/>
      <c r="X253" s="113"/>
      <c r="Y253" s="113"/>
      <c r="Z253" s="113"/>
    </row>
    <row r="254" spans="1:26" ht="15" x14ac:dyDescent="0.25">
      <c r="A254" s="89"/>
      <c r="B254" s="89"/>
      <c r="C254" s="89"/>
      <c r="D254" s="114"/>
      <c r="E254" s="114"/>
      <c r="F254" s="114"/>
      <c r="G254" s="114"/>
      <c r="I254" s="114"/>
      <c r="J254" s="114"/>
      <c r="K254" s="114"/>
      <c r="L254" s="114"/>
      <c r="M254" s="113"/>
      <c r="N254" s="114"/>
      <c r="O254" s="113"/>
      <c r="P254" s="113"/>
      <c r="Q254" s="50"/>
      <c r="R254" s="50"/>
      <c r="S254" s="50"/>
      <c r="T254" s="50"/>
      <c r="U254" s="50"/>
      <c r="V254" s="50"/>
      <c r="W254" s="113"/>
      <c r="X254" s="113"/>
      <c r="Y254" s="113"/>
      <c r="Z254" s="113"/>
    </row>
    <row r="255" spans="1:26" ht="15" x14ac:dyDescent="0.25">
      <c r="A255" s="89"/>
      <c r="B255" s="89"/>
      <c r="C255" s="89"/>
      <c r="D255" s="114"/>
      <c r="E255" s="114"/>
      <c r="F255" s="114"/>
      <c r="G255" s="114"/>
      <c r="I255" s="114"/>
      <c r="J255" s="114"/>
      <c r="K255" s="114"/>
      <c r="L255" s="114"/>
      <c r="M255" s="113"/>
      <c r="N255" s="114"/>
      <c r="O255" s="113"/>
      <c r="P255" s="113"/>
      <c r="Q255" s="50"/>
      <c r="R255" s="50"/>
      <c r="S255" s="50"/>
      <c r="T255" s="50"/>
      <c r="U255" s="50"/>
      <c r="V255" s="50"/>
      <c r="W255" s="113"/>
      <c r="X255" s="113"/>
      <c r="Y255" s="113"/>
      <c r="Z255" s="113"/>
    </row>
    <row r="256" spans="1:26" ht="15" x14ac:dyDescent="0.25">
      <c r="A256" s="89"/>
      <c r="B256" s="89"/>
      <c r="C256" s="89"/>
      <c r="D256" s="114"/>
      <c r="E256" s="114"/>
      <c r="F256" s="114"/>
      <c r="G256" s="114"/>
      <c r="I256" s="114"/>
      <c r="J256" s="114"/>
      <c r="K256" s="114"/>
      <c r="L256" s="114"/>
      <c r="M256" s="113"/>
      <c r="N256" s="114"/>
      <c r="O256" s="113"/>
      <c r="P256" s="113"/>
      <c r="Q256" s="50"/>
      <c r="R256" s="50"/>
      <c r="S256" s="50"/>
      <c r="T256" s="50"/>
      <c r="U256" s="50"/>
      <c r="V256" s="50"/>
      <c r="W256" s="113"/>
      <c r="X256" s="113"/>
      <c r="Y256" s="113"/>
      <c r="Z256" s="113"/>
    </row>
    <row r="257" spans="1:26" ht="15" x14ac:dyDescent="0.25">
      <c r="A257" s="89"/>
      <c r="B257" s="89"/>
      <c r="C257" s="89"/>
      <c r="D257" s="114"/>
      <c r="E257" s="114"/>
      <c r="F257" s="114"/>
      <c r="G257" s="114"/>
      <c r="I257" s="114"/>
      <c r="J257" s="114"/>
      <c r="K257" s="114"/>
      <c r="L257" s="114"/>
      <c r="M257" s="113"/>
      <c r="N257" s="114"/>
      <c r="O257" s="113"/>
      <c r="P257" s="113"/>
      <c r="Q257" s="50"/>
      <c r="R257" s="50"/>
      <c r="S257" s="50"/>
      <c r="T257" s="50"/>
      <c r="U257" s="50"/>
      <c r="V257" s="50"/>
      <c r="W257" s="113"/>
      <c r="X257" s="113"/>
      <c r="Y257" s="113"/>
      <c r="Z257" s="113"/>
    </row>
    <row r="258" spans="1:26" ht="15" x14ac:dyDescent="0.25">
      <c r="A258" s="89"/>
      <c r="B258" s="89"/>
      <c r="C258" s="89"/>
      <c r="D258" s="114"/>
      <c r="E258" s="114"/>
      <c r="F258" s="114"/>
      <c r="G258" s="114"/>
      <c r="I258" s="114"/>
      <c r="J258" s="114"/>
      <c r="K258" s="114"/>
      <c r="L258" s="114"/>
      <c r="M258" s="113"/>
      <c r="N258" s="114"/>
      <c r="O258" s="113"/>
      <c r="P258" s="113"/>
      <c r="Q258" s="50"/>
      <c r="R258" s="50"/>
      <c r="S258" s="50"/>
      <c r="T258" s="50"/>
      <c r="U258" s="50"/>
      <c r="V258" s="50"/>
      <c r="W258" s="113"/>
      <c r="X258" s="113"/>
      <c r="Y258" s="113"/>
      <c r="Z258" s="113"/>
    </row>
    <row r="259" spans="1:26" ht="15" x14ac:dyDescent="0.25">
      <c r="A259" s="89"/>
      <c r="B259" s="89"/>
      <c r="C259" s="89"/>
      <c r="D259" s="114"/>
      <c r="E259" s="114"/>
      <c r="F259" s="114"/>
      <c r="G259" s="114"/>
      <c r="I259" s="114"/>
      <c r="J259" s="114"/>
      <c r="K259" s="114"/>
      <c r="L259" s="114"/>
      <c r="M259" s="113"/>
      <c r="N259" s="114"/>
      <c r="O259" s="113"/>
      <c r="P259" s="113"/>
      <c r="Q259" s="50"/>
      <c r="R259" s="50"/>
      <c r="S259" s="50"/>
      <c r="T259" s="50"/>
      <c r="U259" s="50"/>
      <c r="V259" s="50"/>
      <c r="W259" s="113"/>
      <c r="X259" s="113"/>
      <c r="Y259" s="113"/>
      <c r="Z259" s="113"/>
    </row>
    <row r="260" spans="1:26" ht="15" x14ac:dyDescent="0.25">
      <c r="A260" s="89"/>
      <c r="B260" s="89"/>
      <c r="C260" s="89"/>
      <c r="D260" s="114"/>
      <c r="E260" s="114"/>
      <c r="F260" s="114"/>
      <c r="G260" s="114"/>
      <c r="I260" s="114"/>
      <c r="J260" s="114"/>
      <c r="K260" s="114"/>
      <c r="L260" s="114"/>
      <c r="M260" s="113"/>
      <c r="N260" s="114"/>
      <c r="O260" s="113"/>
      <c r="P260" s="113"/>
      <c r="Q260" s="50"/>
      <c r="R260" s="50"/>
      <c r="S260" s="50"/>
      <c r="T260" s="50"/>
      <c r="U260" s="50"/>
      <c r="V260" s="50"/>
      <c r="W260" s="113"/>
      <c r="X260" s="113"/>
      <c r="Y260" s="113"/>
      <c r="Z260" s="113"/>
    </row>
    <row r="261" spans="1:26" ht="15" x14ac:dyDescent="0.25">
      <c r="A261" s="89"/>
      <c r="B261" s="89"/>
      <c r="C261" s="89"/>
      <c r="D261" s="114"/>
      <c r="E261" s="114"/>
      <c r="F261" s="114"/>
      <c r="G261" s="114"/>
      <c r="I261" s="114"/>
      <c r="J261" s="114"/>
      <c r="K261" s="114"/>
      <c r="L261" s="114"/>
      <c r="M261" s="113"/>
      <c r="N261" s="114"/>
      <c r="O261" s="113"/>
      <c r="P261" s="113"/>
      <c r="Q261" s="50"/>
      <c r="R261" s="50"/>
      <c r="S261" s="50"/>
      <c r="T261" s="50"/>
      <c r="U261" s="50"/>
      <c r="V261" s="50"/>
      <c r="W261" s="113"/>
      <c r="X261" s="113"/>
      <c r="Y261" s="113"/>
      <c r="Z261" s="113"/>
    </row>
    <row r="262" spans="1:26" ht="15" x14ac:dyDescent="0.25">
      <c r="A262" s="89"/>
      <c r="B262" s="89"/>
      <c r="C262" s="89"/>
      <c r="D262" s="114"/>
      <c r="E262" s="114"/>
      <c r="F262" s="114"/>
      <c r="G262" s="114"/>
      <c r="I262" s="114"/>
      <c r="J262" s="114"/>
      <c r="K262" s="114"/>
      <c r="L262" s="114"/>
      <c r="M262" s="113"/>
      <c r="N262" s="114"/>
      <c r="O262" s="113"/>
      <c r="P262" s="113"/>
      <c r="Q262" s="50"/>
      <c r="R262" s="50"/>
      <c r="S262" s="50"/>
      <c r="T262" s="50"/>
      <c r="U262" s="50"/>
      <c r="V262" s="50"/>
      <c r="W262" s="113"/>
      <c r="X262" s="113"/>
      <c r="Y262" s="113"/>
      <c r="Z262" s="113"/>
    </row>
    <row r="263" spans="1:26" ht="15" x14ac:dyDescent="0.25">
      <c r="A263" s="89"/>
      <c r="B263" s="89"/>
      <c r="C263" s="89"/>
      <c r="D263" s="114"/>
      <c r="E263" s="114"/>
      <c r="F263" s="114"/>
      <c r="G263" s="114"/>
      <c r="I263" s="114"/>
      <c r="J263" s="114"/>
      <c r="K263" s="114"/>
      <c r="L263" s="114"/>
      <c r="M263" s="113"/>
      <c r="N263" s="114"/>
      <c r="O263" s="113"/>
      <c r="P263" s="113"/>
      <c r="Q263" s="50"/>
      <c r="R263" s="50"/>
      <c r="S263" s="50"/>
      <c r="T263" s="50"/>
      <c r="U263" s="50"/>
      <c r="V263" s="50"/>
      <c r="W263" s="113"/>
      <c r="X263" s="113"/>
      <c r="Y263" s="113"/>
      <c r="Z263" s="113"/>
    </row>
    <row r="264" spans="1:26" ht="15" x14ac:dyDescent="0.25">
      <c r="A264" s="89"/>
      <c r="B264" s="89"/>
      <c r="C264" s="89"/>
      <c r="D264" s="114"/>
      <c r="E264" s="114"/>
      <c r="F264" s="114"/>
      <c r="G264" s="114"/>
      <c r="I264" s="114"/>
      <c r="J264" s="114"/>
      <c r="K264" s="114"/>
      <c r="L264" s="114"/>
      <c r="M264" s="113"/>
      <c r="N264" s="114"/>
      <c r="O264" s="113"/>
      <c r="P264" s="113"/>
      <c r="Q264" s="50"/>
      <c r="R264" s="50"/>
      <c r="S264" s="50"/>
      <c r="T264" s="50"/>
      <c r="U264" s="50"/>
      <c r="V264" s="50"/>
      <c r="W264" s="113"/>
      <c r="X264" s="113"/>
      <c r="Y264" s="113"/>
      <c r="Z264" s="113"/>
    </row>
    <row r="265" spans="1:26" ht="15" x14ac:dyDescent="0.25">
      <c r="A265" s="89"/>
      <c r="B265" s="89"/>
      <c r="C265" s="89"/>
      <c r="D265" s="114"/>
      <c r="E265" s="114"/>
      <c r="F265" s="114"/>
      <c r="G265" s="114"/>
      <c r="I265" s="114"/>
      <c r="J265" s="114"/>
      <c r="K265" s="114"/>
      <c r="L265" s="114"/>
      <c r="M265" s="113"/>
      <c r="N265" s="114"/>
      <c r="O265" s="113"/>
      <c r="P265" s="113"/>
      <c r="Q265" s="50"/>
      <c r="R265" s="50"/>
      <c r="S265" s="50"/>
      <c r="T265" s="50"/>
      <c r="U265" s="50"/>
      <c r="V265" s="50"/>
      <c r="W265" s="113"/>
      <c r="X265" s="113"/>
      <c r="Y265" s="113"/>
      <c r="Z265" s="113"/>
    </row>
    <row r="266" spans="1:26" ht="15" x14ac:dyDescent="0.25">
      <c r="A266" s="89"/>
      <c r="B266" s="89"/>
      <c r="C266" s="89"/>
      <c r="D266" s="114"/>
      <c r="E266" s="114"/>
      <c r="F266" s="114"/>
      <c r="G266" s="114"/>
      <c r="I266" s="114"/>
      <c r="J266" s="114"/>
      <c r="K266" s="114"/>
      <c r="L266" s="114"/>
      <c r="M266" s="113"/>
      <c r="N266" s="114"/>
      <c r="O266" s="113"/>
      <c r="P266" s="113"/>
      <c r="Q266" s="50"/>
      <c r="R266" s="50"/>
      <c r="S266" s="50"/>
      <c r="T266" s="50"/>
      <c r="U266" s="50"/>
      <c r="V266" s="50"/>
      <c r="W266" s="113"/>
      <c r="X266" s="113"/>
      <c r="Y266" s="113"/>
      <c r="Z266" s="113"/>
    </row>
    <row r="267" spans="1:26" x14ac:dyDescent="0.25">
      <c r="A267" s="89"/>
      <c r="B267" s="89"/>
      <c r="C267" s="89"/>
      <c r="D267" s="114"/>
      <c r="E267" s="114"/>
      <c r="F267" s="114"/>
      <c r="G267" s="114"/>
      <c r="I267" s="114"/>
      <c r="J267" s="114"/>
      <c r="K267" s="114"/>
      <c r="L267" s="114"/>
      <c r="M267" s="113"/>
      <c r="N267" s="114"/>
      <c r="O267" s="113"/>
      <c r="P267" s="113"/>
      <c r="Q267" s="114"/>
      <c r="R267" s="113"/>
      <c r="S267" s="113"/>
      <c r="T267" s="113"/>
      <c r="U267" s="113"/>
      <c r="V267" s="113"/>
      <c r="W267" s="113"/>
      <c r="X267" s="113"/>
      <c r="Y267" s="113"/>
      <c r="Z267" s="113"/>
    </row>
    <row r="268" spans="1:26" x14ac:dyDescent="0.25">
      <c r="A268" s="89"/>
      <c r="B268" s="89"/>
      <c r="C268" s="89"/>
      <c r="D268" s="114"/>
      <c r="E268" s="114"/>
      <c r="F268" s="114"/>
      <c r="G268" s="114"/>
      <c r="I268" s="114"/>
      <c r="J268" s="114"/>
      <c r="K268" s="114"/>
      <c r="L268" s="114"/>
      <c r="M268" s="113"/>
      <c r="N268" s="114"/>
      <c r="O268" s="113"/>
      <c r="P268" s="113"/>
      <c r="Q268" s="114"/>
      <c r="R268" s="113"/>
      <c r="S268" s="113"/>
      <c r="T268" s="113"/>
      <c r="U268" s="113"/>
      <c r="V268" s="113"/>
      <c r="W268" s="113"/>
      <c r="X268" s="113"/>
      <c r="Y268" s="113"/>
      <c r="Z268" s="113"/>
    </row>
    <row r="269" spans="1:26" x14ac:dyDescent="0.25">
      <c r="A269" s="89"/>
      <c r="B269" s="89"/>
      <c r="C269" s="89"/>
      <c r="D269" s="114"/>
      <c r="E269" s="114"/>
      <c r="F269" s="114"/>
      <c r="G269" s="114"/>
      <c r="I269" s="114"/>
      <c r="J269" s="114"/>
      <c r="K269" s="114"/>
      <c r="L269" s="114"/>
      <c r="M269" s="113"/>
      <c r="N269" s="114"/>
      <c r="O269" s="113"/>
      <c r="P269" s="113"/>
      <c r="Q269" s="114"/>
      <c r="R269" s="113"/>
      <c r="S269" s="113"/>
      <c r="T269" s="113"/>
      <c r="U269" s="113"/>
      <c r="V269" s="113"/>
      <c r="W269" s="113"/>
      <c r="X269" s="113"/>
      <c r="Y269" s="113"/>
      <c r="Z269" s="113"/>
    </row>
    <row r="270" spans="1:26" x14ac:dyDescent="0.25">
      <c r="A270" s="89"/>
      <c r="B270" s="89"/>
      <c r="C270" s="89"/>
      <c r="D270" s="114"/>
      <c r="E270" s="114"/>
      <c r="F270" s="114"/>
      <c r="G270" s="114"/>
      <c r="I270" s="114"/>
      <c r="J270" s="114"/>
      <c r="K270" s="114"/>
      <c r="L270" s="114"/>
      <c r="M270" s="113"/>
      <c r="N270" s="114"/>
      <c r="O270" s="113"/>
      <c r="P270" s="113"/>
      <c r="Q270" s="114"/>
      <c r="R270" s="113"/>
      <c r="S270" s="113"/>
      <c r="T270" s="113"/>
      <c r="U270" s="113"/>
      <c r="V270" s="113"/>
      <c r="W270" s="113"/>
      <c r="X270" s="113"/>
      <c r="Y270" s="113"/>
      <c r="Z270" s="113"/>
    </row>
    <row r="271" spans="1:26" x14ac:dyDescent="0.25">
      <c r="A271" s="89"/>
      <c r="B271" s="89"/>
      <c r="C271" s="89"/>
      <c r="D271" s="114"/>
      <c r="E271" s="114"/>
      <c r="F271" s="114"/>
      <c r="G271" s="114"/>
      <c r="I271" s="114"/>
      <c r="J271" s="114"/>
      <c r="K271" s="114"/>
      <c r="L271" s="114"/>
      <c r="M271" s="113"/>
      <c r="N271" s="114"/>
      <c r="O271" s="113"/>
      <c r="P271" s="113"/>
      <c r="Q271" s="114"/>
      <c r="R271" s="113"/>
      <c r="S271" s="113"/>
      <c r="T271" s="113"/>
      <c r="U271" s="113"/>
      <c r="V271" s="113"/>
      <c r="W271" s="113"/>
      <c r="X271" s="113"/>
      <c r="Y271" s="113"/>
      <c r="Z271" s="113"/>
    </row>
    <row r="272" spans="1:26" x14ac:dyDescent="0.25">
      <c r="A272" s="89"/>
      <c r="B272" s="89"/>
      <c r="C272" s="89"/>
      <c r="D272" s="114"/>
      <c r="E272" s="114"/>
      <c r="F272" s="114"/>
      <c r="G272" s="114"/>
      <c r="I272" s="114"/>
      <c r="J272" s="114"/>
      <c r="K272" s="114"/>
      <c r="L272" s="114"/>
      <c r="M272" s="113"/>
      <c r="N272" s="114"/>
      <c r="O272" s="113"/>
      <c r="P272" s="113"/>
      <c r="Q272" s="114"/>
      <c r="R272" s="113"/>
      <c r="S272" s="113"/>
      <c r="T272" s="113"/>
      <c r="U272" s="113"/>
      <c r="V272" s="113"/>
      <c r="W272" s="113"/>
      <c r="X272" s="113"/>
      <c r="Y272" s="113"/>
      <c r="Z272" s="113"/>
    </row>
    <row r="273" spans="1:26" x14ac:dyDescent="0.25">
      <c r="A273" s="89"/>
      <c r="B273" s="89"/>
      <c r="C273" s="89"/>
      <c r="D273" s="114"/>
      <c r="E273" s="114"/>
      <c r="F273" s="114"/>
      <c r="G273" s="114"/>
      <c r="I273" s="114"/>
      <c r="J273" s="114"/>
      <c r="K273" s="114"/>
      <c r="L273" s="114"/>
      <c r="M273" s="113"/>
      <c r="N273" s="114"/>
      <c r="O273" s="113"/>
      <c r="P273" s="113"/>
      <c r="Q273" s="114"/>
      <c r="R273" s="113"/>
      <c r="S273" s="113"/>
      <c r="T273" s="113"/>
      <c r="U273" s="113"/>
      <c r="V273" s="113"/>
      <c r="W273" s="113"/>
      <c r="X273" s="113"/>
      <c r="Y273" s="113"/>
      <c r="Z273" s="113"/>
    </row>
    <row r="274" spans="1:26" x14ac:dyDescent="0.25">
      <c r="A274" s="89"/>
      <c r="B274" s="89"/>
      <c r="C274" s="89"/>
      <c r="D274" s="114"/>
      <c r="E274" s="114"/>
      <c r="F274" s="114"/>
      <c r="G274" s="114"/>
      <c r="I274" s="114"/>
      <c r="J274" s="114"/>
      <c r="K274" s="114"/>
      <c r="L274" s="114"/>
      <c r="M274" s="113"/>
      <c r="N274" s="114"/>
      <c r="O274" s="113"/>
      <c r="P274" s="113"/>
      <c r="Q274" s="114"/>
      <c r="R274" s="113"/>
      <c r="S274" s="113"/>
      <c r="T274" s="113"/>
      <c r="U274" s="113"/>
      <c r="V274" s="113"/>
      <c r="W274" s="113"/>
      <c r="X274" s="113"/>
      <c r="Y274" s="113"/>
      <c r="Z274" s="113"/>
    </row>
    <row r="275" spans="1:26" x14ac:dyDescent="0.25">
      <c r="A275" s="89"/>
      <c r="B275" s="89"/>
      <c r="C275" s="89"/>
      <c r="D275" s="114"/>
      <c r="E275" s="114"/>
      <c r="F275" s="114"/>
      <c r="G275" s="114"/>
      <c r="I275" s="114"/>
      <c r="J275" s="114"/>
      <c r="K275" s="114"/>
      <c r="L275" s="114"/>
      <c r="M275" s="113"/>
      <c r="N275" s="114"/>
      <c r="O275" s="113"/>
      <c r="P275" s="113"/>
      <c r="Q275" s="114"/>
      <c r="R275" s="113"/>
      <c r="S275" s="113"/>
      <c r="T275" s="113"/>
      <c r="U275" s="113"/>
      <c r="V275" s="113"/>
      <c r="W275" s="113"/>
      <c r="X275" s="113"/>
      <c r="Y275" s="113"/>
      <c r="Z275" s="113"/>
    </row>
    <row r="276" spans="1:26" x14ac:dyDescent="0.25">
      <c r="A276" s="89"/>
      <c r="B276" s="89"/>
      <c r="C276" s="89"/>
      <c r="D276" s="114"/>
      <c r="E276" s="114"/>
      <c r="F276" s="114"/>
      <c r="G276" s="114"/>
      <c r="I276" s="114"/>
      <c r="J276" s="114"/>
      <c r="K276" s="114"/>
      <c r="L276" s="114"/>
      <c r="M276" s="113"/>
      <c r="N276" s="114"/>
      <c r="O276" s="113"/>
      <c r="P276" s="113"/>
      <c r="Q276" s="114"/>
      <c r="R276" s="113"/>
      <c r="S276" s="113"/>
      <c r="T276" s="113"/>
      <c r="U276" s="113"/>
      <c r="V276" s="113"/>
      <c r="W276" s="113"/>
      <c r="X276" s="113"/>
      <c r="Y276" s="113"/>
      <c r="Z276" s="113"/>
    </row>
    <row r="277" spans="1:26" x14ac:dyDescent="0.25">
      <c r="A277" s="89"/>
      <c r="B277" s="89"/>
      <c r="C277" s="89"/>
      <c r="D277" s="114"/>
      <c r="E277" s="114"/>
      <c r="F277" s="114"/>
      <c r="G277" s="114"/>
      <c r="I277" s="114"/>
      <c r="J277" s="114"/>
      <c r="K277" s="114"/>
      <c r="L277" s="114"/>
      <c r="M277" s="113"/>
      <c r="N277" s="114"/>
      <c r="O277" s="113"/>
      <c r="P277" s="113"/>
      <c r="Q277" s="114"/>
      <c r="R277" s="113"/>
      <c r="S277" s="113"/>
      <c r="T277" s="113"/>
      <c r="U277" s="113"/>
      <c r="V277" s="113"/>
      <c r="W277" s="113"/>
      <c r="X277" s="113"/>
      <c r="Y277" s="113"/>
      <c r="Z277" s="113"/>
    </row>
    <row r="278" spans="1:26" x14ac:dyDescent="0.25">
      <c r="A278" s="89"/>
      <c r="B278" s="89"/>
      <c r="C278" s="89"/>
      <c r="D278" s="114"/>
      <c r="E278" s="114"/>
      <c r="F278" s="114"/>
      <c r="G278" s="114"/>
      <c r="I278" s="114"/>
      <c r="J278" s="114"/>
      <c r="K278" s="114"/>
      <c r="L278" s="114"/>
      <c r="M278" s="113"/>
      <c r="N278" s="114"/>
      <c r="O278" s="113"/>
      <c r="P278" s="113"/>
      <c r="Q278" s="114"/>
      <c r="R278" s="113"/>
      <c r="S278" s="113"/>
      <c r="T278" s="113"/>
      <c r="U278" s="113"/>
      <c r="V278" s="113"/>
      <c r="W278" s="113"/>
      <c r="X278" s="113"/>
      <c r="Y278" s="113"/>
      <c r="Z278" s="113"/>
    </row>
    <row r="279" spans="1:26" x14ac:dyDescent="0.25">
      <c r="A279" s="89"/>
      <c r="B279" s="89"/>
      <c r="C279" s="89"/>
      <c r="D279" s="114"/>
      <c r="E279" s="114"/>
      <c r="F279" s="114"/>
      <c r="G279" s="114"/>
      <c r="I279" s="114"/>
      <c r="J279" s="114"/>
      <c r="K279" s="114"/>
      <c r="L279" s="114"/>
      <c r="M279" s="113"/>
      <c r="N279" s="114"/>
      <c r="O279" s="113"/>
      <c r="P279" s="113"/>
      <c r="Q279" s="114"/>
      <c r="R279" s="113"/>
      <c r="S279" s="113"/>
      <c r="T279" s="113"/>
      <c r="U279" s="113"/>
      <c r="V279" s="113"/>
      <c r="W279" s="113"/>
      <c r="X279" s="113"/>
      <c r="Y279" s="113"/>
      <c r="Z279" s="113"/>
    </row>
    <row r="280" spans="1:26" x14ac:dyDescent="0.25">
      <c r="A280" s="89"/>
      <c r="B280" s="89"/>
      <c r="C280" s="89"/>
      <c r="D280" s="114"/>
      <c r="E280" s="114"/>
      <c r="F280" s="114"/>
      <c r="G280" s="114"/>
      <c r="I280" s="114"/>
      <c r="J280" s="114"/>
      <c r="K280" s="114"/>
      <c r="L280" s="114"/>
      <c r="M280" s="113"/>
      <c r="N280" s="114"/>
      <c r="O280" s="113"/>
      <c r="P280" s="113"/>
      <c r="Q280" s="114"/>
      <c r="R280" s="113"/>
      <c r="S280" s="113"/>
      <c r="T280" s="113"/>
      <c r="U280" s="113"/>
      <c r="V280" s="113"/>
      <c r="W280" s="113"/>
      <c r="X280" s="113"/>
      <c r="Y280" s="113"/>
      <c r="Z280" s="113"/>
    </row>
    <row r="281" spans="1:26" x14ac:dyDescent="0.25">
      <c r="A281" s="89"/>
      <c r="B281" s="89"/>
      <c r="C281" s="89"/>
      <c r="D281" s="114"/>
      <c r="E281" s="114"/>
      <c r="F281" s="114"/>
      <c r="G281" s="114"/>
      <c r="I281" s="114"/>
      <c r="J281" s="114"/>
      <c r="K281" s="114"/>
      <c r="L281" s="114"/>
      <c r="M281" s="113"/>
      <c r="N281" s="114"/>
      <c r="O281" s="113"/>
      <c r="P281" s="113"/>
      <c r="Q281" s="114"/>
      <c r="R281" s="113"/>
      <c r="S281" s="113"/>
      <c r="T281" s="113"/>
      <c r="U281" s="113"/>
      <c r="V281" s="113"/>
      <c r="W281" s="113"/>
      <c r="X281" s="113"/>
      <c r="Y281" s="113"/>
      <c r="Z281" s="113"/>
    </row>
    <row r="282" spans="1:26" x14ac:dyDescent="0.25">
      <c r="A282" s="89"/>
      <c r="B282" s="89"/>
      <c r="C282" s="89"/>
      <c r="D282" s="114"/>
      <c r="E282" s="114"/>
      <c r="F282" s="114"/>
      <c r="G282" s="114"/>
      <c r="I282" s="114"/>
      <c r="J282" s="114"/>
      <c r="K282" s="114"/>
      <c r="L282" s="114"/>
      <c r="M282" s="113"/>
      <c r="N282" s="114"/>
      <c r="O282" s="113"/>
      <c r="P282" s="113"/>
      <c r="Q282" s="114"/>
      <c r="R282" s="113"/>
      <c r="S282" s="113"/>
      <c r="T282" s="113"/>
      <c r="U282" s="113"/>
      <c r="V282" s="113"/>
      <c r="W282" s="113"/>
      <c r="X282" s="113"/>
      <c r="Y282" s="113"/>
      <c r="Z282" s="113"/>
    </row>
    <row r="283" spans="1:26" x14ac:dyDescent="0.25">
      <c r="A283" s="89"/>
      <c r="B283" s="89"/>
      <c r="C283" s="89"/>
      <c r="D283" s="114"/>
      <c r="E283" s="114"/>
      <c r="F283" s="114"/>
      <c r="G283" s="114"/>
      <c r="I283" s="114"/>
      <c r="J283" s="114"/>
      <c r="K283" s="114"/>
      <c r="L283" s="114"/>
      <c r="M283" s="113"/>
      <c r="N283" s="114"/>
      <c r="O283" s="113"/>
      <c r="P283" s="113"/>
      <c r="Q283" s="114"/>
      <c r="R283" s="113"/>
      <c r="S283" s="113"/>
      <c r="T283" s="113"/>
      <c r="U283" s="113"/>
      <c r="V283" s="113"/>
      <c r="W283" s="113"/>
      <c r="X283" s="113"/>
      <c r="Y283" s="113"/>
      <c r="Z283" s="113"/>
    </row>
    <row r="284" spans="1:26" x14ac:dyDescent="0.25">
      <c r="A284" s="89"/>
      <c r="B284" s="89"/>
      <c r="C284" s="89"/>
      <c r="D284" s="114"/>
      <c r="E284" s="114"/>
      <c r="F284" s="114"/>
      <c r="G284" s="114"/>
      <c r="I284" s="114"/>
      <c r="J284" s="114"/>
      <c r="K284" s="114"/>
      <c r="L284" s="114"/>
      <c r="M284" s="113"/>
      <c r="N284" s="114"/>
      <c r="O284" s="113"/>
      <c r="P284" s="113"/>
      <c r="Q284" s="114"/>
      <c r="R284" s="113"/>
      <c r="S284" s="113"/>
      <c r="T284" s="113"/>
      <c r="U284" s="113"/>
      <c r="V284" s="113"/>
      <c r="W284" s="113"/>
      <c r="X284" s="113"/>
      <c r="Y284" s="113"/>
      <c r="Z284" s="113"/>
    </row>
    <row r="285" spans="1:26" x14ac:dyDescent="0.25">
      <c r="A285" s="89"/>
      <c r="B285" s="89"/>
      <c r="C285" s="89"/>
      <c r="D285" s="114"/>
      <c r="E285" s="114"/>
      <c r="F285" s="114"/>
      <c r="G285" s="114"/>
      <c r="I285" s="114"/>
      <c r="J285" s="114"/>
      <c r="K285" s="114"/>
      <c r="L285" s="114"/>
      <c r="M285" s="113"/>
      <c r="N285" s="114"/>
      <c r="O285" s="113"/>
      <c r="P285" s="113"/>
      <c r="Q285" s="114"/>
      <c r="R285" s="113"/>
      <c r="S285" s="113"/>
      <c r="T285" s="113"/>
      <c r="U285" s="113"/>
      <c r="V285" s="113"/>
      <c r="W285" s="113"/>
      <c r="X285" s="113"/>
      <c r="Y285" s="113"/>
      <c r="Z285" s="113"/>
    </row>
    <row r="286" spans="1:26" x14ac:dyDescent="0.25">
      <c r="A286" s="89"/>
      <c r="B286" s="89"/>
      <c r="C286" s="89"/>
      <c r="D286" s="114"/>
      <c r="E286" s="114"/>
      <c r="F286" s="114"/>
      <c r="G286" s="114"/>
      <c r="I286" s="114"/>
      <c r="J286" s="114"/>
      <c r="K286" s="114"/>
      <c r="L286" s="114"/>
      <c r="M286" s="113"/>
      <c r="N286" s="114"/>
      <c r="O286" s="113"/>
      <c r="P286" s="113"/>
      <c r="Q286" s="114"/>
      <c r="R286" s="113"/>
      <c r="S286" s="113"/>
      <c r="T286" s="113"/>
      <c r="U286" s="113"/>
      <c r="V286" s="113"/>
      <c r="W286" s="113"/>
      <c r="X286" s="113"/>
      <c r="Y286" s="113"/>
      <c r="Z286" s="113"/>
    </row>
    <row r="287" spans="1:26" x14ac:dyDescent="0.25">
      <c r="A287" s="89"/>
      <c r="B287" s="89"/>
      <c r="C287" s="89"/>
      <c r="D287" s="114"/>
      <c r="E287" s="114"/>
      <c r="F287" s="114"/>
      <c r="G287" s="114"/>
      <c r="I287" s="114"/>
      <c r="J287" s="114"/>
      <c r="K287" s="114"/>
      <c r="L287" s="114"/>
      <c r="M287" s="113"/>
      <c r="N287" s="114"/>
      <c r="O287" s="113"/>
      <c r="P287" s="113"/>
      <c r="Q287" s="114"/>
      <c r="R287" s="113"/>
      <c r="S287" s="113"/>
      <c r="T287" s="113"/>
      <c r="U287" s="113"/>
      <c r="V287" s="113"/>
      <c r="W287" s="113"/>
      <c r="X287" s="113"/>
      <c r="Y287" s="113"/>
      <c r="Z287" s="113"/>
    </row>
    <row r="288" spans="1:26" x14ac:dyDescent="0.25">
      <c r="A288" s="89"/>
      <c r="B288" s="89"/>
      <c r="C288" s="89"/>
      <c r="D288" s="114"/>
      <c r="E288" s="114"/>
      <c r="F288" s="114"/>
      <c r="G288" s="114"/>
      <c r="I288" s="114"/>
      <c r="J288" s="114"/>
      <c r="K288" s="114"/>
      <c r="L288" s="114"/>
      <c r="M288" s="113"/>
      <c r="N288" s="114"/>
      <c r="O288" s="113"/>
      <c r="P288" s="113"/>
      <c r="Q288" s="114"/>
      <c r="R288" s="113"/>
      <c r="S288" s="113"/>
      <c r="T288" s="113"/>
      <c r="U288" s="113"/>
      <c r="V288" s="113"/>
      <c r="W288" s="113"/>
      <c r="X288" s="113"/>
      <c r="Y288" s="113"/>
      <c r="Z288" s="113"/>
    </row>
    <row r="289" spans="1:26" x14ac:dyDescent="0.25">
      <c r="A289" s="89"/>
      <c r="B289" s="89"/>
      <c r="C289" s="89"/>
      <c r="D289" s="114"/>
      <c r="E289" s="114"/>
      <c r="F289" s="114"/>
      <c r="G289" s="114"/>
      <c r="I289" s="114"/>
      <c r="J289" s="114"/>
      <c r="K289" s="114"/>
      <c r="L289" s="114"/>
      <c r="M289" s="113"/>
      <c r="N289" s="114"/>
      <c r="O289" s="113"/>
      <c r="P289" s="113"/>
      <c r="Q289" s="114"/>
      <c r="R289" s="113"/>
      <c r="S289" s="113"/>
      <c r="T289" s="113"/>
      <c r="U289" s="113"/>
      <c r="V289" s="113"/>
      <c r="W289" s="113"/>
      <c r="X289" s="113"/>
      <c r="Y289" s="113"/>
      <c r="Z289" s="113"/>
    </row>
    <row r="290" spans="1:26" x14ac:dyDescent="0.25">
      <c r="A290" s="89"/>
      <c r="B290" s="89"/>
      <c r="C290" s="89"/>
      <c r="D290" s="114"/>
      <c r="E290" s="114"/>
      <c r="F290" s="114"/>
      <c r="G290" s="114"/>
      <c r="I290" s="114"/>
      <c r="J290" s="114"/>
      <c r="K290" s="114"/>
      <c r="L290" s="114"/>
      <c r="M290" s="113"/>
      <c r="N290" s="114"/>
      <c r="O290" s="113"/>
      <c r="P290" s="113"/>
      <c r="Q290" s="114"/>
      <c r="R290" s="113"/>
      <c r="S290" s="113"/>
      <c r="T290" s="113"/>
      <c r="U290" s="113"/>
      <c r="V290" s="113"/>
      <c r="W290" s="113"/>
      <c r="X290" s="113"/>
      <c r="Y290" s="113"/>
      <c r="Z290" s="113"/>
    </row>
    <row r="291" spans="1:26" x14ac:dyDescent="0.25">
      <c r="A291" s="89"/>
      <c r="B291" s="89"/>
      <c r="C291" s="89"/>
      <c r="D291" s="114"/>
      <c r="E291" s="114"/>
      <c r="F291" s="114"/>
      <c r="G291" s="114"/>
      <c r="I291" s="114"/>
      <c r="J291" s="114"/>
      <c r="K291" s="114"/>
      <c r="L291" s="114"/>
      <c r="M291" s="113"/>
      <c r="N291" s="114"/>
      <c r="O291" s="113"/>
      <c r="P291" s="113"/>
      <c r="Q291" s="114"/>
      <c r="R291" s="113"/>
      <c r="S291" s="113"/>
      <c r="T291" s="113"/>
      <c r="U291" s="113"/>
      <c r="V291" s="113"/>
      <c r="W291" s="113"/>
      <c r="X291" s="113"/>
      <c r="Y291" s="113"/>
      <c r="Z291" s="113"/>
    </row>
    <row r="292" spans="1:26" x14ac:dyDescent="0.25">
      <c r="A292" s="89"/>
      <c r="B292" s="89"/>
      <c r="C292" s="89"/>
      <c r="D292" s="114"/>
      <c r="E292" s="114"/>
      <c r="F292" s="114"/>
      <c r="G292" s="114"/>
      <c r="I292" s="114"/>
      <c r="J292" s="114"/>
      <c r="K292" s="114"/>
      <c r="L292" s="114"/>
      <c r="M292" s="113"/>
      <c r="N292" s="114"/>
      <c r="O292" s="113"/>
      <c r="P292" s="113"/>
      <c r="Q292" s="114"/>
      <c r="R292" s="113"/>
      <c r="S292" s="113"/>
      <c r="T292" s="113"/>
      <c r="U292" s="113"/>
      <c r="V292" s="113"/>
      <c r="W292" s="113"/>
      <c r="X292" s="113"/>
      <c r="Y292" s="113"/>
      <c r="Z292" s="113"/>
    </row>
    <row r="293" spans="1:26" x14ac:dyDescent="0.25">
      <c r="A293" s="89"/>
      <c r="B293" s="89"/>
      <c r="C293" s="89"/>
      <c r="D293" s="114"/>
      <c r="E293" s="114"/>
      <c r="F293" s="114"/>
      <c r="G293" s="114"/>
      <c r="I293" s="114"/>
      <c r="J293" s="114"/>
      <c r="K293" s="114"/>
      <c r="L293" s="114"/>
      <c r="M293" s="113"/>
      <c r="N293" s="114"/>
      <c r="O293" s="113"/>
      <c r="P293" s="113"/>
      <c r="Q293" s="114"/>
      <c r="R293" s="113"/>
      <c r="S293" s="113"/>
      <c r="T293" s="113"/>
      <c r="U293" s="113"/>
      <c r="V293" s="113"/>
      <c r="W293" s="113"/>
      <c r="X293" s="113"/>
      <c r="Y293" s="113"/>
      <c r="Z293" s="113"/>
    </row>
    <row r="294" spans="1:26" x14ac:dyDescent="0.25">
      <c r="A294" s="89"/>
      <c r="B294" s="89"/>
      <c r="C294" s="89"/>
      <c r="D294" s="114"/>
      <c r="E294" s="114"/>
      <c r="F294" s="114"/>
      <c r="G294" s="114"/>
      <c r="I294" s="114"/>
      <c r="J294" s="114"/>
      <c r="K294" s="114"/>
      <c r="L294" s="114"/>
      <c r="M294" s="113"/>
      <c r="N294" s="114"/>
      <c r="O294" s="113"/>
      <c r="P294" s="113"/>
      <c r="Q294" s="114"/>
      <c r="R294" s="113"/>
      <c r="S294" s="113"/>
      <c r="T294" s="113"/>
      <c r="U294" s="113"/>
      <c r="V294" s="113"/>
      <c r="W294" s="113"/>
      <c r="X294" s="113"/>
      <c r="Y294" s="113"/>
      <c r="Z294" s="113"/>
    </row>
    <row r="295" spans="1:26" x14ac:dyDescent="0.25">
      <c r="A295" s="89"/>
      <c r="B295" s="89"/>
      <c r="C295" s="89"/>
      <c r="D295" s="114"/>
      <c r="E295" s="114"/>
      <c r="F295" s="114"/>
      <c r="G295" s="114"/>
      <c r="I295" s="114"/>
      <c r="J295" s="114"/>
      <c r="K295" s="114"/>
      <c r="L295" s="114"/>
      <c r="M295" s="113"/>
      <c r="N295" s="114"/>
      <c r="O295" s="113"/>
      <c r="P295" s="113"/>
      <c r="Q295" s="114"/>
      <c r="R295" s="113"/>
      <c r="S295" s="113"/>
      <c r="T295" s="113"/>
      <c r="U295" s="113"/>
      <c r="V295" s="113"/>
      <c r="W295" s="113"/>
      <c r="X295" s="113"/>
      <c r="Y295" s="113"/>
      <c r="Z295" s="113"/>
    </row>
    <row r="296" spans="1:26" x14ac:dyDescent="0.25">
      <c r="A296" s="89"/>
      <c r="B296" s="89"/>
      <c r="C296" s="89"/>
      <c r="D296" s="114"/>
      <c r="E296" s="114"/>
      <c r="F296" s="114"/>
      <c r="G296" s="114"/>
      <c r="I296" s="114"/>
      <c r="J296" s="114"/>
      <c r="K296" s="114"/>
      <c r="L296" s="114"/>
      <c r="M296" s="113"/>
      <c r="N296" s="114"/>
      <c r="O296" s="113"/>
      <c r="P296" s="113"/>
      <c r="Q296" s="114"/>
      <c r="R296" s="113"/>
      <c r="S296" s="113"/>
      <c r="T296" s="113"/>
      <c r="U296" s="113"/>
      <c r="V296" s="113"/>
      <c r="W296" s="113"/>
      <c r="X296" s="113"/>
      <c r="Y296" s="113"/>
      <c r="Z296" s="113"/>
    </row>
    <row r="297" spans="1:26" x14ac:dyDescent="0.25">
      <c r="A297" s="89"/>
      <c r="B297" s="89"/>
      <c r="C297" s="89"/>
      <c r="D297" s="114"/>
      <c r="E297" s="114"/>
      <c r="F297" s="114"/>
      <c r="G297" s="114"/>
      <c r="I297" s="114"/>
      <c r="J297" s="114"/>
      <c r="K297" s="114"/>
      <c r="L297" s="114"/>
      <c r="M297" s="113"/>
      <c r="N297" s="114"/>
      <c r="O297" s="113"/>
      <c r="P297" s="113"/>
      <c r="Q297" s="114"/>
      <c r="R297" s="113"/>
      <c r="S297" s="113"/>
      <c r="T297" s="113"/>
      <c r="U297" s="113"/>
      <c r="V297" s="113"/>
      <c r="W297" s="113"/>
      <c r="X297" s="113"/>
      <c r="Y297" s="113"/>
      <c r="Z297" s="113"/>
    </row>
    <row r="298" spans="1:26" x14ac:dyDescent="0.25">
      <c r="A298" s="89"/>
      <c r="B298" s="89"/>
      <c r="C298" s="89"/>
      <c r="D298" s="114"/>
      <c r="E298" s="114"/>
      <c r="F298" s="114"/>
      <c r="G298" s="114"/>
      <c r="I298" s="114"/>
      <c r="J298" s="114"/>
      <c r="K298" s="114"/>
      <c r="L298" s="114"/>
      <c r="M298" s="113"/>
      <c r="N298" s="114"/>
      <c r="O298" s="113"/>
      <c r="P298" s="113"/>
      <c r="Q298" s="114"/>
      <c r="R298" s="113"/>
      <c r="S298" s="113"/>
      <c r="T298" s="113"/>
      <c r="U298" s="113"/>
      <c r="V298" s="113"/>
      <c r="W298" s="113"/>
      <c r="X298" s="113"/>
      <c r="Y298" s="113"/>
      <c r="Z298" s="113"/>
    </row>
    <row r="299" spans="1:26" x14ac:dyDescent="0.25">
      <c r="A299" s="89"/>
      <c r="B299" s="89"/>
      <c r="C299" s="89"/>
      <c r="D299" s="114"/>
      <c r="E299" s="114"/>
      <c r="F299" s="114"/>
      <c r="G299" s="114"/>
      <c r="I299" s="114"/>
      <c r="J299" s="114"/>
      <c r="K299" s="114"/>
      <c r="L299" s="114"/>
      <c r="M299" s="113"/>
      <c r="N299" s="114"/>
      <c r="O299" s="113"/>
      <c r="P299" s="113"/>
      <c r="Q299" s="114"/>
      <c r="R299" s="113"/>
      <c r="S299" s="113"/>
      <c r="T299" s="113"/>
      <c r="U299" s="113"/>
      <c r="V299" s="113"/>
      <c r="W299" s="113"/>
      <c r="X299" s="113"/>
      <c r="Y299" s="113"/>
      <c r="Z299" s="113"/>
    </row>
    <row r="300" spans="1:26" x14ac:dyDescent="0.25">
      <c r="A300" s="89"/>
      <c r="B300" s="89"/>
      <c r="C300" s="89"/>
      <c r="D300" s="114"/>
      <c r="E300" s="114"/>
      <c r="F300" s="114"/>
      <c r="G300" s="114"/>
      <c r="I300" s="114"/>
      <c r="J300" s="114"/>
      <c r="K300" s="114"/>
      <c r="L300" s="114"/>
      <c r="M300" s="113"/>
      <c r="N300" s="114"/>
      <c r="O300" s="113"/>
      <c r="P300" s="113"/>
      <c r="Q300" s="114"/>
      <c r="R300" s="113"/>
      <c r="S300" s="113"/>
      <c r="T300" s="113"/>
      <c r="U300" s="113"/>
      <c r="V300" s="113"/>
      <c r="W300" s="113"/>
      <c r="X300" s="113"/>
      <c r="Y300" s="113"/>
      <c r="Z300" s="113"/>
    </row>
    <row r="301" spans="1:26" x14ac:dyDescent="0.25">
      <c r="A301" s="89"/>
      <c r="B301" s="89"/>
      <c r="C301" s="89"/>
      <c r="D301" s="114"/>
      <c r="E301" s="114"/>
      <c r="F301" s="114"/>
      <c r="G301" s="114"/>
      <c r="I301" s="114"/>
      <c r="J301" s="114"/>
      <c r="K301" s="114"/>
      <c r="L301" s="114"/>
      <c r="M301" s="113"/>
      <c r="N301" s="114"/>
      <c r="O301" s="113"/>
      <c r="P301" s="113"/>
      <c r="Q301" s="114"/>
      <c r="R301" s="113"/>
      <c r="S301" s="113"/>
      <c r="T301" s="113"/>
      <c r="U301" s="113"/>
      <c r="V301" s="113"/>
      <c r="W301" s="113"/>
      <c r="X301" s="113"/>
      <c r="Y301" s="113"/>
      <c r="Z301" s="113"/>
    </row>
    <row r="302" spans="1:26" x14ac:dyDescent="0.25">
      <c r="A302" s="89"/>
      <c r="B302" s="89"/>
      <c r="C302" s="89"/>
      <c r="D302" s="114"/>
      <c r="E302" s="114"/>
      <c r="F302" s="114"/>
      <c r="G302" s="114"/>
      <c r="I302" s="114"/>
      <c r="J302" s="114"/>
      <c r="K302" s="114"/>
      <c r="L302" s="114"/>
      <c r="M302" s="113"/>
      <c r="N302" s="114"/>
      <c r="O302" s="113"/>
      <c r="P302" s="113"/>
      <c r="Q302" s="114"/>
      <c r="R302" s="113"/>
      <c r="S302" s="113"/>
      <c r="T302" s="113"/>
      <c r="U302" s="113"/>
      <c r="V302" s="113"/>
      <c r="W302" s="113"/>
      <c r="X302" s="113"/>
      <c r="Y302" s="113"/>
      <c r="Z302" s="113"/>
    </row>
    <row r="303" spans="1:26" x14ac:dyDescent="0.25">
      <c r="A303" s="89"/>
      <c r="B303" s="89"/>
      <c r="C303" s="89"/>
      <c r="D303" s="114"/>
      <c r="E303" s="114"/>
      <c r="F303" s="114"/>
      <c r="G303" s="114"/>
      <c r="I303" s="114"/>
      <c r="J303" s="114"/>
      <c r="K303" s="114"/>
      <c r="L303" s="114"/>
      <c r="M303" s="113"/>
      <c r="N303" s="114"/>
      <c r="O303" s="113"/>
      <c r="P303" s="113"/>
      <c r="Q303" s="114"/>
      <c r="R303" s="113"/>
      <c r="S303" s="113"/>
      <c r="T303" s="113"/>
      <c r="U303" s="113"/>
      <c r="V303" s="113"/>
      <c r="W303" s="113"/>
      <c r="X303" s="113"/>
      <c r="Y303" s="113"/>
      <c r="Z303" s="113"/>
    </row>
    <row r="304" spans="1:26" x14ac:dyDescent="0.25">
      <c r="A304" s="89"/>
      <c r="B304" s="89"/>
      <c r="C304" s="89"/>
      <c r="D304" s="114"/>
      <c r="E304" s="114"/>
      <c r="F304" s="114"/>
      <c r="G304" s="114"/>
      <c r="I304" s="114"/>
      <c r="J304" s="114"/>
      <c r="K304" s="114"/>
      <c r="L304" s="114"/>
      <c r="M304" s="113"/>
      <c r="N304" s="114"/>
      <c r="O304" s="113"/>
      <c r="P304" s="113"/>
      <c r="Q304" s="114"/>
      <c r="R304" s="113"/>
      <c r="S304" s="113"/>
      <c r="T304" s="113"/>
      <c r="U304" s="113"/>
      <c r="V304" s="113"/>
      <c r="W304" s="113"/>
      <c r="X304" s="113"/>
      <c r="Y304" s="113"/>
      <c r="Z304" s="113"/>
    </row>
    <row r="305" spans="1:26" x14ac:dyDescent="0.25">
      <c r="A305" s="89"/>
      <c r="B305" s="89"/>
      <c r="C305" s="89"/>
      <c r="D305" s="114"/>
      <c r="E305" s="114"/>
      <c r="F305" s="114"/>
      <c r="G305" s="114"/>
      <c r="I305" s="114"/>
      <c r="J305" s="114"/>
      <c r="K305" s="114"/>
      <c r="L305" s="114"/>
      <c r="M305" s="113"/>
      <c r="N305" s="114"/>
      <c r="O305" s="113"/>
      <c r="P305" s="113"/>
      <c r="Q305" s="114"/>
      <c r="R305" s="113"/>
      <c r="S305" s="113"/>
      <c r="T305" s="113"/>
      <c r="U305" s="113"/>
      <c r="V305" s="113"/>
      <c r="W305" s="113"/>
      <c r="X305" s="113"/>
      <c r="Y305" s="113"/>
      <c r="Z305" s="113"/>
    </row>
    <row r="306" spans="1:26" x14ac:dyDescent="0.25">
      <c r="A306" s="89"/>
      <c r="B306" s="89"/>
      <c r="C306" s="89"/>
      <c r="D306" s="114"/>
      <c r="E306" s="114"/>
      <c r="F306" s="114"/>
      <c r="G306" s="114"/>
      <c r="I306" s="114"/>
      <c r="J306" s="114"/>
      <c r="K306" s="114"/>
      <c r="L306" s="114"/>
      <c r="M306" s="113"/>
      <c r="N306" s="114"/>
      <c r="O306" s="113"/>
      <c r="P306" s="113"/>
      <c r="Q306" s="114"/>
      <c r="R306" s="113"/>
      <c r="S306" s="113"/>
      <c r="T306" s="113"/>
      <c r="U306" s="113"/>
      <c r="V306" s="113"/>
      <c r="W306" s="113"/>
      <c r="X306" s="113"/>
      <c r="Y306" s="113"/>
      <c r="Z306" s="113"/>
    </row>
    <row r="307" spans="1:26" x14ac:dyDescent="0.25">
      <c r="A307" s="89"/>
      <c r="B307" s="89"/>
      <c r="C307" s="89"/>
      <c r="D307" s="114"/>
      <c r="E307" s="114"/>
      <c r="F307" s="114"/>
      <c r="G307" s="114"/>
      <c r="I307" s="114"/>
      <c r="J307" s="114"/>
      <c r="K307" s="114"/>
      <c r="L307" s="114"/>
      <c r="M307" s="113"/>
      <c r="N307" s="114"/>
      <c r="O307" s="113"/>
      <c r="P307" s="113"/>
      <c r="Q307" s="114"/>
      <c r="R307" s="113"/>
      <c r="S307" s="113"/>
      <c r="T307" s="113"/>
      <c r="U307" s="113"/>
      <c r="V307" s="113"/>
      <c r="W307" s="113"/>
      <c r="X307" s="113"/>
      <c r="Y307" s="113"/>
      <c r="Z307" s="113"/>
    </row>
    <row r="308" spans="1:26" x14ac:dyDescent="0.25">
      <c r="A308" s="89"/>
      <c r="B308" s="89"/>
      <c r="C308" s="89"/>
      <c r="D308" s="114"/>
      <c r="E308" s="114"/>
      <c r="F308" s="114"/>
      <c r="G308" s="114"/>
      <c r="I308" s="114"/>
      <c r="J308" s="114"/>
      <c r="K308" s="114"/>
      <c r="L308" s="114"/>
      <c r="M308" s="113"/>
      <c r="N308" s="114"/>
      <c r="O308" s="113"/>
      <c r="P308" s="113"/>
      <c r="Q308" s="114"/>
      <c r="R308" s="113"/>
      <c r="S308" s="113"/>
      <c r="T308" s="113"/>
      <c r="U308" s="113"/>
      <c r="V308" s="113"/>
      <c r="W308" s="113"/>
      <c r="X308" s="113"/>
      <c r="Y308" s="113"/>
      <c r="Z308" s="113"/>
    </row>
    <row r="309" spans="1:26" x14ac:dyDescent="0.25">
      <c r="A309" s="89"/>
      <c r="B309" s="89"/>
      <c r="C309" s="89"/>
      <c r="D309" s="114"/>
      <c r="E309" s="114"/>
      <c r="F309" s="114"/>
      <c r="G309" s="114"/>
      <c r="I309" s="114"/>
      <c r="J309" s="114"/>
      <c r="K309" s="114"/>
      <c r="L309" s="114"/>
      <c r="M309" s="113"/>
      <c r="N309" s="114"/>
      <c r="O309" s="113"/>
      <c r="P309" s="113"/>
      <c r="Q309" s="114"/>
      <c r="R309" s="113"/>
      <c r="S309" s="113"/>
      <c r="T309" s="113"/>
      <c r="U309" s="113"/>
      <c r="V309" s="113"/>
      <c r="W309" s="113"/>
      <c r="X309" s="113"/>
      <c r="Y309" s="113"/>
      <c r="Z309" s="113"/>
    </row>
    <row r="310" spans="1:26" x14ac:dyDescent="0.25">
      <c r="A310" s="89"/>
      <c r="B310" s="89"/>
      <c r="C310" s="89"/>
      <c r="D310" s="114"/>
      <c r="E310" s="114"/>
      <c r="F310" s="114"/>
      <c r="G310" s="114"/>
      <c r="I310" s="114"/>
      <c r="J310" s="114"/>
      <c r="K310" s="114"/>
      <c r="L310" s="114"/>
      <c r="M310" s="113"/>
      <c r="N310" s="114"/>
      <c r="O310" s="113"/>
      <c r="P310" s="113"/>
      <c r="Q310" s="114"/>
      <c r="R310" s="113"/>
      <c r="S310" s="113"/>
      <c r="T310" s="113"/>
      <c r="U310" s="113"/>
      <c r="V310" s="113"/>
      <c r="W310" s="113"/>
      <c r="X310" s="113"/>
      <c r="Y310" s="113"/>
      <c r="Z310" s="113"/>
    </row>
    <row r="311" spans="1:26" x14ac:dyDescent="0.25">
      <c r="A311" s="89"/>
      <c r="B311" s="89"/>
      <c r="C311" s="89"/>
      <c r="D311" s="114"/>
      <c r="E311" s="114"/>
      <c r="F311" s="114"/>
      <c r="G311" s="114"/>
      <c r="I311" s="114"/>
      <c r="J311" s="114"/>
      <c r="K311" s="114"/>
      <c r="L311" s="114"/>
      <c r="M311" s="113"/>
      <c r="N311" s="114"/>
      <c r="O311" s="113"/>
      <c r="P311" s="113"/>
      <c r="Q311" s="114"/>
      <c r="R311" s="113"/>
      <c r="S311" s="113"/>
      <c r="T311" s="113"/>
      <c r="U311" s="113"/>
      <c r="V311" s="113"/>
      <c r="W311" s="113"/>
      <c r="X311" s="113"/>
      <c r="Y311" s="113"/>
      <c r="Z311" s="113"/>
    </row>
    <row r="312" spans="1:26" x14ac:dyDescent="0.25">
      <c r="A312" s="89"/>
      <c r="B312" s="89"/>
      <c r="C312" s="89"/>
      <c r="D312" s="114"/>
      <c r="E312" s="114"/>
      <c r="F312" s="114"/>
      <c r="G312" s="114"/>
      <c r="I312" s="114"/>
      <c r="J312" s="114"/>
      <c r="K312" s="114"/>
      <c r="L312" s="114"/>
      <c r="M312" s="113"/>
      <c r="N312" s="114"/>
      <c r="O312" s="113"/>
      <c r="P312" s="113"/>
      <c r="Q312" s="114"/>
      <c r="R312" s="113"/>
      <c r="S312" s="113"/>
      <c r="T312" s="113"/>
      <c r="U312" s="113"/>
      <c r="V312" s="113"/>
      <c r="W312" s="113"/>
      <c r="X312" s="113"/>
      <c r="Y312" s="113"/>
      <c r="Z312" s="113"/>
    </row>
    <row r="313" spans="1:26" x14ac:dyDescent="0.25">
      <c r="A313" s="89"/>
      <c r="B313" s="89"/>
      <c r="C313" s="89"/>
      <c r="D313" s="114"/>
      <c r="E313" s="114"/>
      <c r="F313" s="114"/>
      <c r="G313" s="114"/>
      <c r="I313" s="114"/>
      <c r="J313" s="114"/>
      <c r="K313" s="114"/>
      <c r="L313" s="114"/>
      <c r="M313" s="113"/>
      <c r="N313" s="114"/>
      <c r="O313" s="113"/>
      <c r="P313" s="113"/>
      <c r="Q313" s="114"/>
      <c r="R313" s="113"/>
      <c r="S313" s="113"/>
      <c r="T313" s="113"/>
      <c r="U313" s="113"/>
      <c r="V313" s="113"/>
      <c r="W313" s="113"/>
      <c r="X313" s="113"/>
      <c r="Y313" s="113"/>
      <c r="Z313" s="113"/>
    </row>
    <row r="314" spans="1:26" x14ac:dyDescent="0.25">
      <c r="A314" s="89"/>
      <c r="B314" s="89"/>
      <c r="C314" s="89"/>
      <c r="D314" s="114"/>
      <c r="E314" s="114"/>
      <c r="F314" s="114"/>
      <c r="G314" s="114"/>
      <c r="I314" s="114"/>
      <c r="J314" s="114"/>
      <c r="K314" s="114"/>
      <c r="L314" s="114"/>
      <c r="M314" s="113"/>
      <c r="N314" s="114"/>
      <c r="O314" s="113"/>
      <c r="P314" s="113"/>
      <c r="Q314" s="114"/>
      <c r="R314" s="113"/>
      <c r="S314" s="113"/>
      <c r="T314" s="113"/>
      <c r="U314" s="113"/>
      <c r="V314" s="113"/>
      <c r="W314" s="113"/>
      <c r="X314" s="113"/>
      <c r="Y314" s="113"/>
      <c r="Z314" s="113"/>
    </row>
    <row r="315" spans="1:26" x14ac:dyDescent="0.25">
      <c r="A315" s="89"/>
      <c r="B315" s="89"/>
      <c r="C315" s="89"/>
      <c r="D315" s="114"/>
      <c r="E315" s="114"/>
      <c r="F315" s="114"/>
      <c r="G315" s="114"/>
      <c r="I315" s="114"/>
      <c r="J315" s="114"/>
      <c r="K315" s="114"/>
      <c r="L315" s="114"/>
      <c r="M315" s="113"/>
      <c r="N315" s="114"/>
      <c r="O315" s="113"/>
      <c r="P315" s="113"/>
      <c r="Q315" s="114"/>
      <c r="R315" s="113"/>
      <c r="S315" s="113"/>
      <c r="T315" s="113"/>
      <c r="U315" s="113"/>
      <c r="V315" s="113"/>
      <c r="W315" s="113"/>
      <c r="X315" s="113"/>
      <c r="Y315" s="113"/>
      <c r="Z315" s="113"/>
    </row>
    <row r="316" spans="1:26" x14ac:dyDescent="0.25">
      <c r="A316" s="89"/>
      <c r="B316" s="89"/>
      <c r="C316" s="89"/>
      <c r="D316" s="114"/>
      <c r="E316" s="114"/>
      <c r="F316" s="114"/>
      <c r="G316" s="114"/>
      <c r="I316" s="114"/>
      <c r="J316" s="114"/>
      <c r="K316" s="114"/>
      <c r="L316" s="114"/>
      <c r="M316" s="113"/>
      <c r="N316" s="114"/>
      <c r="O316" s="113"/>
      <c r="P316" s="113"/>
      <c r="Q316" s="114"/>
      <c r="R316" s="113"/>
      <c r="S316" s="113"/>
      <c r="T316" s="113"/>
      <c r="U316" s="113"/>
      <c r="V316" s="113"/>
      <c r="W316" s="113"/>
      <c r="X316" s="113"/>
      <c r="Y316" s="113"/>
      <c r="Z316" s="113"/>
    </row>
    <row r="317" spans="1:26" x14ac:dyDescent="0.25">
      <c r="A317" s="89"/>
      <c r="B317" s="89"/>
      <c r="C317" s="89"/>
      <c r="D317" s="114"/>
      <c r="E317" s="114"/>
      <c r="F317" s="114"/>
      <c r="G317" s="114"/>
      <c r="I317" s="114"/>
      <c r="J317" s="114"/>
      <c r="K317" s="114"/>
      <c r="L317" s="114"/>
      <c r="M317" s="113"/>
      <c r="N317" s="114"/>
      <c r="O317" s="113"/>
      <c r="P317" s="113"/>
      <c r="Q317" s="114"/>
      <c r="R317" s="113"/>
      <c r="S317" s="113"/>
      <c r="T317" s="113"/>
      <c r="U317" s="113"/>
      <c r="V317" s="113"/>
      <c r="W317" s="113"/>
      <c r="X317" s="113"/>
      <c r="Y317" s="113"/>
      <c r="Z317" s="113"/>
    </row>
    <row r="318" spans="1:26" x14ac:dyDescent="0.25">
      <c r="A318" s="89"/>
      <c r="B318" s="89"/>
      <c r="C318" s="89"/>
      <c r="D318" s="114"/>
      <c r="E318" s="114"/>
      <c r="F318" s="114"/>
      <c r="G318" s="114"/>
      <c r="I318" s="114"/>
      <c r="J318" s="114"/>
      <c r="K318" s="114"/>
      <c r="L318" s="114"/>
      <c r="M318" s="113"/>
      <c r="N318" s="114"/>
      <c r="O318" s="113"/>
      <c r="P318" s="113"/>
      <c r="Q318" s="114"/>
      <c r="R318" s="113"/>
      <c r="S318" s="113"/>
      <c r="T318" s="113"/>
      <c r="U318" s="113"/>
      <c r="V318" s="113"/>
      <c r="W318" s="113"/>
      <c r="X318" s="113"/>
      <c r="Y318" s="113"/>
      <c r="Z318" s="113"/>
    </row>
    <row r="319" spans="1:26" x14ac:dyDescent="0.25">
      <c r="A319" s="89"/>
      <c r="B319" s="89"/>
      <c r="C319" s="89"/>
      <c r="D319" s="114"/>
      <c r="E319" s="114"/>
      <c r="F319" s="114"/>
      <c r="G319" s="114"/>
      <c r="I319" s="114"/>
      <c r="J319" s="114"/>
      <c r="K319" s="114"/>
      <c r="L319" s="114"/>
      <c r="M319" s="113"/>
      <c r="N319" s="114"/>
      <c r="O319" s="113"/>
      <c r="P319" s="113"/>
      <c r="Q319" s="114"/>
      <c r="R319" s="113"/>
      <c r="S319" s="113"/>
      <c r="T319" s="113"/>
      <c r="U319" s="113"/>
      <c r="V319" s="113"/>
      <c r="W319" s="113"/>
      <c r="X319" s="113"/>
      <c r="Y319" s="113"/>
      <c r="Z319" s="113"/>
    </row>
    <row r="320" spans="1:26" x14ac:dyDescent="0.25">
      <c r="A320" s="89"/>
      <c r="B320" s="89"/>
      <c r="C320" s="89"/>
      <c r="D320" s="114"/>
      <c r="E320" s="114"/>
      <c r="F320" s="114"/>
      <c r="G320" s="114"/>
      <c r="I320" s="114"/>
      <c r="J320" s="114"/>
      <c r="K320" s="114"/>
      <c r="L320" s="114"/>
      <c r="M320" s="113"/>
      <c r="N320" s="114"/>
      <c r="O320" s="113"/>
      <c r="P320" s="113"/>
      <c r="Q320" s="114"/>
      <c r="R320" s="113"/>
      <c r="S320" s="113"/>
      <c r="T320" s="113"/>
      <c r="U320" s="113"/>
      <c r="V320" s="113"/>
      <c r="W320" s="113"/>
      <c r="X320" s="113"/>
      <c r="Y320" s="113"/>
      <c r="Z320" s="113"/>
    </row>
    <row r="321" spans="1:26" x14ac:dyDescent="0.25">
      <c r="A321" s="89"/>
      <c r="B321" s="89"/>
      <c r="C321" s="89"/>
      <c r="D321" s="114"/>
      <c r="E321" s="114"/>
      <c r="F321" s="114"/>
      <c r="G321" s="114"/>
      <c r="I321" s="114"/>
      <c r="J321" s="114"/>
      <c r="K321" s="114"/>
      <c r="L321" s="114"/>
      <c r="M321" s="113"/>
      <c r="N321" s="114"/>
      <c r="O321" s="113"/>
      <c r="P321" s="113"/>
      <c r="Q321" s="114"/>
      <c r="R321" s="113"/>
      <c r="S321" s="113"/>
      <c r="T321" s="113"/>
      <c r="U321" s="113"/>
      <c r="V321" s="113"/>
      <c r="W321" s="113"/>
      <c r="X321" s="113"/>
      <c r="Y321" s="113"/>
      <c r="Z321" s="113"/>
    </row>
    <row r="322" spans="1:26" x14ac:dyDescent="0.25">
      <c r="A322" s="89"/>
      <c r="B322" s="89"/>
      <c r="C322" s="89"/>
      <c r="D322" s="114"/>
      <c r="E322" s="114"/>
      <c r="F322" s="114"/>
      <c r="G322" s="114"/>
      <c r="I322" s="114"/>
      <c r="J322" s="114"/>
      <c r="K322" s="114"/>
      <c r="L322" s="114"/>
      <c r="M322" s="113"/>
      <c r="N322" s="114"/>
      <c r="O322" s="113"/>
      <c r="P322" s="113"/>
      <c r="Q322" s="114"/>
      <c r="R322" s="113"/>
      <c r="S322" s="113"/>
      <c r="T322" s="113"/>
      <c r="U322" s="113"/>
      <c r="V322" s="113"/>
      <c r="W322" s="113"/>
      <c r="X322" s="113"/>
      <c r="Y322" s="113"/>
      <c r="Z322" s="113"/>
    </row>
    <row r="323" spans="1:26" x14ac:dyDescent="0.25">
      <c r="A323" s="89"/>
      <c r="B323" s="89"/>
      <c r="C323" s="89"/>
      <c r="D323" s="114"/>
      <c r="E323" s="114"/>
      <c r="F323" s="114"/>
      <c r="G323" s="114"/>
      <c r="I323" s="114"/>
      <c r="J323" s="114"/>
      <c r="K323" s="114"/>
      <c r="L323" s="114"/>
      <c r="M323" s="113"/>
      <c r="N323" s="114"/>
      <c r="O323" s="113"/>
      <c r="P323" s="113"/>
      <c r="Q323" s="114"/>
      <c r="R323" s="113"/>
      <c r="S323" s="113"/>
      <c r="T323" s="113"/>
      <c r="U323" s="113"/>
      <c r="V323" s="113"/>
      <c r="W323" s="113"/>
      <c r="X323" s="113"/>
      <c r="Y323" s="113"/>
      <c r="Z323" s="113"/>
    </row>
    <row r="324" spans="1:26" x14ac:dyDescent="0.25">
      <c r="A324" s="89"/>
      <c r="B324" s="89"/>
      <c r="C324" s="89"/>
      <c r="D324" s="114"/>
      <c r="E324" s="114"/>
      <c r="F324" s="114"/>
      <c r="G324" s="114"/>
      <c r="I324" s="114"/>
      <c r="J324" s="114"/>
      <c r="K324" s="114"/>
      <c r="L324" s="114"/>
      <c r="M324" s="113"/>
      <c r="N324" s="114"/>
      <c r="O324" s="113"/>
      <c r="P324" s="113"/>
      <c r="Q324" s="114"/>
      <c r="R324" s="113"/>
      <c r="S324" s="113"/>
      <c r="T324" s="113"/>
      <c r="U324" s="113"/>
      <c r="V324" s="113"/>
      <c r="W324" s="113"/>
      <c r="X324" s="113"/>
      <c r="Y324" s="113"/>
      <c r="Z324" s="113"/>
    </row>
    <row r="325" spans="1:26" x14ac:dyDescent="0.25">
      <c r="A325" s="89"/>
      <c r="B325" s="89"/>
      <c r="C325" s="89"/>
      <c r="D325" s="114"/>
      <c r="E325" s="114"/>
      <c r="F325" s="114"/>
      <c r="G325" s="114"/>
      <c r="I325" s="114"/>
      <c r="J325" s="114"/>
      <c r="K325" s="114"/>
      <c r="L325" s="114"/>
      <c r="M325" s="113"/>
      <c r="N325" s="114"/>
      <c r="O325" s="113"/>
      <c r="P325" s="113"/>
      <c r="Q325" s="114"/>
      <c r="R325" s="113"/>
      <c r="S325" s="113"/>
      <c r="T325" s="113"/>
      <c r="U325" s="113"/>
      <c r="V325" s="113"/>
      <c r="W325" s="113"/>
      <c r="X325" s="113"/>
      <c r="Y325" s="113"/>
      <c r="Z325" s="113"/>
    </row>
    <row r="326" spans="1:26" x14ac:dyDescent="0.25">
      <c r="A326" s="89"/>
      <c r="B326" s="89"/>
      <c r="C326" s="89"/>
      <c r="D326" s="114"/>
      <c r="E326" s="114"/>
      <c r="F326" s="114"/>
      <c r="G326" s="114"/>
      <c r="I326" s="114"/>
      <c r="J326" s="114"/>
      <c r="K326" s="114"/>
      <c r="L326" s="114"/>
      <c r="M326" s="113"/>
      <c r="N326" s="114"/>
      <c r="O326" s="113"/>
      <c r="P326" s="113"/>
      <c r="Q326" s="114"/>
      <c r="R326" s="113"/>
      <c r="S326" s="113"/>
      <c r="T326" s="113"/>
      <c r="U326" s="113"/>
      <c r="V326" s="113"/>
      <c r="W326" s="113"/>
      <c r="X326" s="113"/>
      <c r="Y326" s="113"/>
      <c r="Z326" s="113"/>
    </row>
    <row r="327" spans="1:26" x14ac:dyDescent="0.25">
      <c r="A327" s="89"/>
      <c r="B327" s="89"/>
      <c r="C327" s="89"/>
      <c r="D327" s="114"/>
      <c r="E327" s="114"/>
      <c r="F327" s="114"/>
      <c r="G327" s="114"/>
      <c r="I327" s="114"/>
      <c r="J327" s="114"/>
      <c r="K327" s="114"/>
      <c r="L327" s="114"/>
      <c r="M327" s="113"/>
      <c r="N327" s="114"/>
      <c r="O327" s="113"/>
      <c r="P327" s="113"/>
      <c r="Q327" s="114"/>
      <c r="R327" s="113"/>
      <c r="S327" s="113"/>
      <c r="T327" s="113"/>
      <c r="U327" s="113"/>
      <c r="V327" s="113"/>
      <c r="W327" s="113"/>
      <c r="X327" s="113"/>
      <c r="Y327" s="113"/>
      <c r="Z327" s="113"/>
    </row>
    <row r="328" spans="1:26" x14ac:dyDescent="0.25">
      <c r="A328" s="89"/>
      <c r="B328" s="89"/>
      <c r="C328" s="89"/>
      <c r="D328" s="114"/>
      <c r="E328" s="114"/>
      <c r="F328" s="114"/>
      <c r="G328" s="114"/>
      <c r="I328" s="114"/>
      <c r="J328" s="114"/>
      <c r="K328" s="114"/>
      <c r="L328" s="114"/>
      <c r="M328" s="113"/>
      <c r="N328" s="114"/>
      <c r="O328" s="113"/>
      <c r="P328" s="113"/>
      <c r="Q328" s="114"/>
      <c r="R328" s="113"/>
      <c r="S328" s="113"/>
      <c r="T328" s="113"/>
      <c r="U328" s="113"/>
      <c r="V328" s="113"/>
      <c r="W328" s="113"/>
      <c r="X328" s="113"/>
      <c r="Y328" s="113"/>
      <c r="Z328" s="113"/>
    </row>
    <row r="329" spans="1:26" x14ac:dyDescent="0.25">
      <c r="A329" s="89"/>
      <c r="B329" s="89"/>
      <c r="C329" s="89"/>
      <c r="D329" s="114"/>
      <c r="E329" s="114"/>
      <c r="F329" s="114"/>
      <c r="G329" s="114"/>
      <c r="I329" s="114"/>
      <c r="J329" s="114"/>
      <c r="K329" s="114"/>
      <c r="L329" s="114"/>
      <c r="M329" s="113"/>
      <c r="N329" s="114"/>
      <c r="O329" s="113"/>
      <c r="P329" s="113"/>
      <c r="Q329" s="114"/>
      <c r="R329" s="113"/>
      <c r="S329" s="113"/>
      <c r="T329" s="113"/>
      <c r="U329" s="113"/>
      <c r="V329" s="113"/>
      <c r="W329" s="113"/>
      <c r="X329" s="113"/>
      <c r="Y329" s="113"/>
      <c r="Z329" s="113"/>
    </row>
    <row r="330" spans="1:26" x14ac:dyDescent="0.25">
      <c r="A330" s="89"/>
      <c r="B330" s="89"/>
      <c r="C330" s="89"/>
      <c r="D330" s="114"/>
      <c r="E330" s="114"/>
      <c r="F330" s="114"/>
      <c r="G330" s="114"/>
      <c r="I330" s="114"/>
      <c r="J330" s="114"/>
      <c r="K330" s="114"/>
      <c r="L330" s="114"/>
      <c r="M330" s="113"/>
      <c r="N330" s="114"/>
      <c r="O330" s="113"/>
      <c r="P330" s="113"/>
      <c r="Q330" s="114"/>
      <c r="R330" s="113"/>
      <c r="S330" s="113"/>
      <c r="T330" s="113"/>
      <c r="U330" s="113"/>
      <c r="V330" s="113"/>
      <c r="W330" s="113"/>
      <c r="X330" s="113"/>
      <c r="Y330" s="113"/>
      <c r="Z330" s="113"/>
    </row>
    <row r="331" spans="1:26" x14ac:dyDescent="0.25">
      <c r="A331" s="89"/>
      <c r="B331" s="89"/>
      <c r="C331" s="89"/>
      <c r="D331" s="114"/>
      <c r="E331" s="114"/>
      <c r="F331" s="114"/>
      <c r="G331" s="114"/>
      <c r="I331" s="114"/>
      <c r="J331" s="114"/>
      <c r="K331" s="114"/>
      <c r="L331" s="114"/>
      <c r="M331" s="113"/>
      <c r="N331" s="114"/>
      <c r="O331" s="113"/>
      <c r="P331" s="113"/>
      <c r="Q331" s="114"/>
      <c r="R331" s="113"/>
      <c r="S331" s="113"/>
      <c r="T331" s="113"/>
      <c r="U331" s="113"/>
      <c r="V331" s="113"/>
      <c r="W331" s="113"/>
      <c r="X331" s="113"/>
      <c r="Y331" s="113"/>
      <c r="Z331" s="113"/>
    </row>
    <row r="332" spans="1:26" x14ac:dyDescent="0.25">
      <c r="A332" s="89"/>
      <c r="B332" s="89"/>
      <c r="C332" s="89"/>
      <c r="D332" s="114"/>
      <c r="E332" s="114"/>
      <c r="F332" s="114"/>
      <c r="G332" s="114"/>
      <c r="I332" s="114"/>
      <c r="J332" s="114"/>
      <c r="K332" s="114"/>
      <c r="L332" s="114"/>
      <c r="M332" s="113"/>
      <c r="N332" s="114"/>
      <c r="O332" s="113"/>
      <c r="P332" s="113"/>
      <c r="Q332" s="114"/>
      <c r="R332" s="113"/>
      <c r="S332" s="113"/>
      <c r="T332" s="113"/>
      <c r="U332" s="113"/>
      <c r="V332" s="113"/>
      <c r="W332" s="113"/>
      <c r="X332" s="113"/>
      <c r="Y332" s="113"/>
      <c r="Z332" s="113"/>
    </row>
    <row r="333" spans="1:26" x14ac:dyDescent="0.25">
      <c r="A333" s="89"/>
      <c r="B333" s="89"/>
      <c r="C333" s="89"/>
      <c r="D333" s="114"/>
      <c r="E333" s="114"/>
      <c r="F333" s="114"/>
      <c r="G333" s="114"/>
      <c r="I333" s="114"/>
      <c r="J333" s="114"/>
      <c r="K333" s="114"/>
      <c r="L333" s="114"/>
      <c r="M333" s="113"/>
      <c r="N333" s="114"/>
      <c r="O333" s="113"/>
      <c r="P333" s="113"/>
      <c r="Q333" s="114"/>
      <c r="R333" s="113"/>
      <c r="S333" s="113"/>
      <c r="T333" s="113"/>
      <c r="U333" s="113"/>
      <c r="V333" s="113"/>
      <c r="W333" s="113"/>
      <c r="X333" s="113"/>
      <c r="Y333" s="113"/>
      <c r="Z333" s="113"/>
    </row>
    <row r="334" spans="1:26" x14ac:dyDescent="0.25">
      <c r="A334" s="89"/>
      <c r="B334" s="89"/>
      <c r="C334" s="89"/>
      <c r="D334" s="114"/>
      <c r="E334" s="114"/>
      <c r="F334" s="114"/>
      <c r="G334" s="114"/>
      <c r="I334" s="114"/>
      <c r="J334" s="114"/>
      <c r="K334" s="114"/>
      <c r="L334" s="114"/>
      <c r="M334" s="113"/>
      <c r="N334" s="114"/>
      <c r="O334" s="113"/>
      <c r="P334" s="113"/>
      <c r="Q334" s="114"/>
      <c r="R334" s="113"/>
      <c r="S334" s="113"/>
      <c r="T334" s="113"/>
      <c r="U334" s="113"/>
      <c r="V334" s="113"/>
      <c r="W334" s="113"/>
      <c r="X334" s="113"/>
      <c r="Y334" s="113"/>
      <c r="Z334" s="113"/>
    </row>
    <row r="335" spans="1:26" x14ac:dyDescent="0.25">
      <c r="A335" s="89"/>
      <c r="B335" s="89"/>
      <c r="C335" s="89"/>
      <c r="D335" s="114"/>
      <c r="E335" s="114"/>
      <c r="F335" s="114"/>
      <c r="G335" s="114"/>
      <c r="I335" s="114"/>
      <c r="J335" s="114"/>
      <c r="K335" s="114"/>
      <c r="L335" s="114"/>
      <c r="M335" s="113"/>
      <c r="N335" s="114"/>
      <c r="O335" s="113"/>
      <c r="P335" s="113"/>
      <c r="Q335" s="114"/>
      <c r="R335" s="113"/>
      <c r="S335" s="113"/>
      <c r="T335" s="113"/>
      <c r="U335" s="113"/>
      <c r="V335" s="113"/>
      <c r="W335" s="113"/>
      <c r="X335" s="113"/>
      <c r="Y335" s="113"/>
      <c r="Z335" s="113"/>
    </row>
    <row r="336" spans="1:26" x14ac:dyDescent="0.25">
      <c r="A336" s="89"/>
      <c r="B336" s="89"/>
      <c r="C336" s="89"/>
      <c r="D336" s="114"/>
      <c r="E336" s="114"/>
      <c r="F336" s="114"/>
      <c r="G336" s="114"/>
      <c r="I336" s="114"/>
      <c r="J336" s="114"/>
      <c r="K336" s="114"/>
      <c r="L336" s="114"/>
      <c r="M336" s="113"/>
      <c r="N336" s="114"/>
      <c r="O336" s="113"/>
      <c r="P336" s="113"/>
      <c r="Q336" s="114"/>
      <c r="R336" s="113"/>
      <c r="S336" s="113"/>
      <c r="T336" s="113"/>
      <c r="U336" s="113"/>
      <c r="V336" s="113"/>
      <c r="W336" s="113"/>
      <c r="X336" s="113"/>
      <c r="Y336" s="113"/>
      <c r="Z336" s="113"/>
    </row>
    <row r="337" spans="1:26" x14ac:dyDescent="0.25">
      <c r="A337" s="89"/>
      <c r="B337" s="89"/>
      <c r="C337" s="89"/>
      <c r="D337" s="114"/>
      <c r="E337" s="114"/>
      <c r="F337" s="114"/>
      <c r="G337" s="114"/>
      <c r="I337" s="114"/>
      <c r="J337" s="114"/>
      <c r="K337" s="114"/>
      <c r="L337" s="114"/>
      <c r="M337" s="113"/>
      <c r="N337" s="114"/>
      <c r="O337" s="113"/>
      <c r="P337" s="113"/>
      <c r="Q337" s="114"/>
      <c r="R337" s="113"/>
      <c r="S337" s="113"/>
      <c r="T337" s="113"/>
      <c r="U337" s="113"/>
      <c r="V337" s="113"/>
      <c r="W337" s="113"/>
      <c r="X337" s="113"/>
      <c r="Y337" s="113"/>
      <c r="Z337" s="113"/>
    </row>
    <row r="338" spans="1:26" x14ac:dyDescent="0.25">
      <c r="A338" s="89"/>
      <c r="B338" s="89"/>
      <c r="C338" s="89"/>
      <c r="D338" s="114"/>
      <c r="E338" s="114"/>
      <c r="F338" s="114"/>
      <c r="G338" s="114"/>
      <c r="I338" s="114"/>
      <c r="J338" s="114"/>
      <c r="K338" s="114"/>
      <c r="L338" s="114"/>
      <c r="M338" s="113"/>
      <c r="N338" s="114"/>
      <c r="O338" s="113"/>
      <c r="P338" s="113"/>
      <c r="Q338" s="114"/>
      <c r="R338" s="113"/>
      <c r="S338" s="113"/>
      <c r="T338" s="113"/>
      <c r="U338" s="113"/>
      <c r="V338" s="113"/>
      <c r="W338" s="113"/>
      <c r="X338" s="113"/>
      <c r="Y338" s="113"/>
      <c r="Z338" s="113"/>
    </row>
    <row r="339" spans="1:26" x14ac:dyDescent="0.25">
      <c r="A339" s="89"/>
      <c r="B339" s="89"/>
      <c r="C339" s="89"/>
      <c r="D339" s="114"/>
      <c r="E339" s="114"/>
      <c r="F339" s="114"/>
      <c r="G339" s="114"/>
      <c r="I339" s="114"/>
      <c r="J339" s="114"/>
      <c r="K339" s="114"/>
      <c r="L339" s="114"/>
      <c r="M339" s="113"/>
      <c r="N339" s="114"/>
      <c r="O339" s="113"/>
      <c r="P339" s="113"/>
      <c r="Q339" s="114"/>
      <c r="R339" s="113"/>
      <c r="S339" s="113"/>
      <c r="T339" s="113"/>
      <c r="U339" s="113"/>
      <c r="V339" s="113"/>
      <c r="W339" s="113"/>
      <c r="X339" s="113"/>
      <c r="Y339" s="113"/>
      <c r="Z339" s="113"/>
    </row>
    <row r="340" spans="1:26" x14ac:dyDescent="0.25">
      <c r="A340" s="89"/>
      <c r="B340" s="89"/>
      <c r="C340" s="89"/>
      <c r="D340" s="114"/>
      <c r="E340" s="114"/>
      <c r="F340" s="114"/>
      <c r="G340" s="114"/>
      <c r="I340" s="114"/>
      <c r="J340" s="114"/>
      <c r="K340" s="114"/>
      <c r="L340" s="114"/>
      <c r="M340" s="113"/>
      <c r="N340" s="114"/>
      <c r="O340" s="113"/>
      <c r="P340" s="113"/>
      <c r="Q340" s="114"/>
      <c r="R340" s="113"/>
      <c r="S340" s="113"/>
      <c r="T340" s="113"/>
      <c r="U340" s="113"/>
      <c r="V340" s="113"/>
      <c r="W340" s="113"/>
      <c r="X340" s="113"/>
      <c r="Y340" s="113"/>
      <c r="Z340" s="113"/>
    </row>
    <row r="341" spans="1:26" x14ac:dyDescent="0.25">
      <c r="A341" s="89"/>
      <c r="B341" s="89"/>
      <c r="C341" s="89"/>
      <c r="D341" s="114"/>
      <c r="E341" s="114"/>
      <c r="F341" s="114"/>
      <c r="G341" s="114"/>
      <c r="I341" s="114"/>
      <c r="J341" s="114"/>
      <c r="K341" s="114"/>
      <c r="L341" s="114"/>
      <c r="M341" s="113"/>
      <c r="N341" s="114"/>
      <c r="O341" s="113"/>
      <c r="P341" s="113"/>
      <c r="Q341" s="114"/>
      <c r="R341" s="113"/>
      <c r="S341" s="113"/>
      <c r="T341" s="113"/>
      <c r="U341" s="113"/>
      <c r="V341" s="113"/>
      <c r="W341" s="113"/>
      <c r="X341" s="113"/>
      <c r="Y341" s="113"/>
      <c r="Z341" s="113"/>
    </row>
    <row r="342" spans="1:26" x14ac:dyDescent="0.25">
      <c r="A342" s="89"/>
      <c r="B342" s="89"/>
      <c r="C342" s="89"/>
      <c r="D342" s="114"/>
      <c r="E342" s="114"/>
      <c r="F342" s="114"/>
      <c r="G342" s="114"/>
      <c r="I342" s="114"/>
      <c r="J342" s="114"/>
      <c r="K342" s="114"/>
      <c r="L342" s="114"/>
      <c r="M342" s="113"/>
      <c r="N342" s="114"/>
      <c r="O342" s="113"/>
      <c r="P342" s="113"/>
      <c r="Q342" s="114"/>
      <c r="R342" s="113"/>
      <c r="S342" s="113"/>
      <c r="T342" s="113"/>
      <c r="U342" s="113"/>
      <c r="V342" s="113"/>
      <c r="W342" s="113"/>
      <c r="X342" s="113"/>
      <c r="Y342" s="113"/>
      <c r="Z342" s="113"/>
    </row>
    <row r="343" spans="1:26" x14ac:dyDescent="0.25">
      <c r="A343" s="89"/>
      <c r="B343" s="89"/>
      <c r="C343" s="89"/>
      <c r="D343" s="114"/>
      <c r="E343" s="114"/>
      <c r="F343" s="114"/>
      <c r="G343" s="114"/>
      <c r="I343" s="114"/>
      <c r="J343" s="114"/>
      <c r="K343" s="114"/>
      <c r="L343" s="114"/>
      <c r="M343" s="113"/>
      <c r="N343" s="114"/>
      <c r="O343" s="113"/>
      <c r="P343" s="113"/>
      <c r="Q343" s="114"/>
      <c r="R343" s="113"/>
      <c r="S343" s="113"/>
      <c r="T343" s="113"/>
      <c r="U343" s="113"/>
      <c r="V343" s="113"/>
      <c r="W343" s="113"/>
      <c r="X343" s="113"/>
      <c r="Y343" s="113"/>
      <c r="Z343" s="113"/>
    </row>
    <row r="344" spans="1:26" x14ac:dyDescent="0.25">
      <c r="A344" s="89"/>
      <c r="B344" s="89"/>
      <c r="C344" s="89"/>
      <c r="D344" s="114"/>
      <c r="E344" s="114"/>
      <c r="F344" s="114"/>
      <c r="G344" s="114"/>
      <c r="I344" s="114"/>
      <c r="J344" s="114"/>
      <c r="K344" s="114"/>
      <c r="L344" s="114"/>
      <c r="M344" s="113"/>
      <c r="N344" s="114"/>
      <c r="O344" s="113"/>
      <c r="P344" s="113"/>
      <c r="Q344" s="114"/>
      <c r="R344" s="113"/>
      <c r="S344" s="113"/>
      <c r="T344" s="113"/>
      <c r="U344" s="113"/>
      <c r="V344" s="113"/>
      <c r="W344" s="113"/>
      <c r="X344" s="113"/>
      <c r="Y344" s="113"/>
      <c r="Z344" s="113"/>
    </row>
    <row r="345" spans="1:26" x14ac:dyDescent="0.25">
      <c r="A345" s="89"/>
      <c r="B345" s="89"/>
      <c r="C345" s="89"/>
      <c r="D345" s="114"/>
      <c r="E345" s="114"/>
      <c r="F345" s="114"/>
      <c r="G345" s="114"/>
      <c r="I345" s="114"/>
      <c r="J345" s="114"/>
      <c r="K345" s="114"/>
      <c r="L345" s="114"/>
      <c r="M345" s="113"/>
      <c r="N345" s="114"/>
      <c r="O345" s="113"/>
      <c r="P345" s="113"/>
      <c r="Q345" s="114"/>
      <c r="R345" s="113"/>
      <c r="S345" s="113"/>
      <c r="T345" s="113"/>
      <c r="U345" s="113"/>
      <c r="V345" s="113"/>
      <c r="W345" s="113"/>
      <c r="X345" s="113"/>
      <c r="Y345" s="113"/>
      <c r="Z345" s="113"/>
    </row>
    <row r="346" spans="1:26" x14ac:dyDescent="0.25">
      <c r="A346" s="89"/>
      <c r="B346" s="89"/>
      <c r="C346" s="89"/>
      <c r="D346" s="114"/>
      <c r="E346" s="114"/>
      <c r="F346" s="114"/>
      <c r="G346" s="114"/>
      <c r="I346" s="114"/>
      <c r="J346" s="114"/>
      <c r="K346" s="114"/>
      <c r="L346" s="114"/>
      <c r="M346" s="113"/>
      <c r="N346" s="114"/>
      <c r="O346" s="113"/>
      <c r="P346" s="113"/>
      <c r="Q346" s="114"/>
      <c r="R346" s="113"/>
      <c r="S346" s="113"/>
      <c r="T346" s="113"/>
      <c r="U346" s="113"/>
      <c r="V346" s="113"/>
      <c r="W346" s="113"/>
      <c r="X346" s="113"/>
      <c r="Y346" s="113"/>
      <c r="Z346" s="113"/>
    </row>
    <row r="347" spans="1:26" x14ac:dyDescent="0.25">
      <c r="A347" s="89"/>
      <c r="B347" s="89"/>
      <c r="C347" s="89"/>
      <c r="D347" s="114"/>
      <c r="E347" s="114"/>
      <c r="F347" s="114"/>
      <c r="G347" s="114"/>
      <c r="I347" s="114"/>
      <c r="J347" s="114"/>
      <c r="K347" s="114"/>
      <c r="L347" s="114"/>
      <c r="M347" s="113"/>
      <c r="N347" s="114"/>
      <c r="O347" s="113"/>
      <c r="P347" s="113"/>
      <c r="Q347" s="114"/>
      <c r="R347" s="113"/>
      <c r="S347" s="113"/>
      <c r="T347" s="113"/>
      <c r="U347" s="113"/>
      <c r="V347" s="113"/>
      <c r="W347" s="113"/>
      <c r="X347" s="113"/>
      <c r="Y347" s="113"/>
      <c r="Z347" s="113"/>
    </row>
    <row r="348" spans="1:26" x14ac:dyDescent="0.25">
      <c r="A348" s="89"/>
      <c r="B348" s="89"/>
      <c r="C348" s="89"/>
      <c r="D348" s="114"/>
      <c r="E348" s="114"/>
      <c r="F348" s="114"/>
      <c r="G348" s="114"/>
      <c r="I348" s="114"/>
      <c r="J348" s="114"/>
      <c r="K348" s="114"/>
      <c r="L348" s="114"/>
      <c r="M348" s="113"/>
      <c r="N348" s="114"/>
      <c r="O348" s="113"/>
      <c r="P348" s="113"/>
      <c r="Q348" s="114"/>
      <c r="R348" s="113"/>
      <c r="S348" s="113"/>
      <c r="T348" s="113"/>
      <c r="U348" s="113"/>
      <c r="V348" s="113"/>
      <c r="W348" s="113"/>
      <c r="X348" s="113"/>
      <c r="Y348" s="113"/>
      <c r="Z348" s="113"/>
    </row>
    <row r="349" spans="1:26" x14ac:dyDescent="0.25">
      <c r="A349" s="89"/>
      <c r="B349" s="89"/>
      <c r="C349" s="89"/>
      <c r="D349" s="114"/>
      <c r="E349" s="114"/>
      <c r="F349" s="114"/>
      <c r="G349" s="114"/>
      <c r="I349" s="114"/>
      <c r="J349" s="114"/>
      <c r="K349" s="114"/>
      <c r="L349" s="114"/>
      <c r="M349" s="113"/>
      <c r="N349" s="114"/>
      <c r="O349" s="113"/>
      <c r="P349" s="113"/>
      <c r="Q349" s="114"/>
      <c r="R349" s="113"/>
      <c r="S349" s="113"/>
      <c r="T349" s="113"/>
      <c r="U349" s="113"/>
      <c r="V349" s="113"/>
      <c r="W349" s="113"/>
      <c r="X349" s="113"/>
      <c r="Y349" s="113"/>
      <c r="Z349" s="113"/>
    </row>
    <row r="350" spans="1:26" x14ac:dyDescent="0.25">
      <c r="A350" s="89"/>
      <c r="B350" s="89"/>
      <c r="C350" s="89"/>
      <c r="D350" s="114"/>
      <c r="E350" s="114"/>
      <c r="F350" s="114"/>
      <c r="G350" s="114"/>
      <c r="I350" s="114"/>
      <c r="J350" s="114"/>
      <c r="K350" s="114"/>
      <c r="L350" s="114"/>
      <c r="M350" s="113"/>
      <c r="N350" s="114"/>
      <c r="O350" s="113"/>
      <c r="P350" s="113"/>
      <c r="Q350" s="114"/>
      <c r="R350" s="113"/>
      <c r="S350" s="113"/>
      <c r="T350" s="113"/>
      <c r="U350" s="113"/>
      <c r="V350" s="113"/>
      <c r="W350" s="113"/>
      <c r="X350" s="113"/>
      <c r="Y350" s="113"/>
      <c r="Z350" s="113"/>
    </row>
    <row r="351" spans="1:26" x14ac:dyDescent="0.25">
      <c r="A351" s="89"/>
      <c r="B351" s="89"/>
      <c r="C351" s="89"/>
      <c r="D351" s="114"/>
      <c r="E351" s="114"/>
      <c r="F351" s="114"/>
      <c r="G351" s="114"/>
      <c r="I351" s="114"/>
      <c r="J351" s="114"/>
      <c r="K351" s="114"/>
      <c r="L351" s="114"/>
      <c r="M351" s="113"/>
      <c r="N351" s="114"/>
      <c r="O351" s="113"/>
      <c r="P351" s="113"/>
      <c r="Q351" s="114"/>
      <c r="R351" s="113"/>
      <c r="S351" s="113"/>
      <c r="T351" s="113"/>
      <c r="U351" s="113"/>
      <c r="V351" s="113"/>
      <c r="W351" s="113"/>
      <c r="X351" s="113"/>
      <c r="Y351" s="113"/>
      <c r="Z351" s="113"/>
    </row>
    <row r="352" spans="1:26" x14ac:dyDescent="0.25">
      <c r="A352" s="89"/>
      <c r="B352" s="89"/>
      <c r="C352" s="89"/>
      <c r="D352" s="114"/>
      <c r="E352" s="114"/>
      <c r="F352" s="114"/>
      <c r="G352" s="114"/>
      <c r="I352" s="114"/>
      <c r="J352" s="114"/>
      <c r="K352" s="114"/>
      <c r="L352" s="114"/>
      <c r="M352" s="113"/>
      <c r="N352" s="114"/>
      <c r="O352" s="113"/>
      <c r="P352" s="113"/>
      <c r="Q352" s="114"/>
      <c r="R352" s="113"/>
      <c r="S352" s="113"/>
      <c r="T352" s="113"/>
      <c r="U352" s="113"/>
      <c r="V352" s="113"/>
      <c r="W352" s="113"/>
      <c r="X352" s="113"/>
      <c r="Y352" s="113"/>
      <c r="Z352" s="113"/>
    </row>
    <row r="353" spans="1:26" x14ac:dyDescent="0.25">
      <c r="A353" s="89"/>
      <c r="B353" s="89"/>
      <c r="C353" s="89"/>
      <c r="D353" s="114"/>
      <c r="E353" s="114"/>
      <c r="F353" s="114"/>
      <c r="G353" s="114"/>
      <c r="I353" s="114"/>
      <c r="J353" s="114"/>
      <c r="K353" s="114"/>
      <c r="L353" s="114"/>
      <c r="M353" s="113"/>
      <c r="N353" s="114"/>
      <c r="O353" s="113"/>
      <c r="P353" s="113"/>
      <c r="Q353" s="114"/>
      <c r="R353" s="113"/>
      <c r="S353" s="113"/>
      <c r="T353" s="113"/>
      <c r="U353" s="113"/>
      <c r="V353" s="113"/>
      <c r="W353" s="113"/>
      <c r="X353" s="113"/>
      <c r="Y353" s="113"/>
      <c r="Z353" s="113"/>
    </row>
    <row r="354" spans="1:26" x14ac:dyDescent="0.25">
      <c r="A354" s="89"/>
      <c r="B354" s="89"/>
      <c r="C354" s="89"/>
      <c r="D354" s="114"/>
      <c r="E354" s="114"/>
      <c r="F354" s="114"/>
      <c r="G354" s="114"/>
      <c r="I354" s="114"/>
      <c r="J354" s="114"/>
      <c r="K354" s="114"/>
      <c r="L354" s="114"/>
      <c r="M354" s="113"/>
      <c r="N354" s="114"/>
      <c r="O354" s="113"/>
      <c r="P354" s="113"/>
      <c r="Q354" s="114"/>
      <c r="R354" s="113"/>
      <c r="S354" s="113"/>
      <c r="T354" s="113"/>
      <c r="U354" s="113"/>
      <c r="V354" s="113"/>
      <c r="W354" s="113"/>
      <c r="X354" s="113"/>
      <c r="Y354" s="113"/>
      <c r="Z354" s="113"/>
    </row>
    <row r="355" spans="1:26" x14ac:dyDescent="0.25">
      <c r="A355" s="89"/>
      <c r="B355" s="89"/>
      <c r="C355" s="89"/>
      <c r="D355" s="114"/>
      <c r="E355" s="114"/>
      <c r="F355" s="114"/>
      <c r="G355" s="114"/>
      <c r="I355" s="114"/>
      <c r="J355" s="114"/>
      <c r="K355" s="114"/>
      <c r="L355" s="114"/>
      <c r="M355" s="113"/>
      <c r="N355" s="114"/>
      <c r="O355" s="113"/>
      <c r="P355" s="113"/>
      <c r="Q355" s="114"/>
      <c r="R355" s="113"/>
      <c r="S355" s="113"/>
      <c r="T355" s="113"/>
      <c r="U355" s="113"/>
      <c r="V355" s="113"/>
      <c r="W355" s="113"/>
      <c r="X355" s="113"/>
      <c r="Y355" s="113"/>
      <c r="Z355" s="113"/>
    </row>
    <row r="356" spans="1:26" x14ac:dyDescent="0.25">
      <c r="A356" s="89"/>
      <c r="B356" s="89"/>
      <c r="C356" s="89"/>
      <c r="D356" s="114"/>
      <c r="E356" s="114"/>
      <c r="F356" s="114"/>
      <c r="G356" s="114"/>
      <c r="I356" s="114"/>
      <c r="J356" s="114"/>
      <c r="K356" s="114"/>
      <c r="L356" s="114"/>
      <c r="M356" s="113"/>
      <c r="N356" s="114"/>
      <c r="O356" s="113"/>
      <c r="P356" s="113"/>
      <c r="Q356" s="114"/>
      <c r="R356" s="113"/>
      <c r="S356" s="113"/>
      <c r="T356" s="113"/>
      <c r="U356" s="113"/>
      <c r="V356" s="113"/>
      <c r="W356" s="113"/>
      <c r="X356" s="113"/>
      <c r="Y356" s="113"/>
      <c r="Z356" s="113"/>
    </row>
    <row r="357" spans="1:26" x14ac:dyDescent="0.25">
      <c r="A357" s="89"/>
      <c r="B357" s="89"/>
      <c r="C357" s="89"/>
      <c r="D357" s="114"/>
      <c r="E357" s="114"/>
      <c r="F357" s="114"/>
      <c r="G357" s="114"/>
      <c r="I357" s="114"/>
      <c r="J357" s="114"/>
      <c r="K357" s="114"/>
      <c r="L357" s="114"/>
      <c r="M357" s="113"/>
      <c r="N357" s="114"/>
      <c r="O357" s="113"/>
      <c r="P357" s="113"/>
      <c r="Q357" s="114"/>
      <c r="R357" s="113"/>
      <c r="S357" s="113"/>
      <c r="T357" s="113"/>
      <c r="U357" s="113"/>
      <c r="V357" s="113"/>
      <c r="W357" s="113"/>
      <c r="X357" s="113"/>
      <c r="Y357" s="113"/>
      <c r="Z357" s="113"/>
    </row>
    <row r="358" spans="1:26" x14ac:dyDescent="0.25">
      <c r="A358" s="89"/>
      <c r="B358" s="89"/>
      <c r="C358" s="89"/>
      <c r="D358" s="114"/>
      <c r="E358" s="114"/>
      <c r="F358" s="114"/>
      <c r="G358" s="114"/>
      <c r="I358" s="114"/>
      <c r="J358" s="114"/>
      <c r="K358" s="114"/>
      <c r="L358" s="114"/>
      <c r="M358" s="113"/>
      <c r="N358" s="114"/>
      <c r="O358" s="113"/>
      <c r="P358" s="113"/>
      <c r="Q358" s="114"/>
      <c r="R358" s="113"/>
      <c r="S358" s="113"/>
      <c r="T358" s="113"/>
      <c r="U358" s="113"/>
      <c r="V358" s="113"/>
      <c r="W358" s="113"/>
      <c r="X358" s="113"/>
      <c r="Y358" s="113"/>
      <c r="Z358" s="113"/>
    </row>
    <row r="359" spans="1:26" x14ac:dyDescent="0.25">
      <c r="A359" s="89"/>
      <c r="B359" s="89"/>
      <c r="C359" s="89"/>
      <c r="D359" s="114"/>
      <c r="E359" s="114"/>
      <c r="F359" s="114"/>
      <c r="G359" s="114"/>
      <c r="I359" s="114"/>
      <c r="J359" s="114"/>
      <c r="K359" s="114"/>
      <c r="L359" s="114"/>
      <c r="M359" s="113"/>
      <c r="N359" s="114"/>
      <c r="O359" s="113"/>
      <c r="P359" s="113"/>
      <c r="Q359" s="114"/>
      <c r="R359" s="113"/>
      <c r="S359" s="113"/>
      <c r="T359" s="113"/>
      <c r="U359" s="113"/>
      <c r="V359" s="113"/>
      <c r="W359" s="113"/>
      <c r="X359" s="113"/>
      <c r="Y359" s="113"/>
      <c r="Z359" s="113"/>
    </row>
    <row r="360" spans="1:26" x14ac:dyDescent="0.25">
      <c r="A360" s="89"/>
      <c r="B360" s="89"/>
      <c r="C360" s="89"/>
      <c r="D360" s="114"/>
      <c r="E360" s="114"/>
      <c r="F360" s="114"/>
      <c r="G360" s="114"/>
      <c r="I360" s="114"/>
      <c r="J360" s="114"/>
      <c r="K360" s="114"/>
      <c r="L360" s="114"/>
      <c r="M360" s="113"/>
      <c r="N360" s="114"/>
      <c r="O360" s="113"/>
      <c r="P360" s="113"/>
      <c r="Q360" s="114"/>
      <c r="R360" s="113"/>
      <c r="S360" s="113"/>
      <c r="T360" s="113"/>
      <c r="U360" s="113"/>
      <c r="V360" s="113"/>
      <c r="W360" s="113"/>
      <c r="X360" s="113"/>
      <c r="Y360" s="113"/>
      <c r="Z360" s="113"/>
    </row>
    <row r="361" spans="1:26" x14ac:dyDescent="0.25">
      <c r="A361" s="89"/>
      <c r="B361" s="89"/>
      <c r="C361" s="89"/>
      <c r="D361" s="114"/>
      <c r="E361" s="114"/>
      <c r="F361" s="114"/>
      <c r="G361" s="114"/>
      <c r="I361" s="114"/>
      <c r="J361" s="114"/>
      <c r="K361" s="114"/>
      <c r="L361" s="114"/>
      <c r="M361" s="113"/>
      <c r="N361" s="114"/>
      <c r="O361" s="113"/>
      <c r="P361" s="113"/>
      <c r="Q361" s="114"/>
      <c r="R361" s="113"/>
      <c r="S361" s="113"/>
      <c r="T361" s="113"/>
      <c r="U361" s="113"/>
      <c r="V361" s="113"/>
      <c r="W361" s="113"/>
      <c r="X361" s="113"/>
      <c r="Y361" s="113"/>
      <c r="Z361" s="113"/>
    </row>
    <row r="362" spans="1:26" x14ac:dyDescent="0.25">
      <c r="A362" s="89"/>
      <c r="B362" s="89"/>
      <c r="C362" s="89"/>
      <c r="D362" s="114"/>
      <c r="E362" s="114"/>
      <c r="F362" s="114"/>
      <c r="G362" s="114"/>
      <c r="I362" s="114"/>
      <c r="J362" s="114"/>
      <c r="K362" s="114"/>
      <c r="L362" s="114"/>
      <c r="M362" s="113"/>
      <c r="N362" s="114"/>
      <c r="O362" s="113"/>
      <c r="P362" s="113"/>
      <c r="Q362" s="114"/>
      <c r="R362" s="113"/>
      <c r="S362" s="113"/>
      <c r="T362" s="113"/>
      <c r="U362" s="113"/>
      <c r="V362" s="113"/>
      <c r="W362" s="113"/>
      <c r="X362" s="113"/>
      <c r="Y362" s="113"/>
      <c r="Z362" s="113"/>
    </row>
    <row r="363" spans="1:26" x14ac:dyDescent="0.25">
      <c r="A363" s="89"/>
      <c r="B363" s="89"/>
      <c r="C363" s="89"/>
      <c r="D363" s="114"/>
      <c r="E363" s="114"/>
      <c r="F363" s="114"/>
      <c r="G363" s="114"/>
      <c r="I363" s="114"/>
      <c r="J363" s="114"/>
      <c r="K363" s="114"/>
      <c r="L363" s="114"/>
      <c r="M363" s="113"/>
      <c r="N363" s="114"/>
      <c r="O363" s="113"/>
      <c r="P363" s="113"/>
      <c r="Q363" s="114"/>
      <c r="R363" s="113"/>
      <c r="S363" s="113"/>
      <c r="T363" s="113"/>
      <c r="U363" s="113"/>
      <c r="V363" s="113"/>
      <c r="W363" s="113"/>
      <c r="X363" s="113"/>
      <c r="Y363" s="113"/>
      <c r="Z363" s="113"/>
    </row>
    <row r="364" spans="1:26" x14ac:dyDescent="0.25">
      <c r="A364" s="89"/>
      <c r="B364" s="89"/>
      <c r="C364" s="89"/>
      <c r="D364" s="114"/>
      <c r="E364" s="114"/>
      <c r="F364" s="114"/>
      <c r="G364" s="114"/>
      <c r="I364" s="114"/>
      <c r="J364" s="114"/>
      <c r="K364" s="114"/>
      <c r="L364" s="114"/>
      <c r="M364" s="113"/>
      <c r="N364" s="114"/>
      <c r="O364" s="113"/>
      <c r="P364" s="113"/>
      <c r="Q364" s="114"/>
      <c r="R364" s="113"/>
      <c r="S364" s="113"/>
      <c r="T364" s="113"/>
      <c r="U364" s="113"/>
      <c r="V364" s="113"/>
      <c r="W364" s="113"/>
      <c r="X364" s="113"/>
      <c r="Y364" s="113"/>
      <c r="Z364" s="113"/>
    </row>
    <row r="365" spans="1:26" x14ac:dyDescent="0.25">
      <c r="A365" s="89"/>
      <c r="B365" s="89"/>
      <c r="C365" s="89"/>
      <c r="D365" s="114"/>
      <c r="E365" s="114"/>
      <c r="F365" s="114"/>
      <c r="G365" s="114"/>
      <c r="I365" s="114"/>
      <c r="J365" s="114"/>
      <c r="K365" s="114"/>
      <c r="L365" s="114"/>
      <c r="M365" s="113"/>
      <c r="N365" s="114"/>
      <c r="O365" s="113"/>
      <c r="P365" s="113"/>
      <c r="Q365" s="114"/>
      <c r="R365" s="113"/>
      <c r="S365" s="113"/>
      <c r="T365" s="113"/>
      <c r="U365" s="113"/>
      <c r="V365" s="113"/>
      <c r="W365" s="113"/>
      <c r="X365" s="113"/>
      <c r="Y365" s="113"/>
      <c r="Z365" s="113"/>
    </row>
    <row r="366" spans="1:26" x14ac:dyDescent="0.25">
      <c r="A366" s="89"/>
      <c r="B366" s="89"/>
      <c r="C366" s="89"/>
      <c r="D366" s="114"/>
      <c r="E366" s="114"/>
      <c r="F366" s="114"/>
      <c r="G366" s="114"/>
      <c r="I366" s="114"/>
      <c r="J366" s="114"/>
      <c r="K366" s="114"/>
      <c r="L366" s="114"/>
      <c r="M366" s="113"/>
      <c r="N366" s="114"/>
      <c r="O366" s="113"/>
      <c r="P366" s="113"/>
      <c r="Q366" s="114"/>
      <c r="R366" s="113"/>
      <c r="S366" s="113"/>
      <c r="T366" s="113"/>
      <c r="U366" s="113"/>
      <c r="V366" s="113"/>
      <c r="W366" s="113"/>
      <c r="X366" s="113"/>
      <c r="Y366" s="113"/>
      <c r="Z366" s="113"/>
    </row>
    <row r="367" spans="1:26" x14ac:dyDescent="0.25">
      <c r="A367" s="89"/>
      <c r="B367" s="89"/>
      <c r="C367" s="89"/>
      <c r="D367" s="114"/>
      <c r="E367" s="114"/>
      <c r="F367" s="114"/>
      <c r="G367" s="114"/>
      <c r="I367" s="114"/>
      <c r="J367" s="114"/>
      <c r="K367" s="114"/>
      <c r="L367" s="114"/>
      <c r="M367" s="113"/>
      <c r="N367" s="114"/>
      <c r="O367" s="113"/>
      <c r="P367" s="113"/>
      <c r="Q367" s="114"/>
      <c r="R367" s="113"/>
      <c r="S367" s="113"/>
      <c r="T367" s="113"/>
      <c r="U367" s="113"/>
      <c r="V367" s="113"/>
      <c r="W367" s="113"/>
      <c r="X367" s="113"/>
      <c r="Y367" s="113"/>
      <c r="Z367" s="113"/>
    </row>
    <row r="368" spans="1:26" x14ac:dyDescent="0.25">
      <c r="A368" s="89"/>
      <c r="B368" s="89"/>
      <c r="C368" s="89"/>
      <c r="D368" s="114"/>
      <c r="E368" s="114"/>
      <c r="F368" s="114"/>
      <c r="G368" s="114"/>
      <c r="I368" s="114"/>
      <c r="J368" s="114"/>
      <c r="K368" s="114"/>
      <c r="L368" s="114"/>
      <c r="M368" s="113"/>
      <c r="N368" s="114"/>
      <c r="O368" s="113"/>
      <c r="P368" s="113"/>
      <c r="Q368" s="114"/>
      <c r="R368" s="113"/>
      <c r="S368" s="113"/>
      <c r="T368" s="113"/>
      <c r="U368" s="113"/>
      <c r="V368" s="113"/>
      <c r="W368" s="113"/>
      <c r="X368" s="113"/>
      <c r="Y368" s="113"/>
      <c r="Z368" s="113"/>
    </row>
    <row r="369" spans="1:26" x14ac:dyDescent="0.25">
      <c r="A369" s="89"/>
      <c r="B369" s="89"/>
      <c r="C369" s="89"/>
      <c r="D369" s="114"/>
      <c r="E369" s="114"/>
      <c r="F369" s="114"/>
      <c r="G369" s="114"/>
      <c r="I369" s="114"/>
      <c r="J369" s="114"/>
      <c r="K369" s="114"/>
      <c r="L369" s="114"/>
      <c r="M369" s="113"/>
      <c r="N369" s="114"/>
      <c r="O369" s="113"/>
      <c r="P369" s="113"/>
      <c r="Q369" s="114"/>
      <c r="R369" s="113"/>
      <c r="S369" s="113"/>
      <c r="T369" s="113"/>
      <c r="U369" s="113"/>
      <c r="V369" s="113"/>
      <c r="W369" s="113"/>
      <c r="X369" s="113"/>
      <c r="Y369" s="113"/>
      <c r="Z369" s="113"/>
    </row>
    <row r="370" spans="1:26" x14ac:dyDescent="0.25">
      <c r="A370" s="89"/>
      <c r="B370" s="89"/>
      <c r="C370" s="89"/>
      <c r="D370" s="114"/>
      <c r="E370" s="114"/>
      <c r="F370" s="114"/>
      <c r="G370" s="114"/>
      <c r="I370" s="114"/>
      <c r="J370" s="114"/>
      <c r="K370" s="114"/>
      <c r="L370" s="114"/>
      <c r="M370" s="113"/>
      <c r="N370" s="114"/>
      <c r="O370" s="113"/>
      <c r="P370" s="113"/>
      <c r="Q370" s="114"/>
      <c r="R370" s="113"/>
      <c r="S370" s="113"/>
      <c r="T370" s="113"/>
      <c r="U370" s="113"/>
      <c r="V370" s="113"/>
      <c r="W370" s="113"/>
      <c r="X370" s="113"/>
      <c r="Y370" s="113"/>
      <c r="Z370" s="113"/>
    </row>
    <row r="371" spans="1:26" x14ac:dyDescent="0.25">
      <c r="A371" s="89"/>
      <c r="B371" s="89"/>
      <c r="C371" s="89"/>
      <c r="D371" s="114"/>
      <c r="E371" s="114"/>
      <c r="F371" s="114"/>
      <c r="G371" s="114"/>
      <c r="I371" s="114"/>
      <c r="J371" s="114"/>
      <c r="K371" s="114"/>
      <c r="L371" s="114"/>
      <c r="M371" s="113"/>
      <c r="N371" s="114"/>
      <c r="O371" s="113"/>
      <c r="P371" s="113"/>
      <c r="Q371" s="114"/>
      <c r="R371" s="113"/>
      <c r="S371" s="113"/>
      <c r="T371" s="113"/>
      <c r="U371" s="113"/>
      <c r="V371" s="113"/>
      <c r="W371" s="113"/>
      <c r="X371" s="113"/>
      <c r="Y371" s="113"/>
      <c r="Z371" s="113"/>
    </row>
    <row r="372" spans="1:26" x14ac:dyDescent="0.25">
      <c r="A372" s="89"/>
      <c r="B372" s="89"/>
      <c r="C372" s="89"/>
      <c r="D372" s="114"/>
      <c r="E372" s="114"/>
      <c r="F372" s="114"/>
      <c r="G372" s="114"/>
      <c r="I372" s="114"/>
      <c r="J372" s="114"/>
      <c r="K372" s="114"/>
      <c r="L372" s="114"/>
      <c r="M372" s="113"/>
      <c r="N372" s="114"/>
      <c r="O372" s="113"/>
      <c r="P372" s="113"/>
      <c r="Q372" s="114"/>
      <c r="R372" s="113"/>
      <c r="S372" s="113"/>
      <c r="T372" s="113"/>
      <c r="U372" s="113"/>
      <c r="V372" s="113"/>
      <c r="W372" s="113"/>
      <c r="X372" s="113"/>
      <c r="Y372" s="113"/>
      <c r="Z372" s="113"/>
    </row>
    <row r="373" spans="1:26" x14ac:dyDescent="0.25">
      <c r="A373" s="89"/>
      <c r="B373" s="89"/>
      <c r="C373" s="89"/>
      <c r="D373" s="114"/>
      <c r="E373" s="114"/>
      <c r="F373" s="114"/>
      <c r="G373" s="114"/>
      <c r="I373" s="114"/>
      <c r="J373" s="114"/>
      <c r="K373" s="114"/>
      <c r="L373" s="114"/>
      <c r="M373" s="113"/>
      <c r="N373" s="114"/>
      <c r="O373" s="113"/>
      <c r="P373" s="113"/>
      <c r="Q373" s="114"/>
      <c r="R373" s="113"/>
      <c r="S373" s="113"/>
      <c r="T373" s="113"/>
      <c r="U373" s="113"/>
      <c r="V373" s="113"/>
      <c r="W373" s="113"/>
      <c r="X373" s="113"/>
      <c r="Y373" s="113"/>
      <c r="Z373" s="113"/>
    </row>
    <row r="374" spans="1:26" x14ac:dyDescent="0.25">
      <c r="A374" s="89"/>
      <c r="B374" s="89"/>
      <c r="C374" s="89"/>
      <c r="D374" s="114"/>
      <c r="E374" s="114"/>
      <c r="F374" s="114"/>
      <c r="G374" s="114"/>
      <c r="I374" s="114"/>
      <c r="J374" s="114"/>
      <c r="K374" s="114"/>
      <c r="L374" s="114"/>
      <c r="M374" s="113"/>
      <c r="N374" s="114"/>
      <c r="O374" s="113"/>
      <c r="P374" s="113"/>
      <c r="Q374" s="114"/>
      <c r="R374" s="113"/>
      <c r="S374" s="113"/>
      <c r="T374" s="113"/>
      <c r="U374" s="113"/>
      <c r="V374" s="113"/>
      <c r="W374" s="113"/>
      <c r="X374" s="113"/>
      <c r="Y374" s="113"/>
      <c r="Z374" s="113"/>
    </row>
    <row r="375" spans="1:26" x14ac:dyDescent="0.25">
      <c r="A375" s="89"/>
      <c r="B375" s="89"/>
      <c r="C375" s="89"/>
      <c r="D375" s="114"/>
      <c r="E375" s="114"/>
      <c r="F375" s="114"/>
      <c r="G375" s="114"/>
      <c r="I375" s="114"/>
      <c r="J375" s="114"/>
      <c r="K375" s="114"/>
      <c r="L375" s="114"/>
      <c r="M375" s="113"/>
      <c r="N375" s="114"/>
      <c r="O375" s="113"/>
      <c r="P375" s="113"/>
      <c r="Q375" s="114"/>
      <c r="R375" s="113"/>
      <c r="S375" s="113"/>
      <c r="T375" s="113"/>
      <c r="U375" s="113"/>
      <c r="V375" s="113"/>
      <c r="W375" s="113"/>
      <c r="X375" s="113"/>
      <c r="Y375" s="113"/>
      <c r="Z375" s="113"/>
    </row>
    <row r="376" spans="1:26" x14ac:dyDescent="0.25">
      <c r="A376" s="89"/>
      <c r="B376" s="89"/>
      <c r="C376" s="89"/>
      <c r="D376" s="114"/>
      <c r="E376" s="114"/>
      <c r="F376" s="114"/>
      <c r="G376" s="114"/>
      <c r="I376" s="114"/>
      <c r="J376" s="114"/>
      <c r="K376" s="114"/>
      <c r="L376" s="114"/>
      <c r="M376" s="113"/>
      <c r="N376" s="114"/>
      <c r="O376" s="113"/>
      <c r="P376" s="113"/>
      <c r="Q376" s="114"/>
      <c r="R376" s="113"/>
      <c r="S376" s="113"/>
      <c r="T376" s="113"/>
      <c r="U376" s="113"/>
      <c r="V376" s="113"/>
      <c r="W376" s="113"/>
      <c r="X376" s="113"/>
      <c r="Y376" s="113"/>
      <c r="Z376" s="113"/>
    </row>
    <row r="377" spans="1:26" x14ac:dyDescent="0.25">
      <c r="A377" s="89"/>
      <c r="B377" s="89"/>
      <c r="C377" s="89"/>
      <c r="D377" s="114"/>
      <c r="E377" s="114"/>
      <c r="F377" s="114"/>
      <c r="G377" s="114"/>
      <c r="I377" s="114"/>
      <c r="J377" s="114"/>
      <c r="K377" s="114"/>
      <c r="L377" s="114"/>
      <c r="M377" s="113"/>
      <c r="N377" s="114"/>
      <c r="O377" s="113"/>
      <c r="P377" s="113"/>
      <c r="Q377" s="114"/>
      <c r="R377" s="113"/>
      <c r="S377" s="113"/>
      <c r="T377" s="113"/>
      <c r="U377" s="113"/>
      <c r="V377" s="113"/>
      <c r="W377" s="113"/>
      <c r="X377" s="113"/>
      <c r="Y377" s="113"/>
      <c r="Z377" s="113"/>
    </row>
    <row r="378" spans="1:26" x14ac:dyDescent="0.25">
      <c r="A378" s="89"/>
      <c r="B378" s="89"/>
      <c r="C378" s="89"/>
      <c r="D378" s="114"/>
      <c r="E378" s="114"/>
      <c r="F378" s="114"/>
      <c r="G378" s="114"/>
      <c r="I378" s="114"/>
      <c r="J378" s="114"/>
      <c r="K378" s="114"/>
      <c r="L378" s="114"/>
      <c r="M378" s="113"/>
      <c r="N378" s="114"/>
      <c r="O378" s="113"/>
      <c r="P378" s="113"/>
      <c r="Q378" s="114"/>
      <c r="R378" s="113"/>
      <c r="S378" s="113"/>
      <c r="T378" s="113"/>
      <c r="U378" s="113"/>
      <c r="V378" s="113"/>
      <c r="W378" s="113"/>
      <c r="X378" s="113"/>
      <c r="Y378" s="113"/>
      <c r="Z378" s="113"/>
    </row>
    <row r="379" spans="1:26" x14ac:dyDescent="0.25">
      <c r="A379" s="89"/>
      <c r="B379" s="89"/>
      <c r="C379" s="89"/>
      <c r="D379" s="114"/>
      <c r="E379" s="114"/>
      <c r="F379" s="114"/>
      <c r="G379" s="114"/>
      <c r="I379" s="114"/>
      <c r="J379" s="114"/>
      <c r="K379" s="114"/>
      <c r="L379" s="114"/>
      <c r="M379" s="113"/>
      <c r="N379" s="114"/>
      <c r="O379" s="113"/>
      <c r="P379" s="113"/>
      <c r="Q379" s="114"/>
      <c r="R379" s="113"/>
      <c r="S379" s="113"/>
      <c r="T379" s="113"/>
      <c r="U379" s="113"/>
      <c r="V379" s="113"/>
      <c r="W379" s="113"/>
      <c r="X379" s="113"/>
      <c r="Y379" s="113"/>
      <c r="Z379" s="113"/>
    </row>
    <row r="380" spans="1:26" x14ac:dyDescent="0.25">
      <c r="A380" s="89"/>
      <c r="B380" s="89"/>
      <c r="C380" s="89"/>
      <c r="D380" s="114"/>
      <c r="E380" s="114"/>
      <c r="F380" s="114"/>
      <c r="G380" s="114"/>
      <c r="I380" s="114"/>
      <c r="J380" s="114"/>
      <c r="K380" s="114"/>
      <c r="L380" s="114"/>
      <c r="M380" s="113"/>
      <c r="N380" s="114"/>
      <c r="O380" s="113"/>
      <c r="P380" s="113"/>
      <c r="Q380" s="114"/>
      <c r="R380" s="113"/>
      <c r="S380" s="113"/>
      <c r="T380" s="113"/>
      <c r="U380" s="113"/>
      <c r="V380" s="113"/>
      <c r="W380" s="113"/>
      <c r="X380" s="113"/>
      <c r="Y380" s="113"/>
      <c r="Z380" s="113"/>
    </row>
    <row r="381" spans="1:26" x14ac:dyDescent="0.25">
      <c r="A381" s="89"/>
      <c r="B381" s="89"/>
      <c r="C381" s="89"/>
      <c r="D381" s="114"/>
      <c r="E381" s="114"/>
      <c r="F381" s="114"/>
      <c r="G381" s="114"/>
      <c r="I381" s="114"/>
      <c r="J381" s="114"/>
      <c r="K381" s="114"/>
      <c r="L381" s="114"/>
      <c r="M381" s="113"/>
      <c r="N381" s="114"/>
      <c r="O381" s="113"/>
      <c r="P381" s="113"/>
      <c r="Q381" s="114"/>
      <c r="R381" s="113"/>
      <c r="S381" s="113"/>
      <c r="T381" s="113"/>
      <c r="U381" s="113"/>
      <c r="V381" s="113"/>
      <c r="W381" s="113"/>
      <c r="X381" s="113"/>
      <c r="Y381" s="113"/>
      <c r="Z381" s="113"/>
    </row>
    <row r="382" spans="1:26" x14ac:dyDescent="0.25">
      <c r="A382" s="89"/>
      <c r="B382" s="89"/>
      <c r="C382" s="89"/>
      <c r="D382" s="114"/>
      <c r="E382" s="114"/>
      <c r="F382" s="114"/>
      <c r="G382" s="114"/>
      <c r="I382" s="114"/>
      <c r="J382" s="114"/>
      <c r="K382" s="114"/>
      <c r="L382" s="114"/>
      <c r="M382" s="113"/>
      <c r="N382" s="114"/>
      <c r="O382" s="113"/>
      <c r="P382" s="113"/>
      <c r="Q382" s="114"/>
      <c r="R382" s="113"/>
      <c r="S382" s="113"/>
      <c r="T382" s="113"/>
      <c r="U382" s="113"/>
      <c r="V382" s="113"/>
      <c r="W382" s="113"/>
      <c r="X382" s="113"/>
      <c r="Y382" s="113"/>
      <c r="Z382" s="113"/>
    </row>
    <row r="383" spans="1:26" x14ac:dyDescent="0.25">
      <c r="A383" s="89"/>
      <c r="B383" s="89"/>
      <c r="C383" s="89"/>
      <c r="D383" s="114"/>
      <c r="E383" s="114"/>
      <c r="F383" s="114"/>
      <c r="G383" s="114"/>
      <c r="I383" s="114"/>
      <c r="J383" s="114"/>
      <c r="K383" s="114"/>
      <c r="L383" s="114"/>
      <c r="M383" s="113"/>
      <c r="N383" s="114"/>
      <c r="O383" s="113"/>
      <c r="P383" s="113"/>
      <c r="Q383" s="114"/>
      <c r="R383" s="113"/>
      <c r="S383" s="113"/>
      <c r="T383" s="113"/>
      <c r="U383" s="113"/>
      <c r="V383" s="113"/>
      <c r="W383" s="113"/>
      <c r="X383" s="113"/>
      <c r="Y383" s="113"/>
      <c r="Z383" s="113"/>
    </row>
    <row r="384" spans="1:26" x14ac:dyDescent="0.25">
      <c r="A384" s="89"/>
      <c r="B384" s="89"/>
      <c r="C384" s="89"/>
      <c r="D384" s="114"/>
      <c r="E384" s="114"/>
      <c r="F384" s="114"/>
      <c r="G384" s="114"/>
      <c r="I384" s="114"/>
      <c r="J384" s="114"/>
      <c r="K384" s="114"/>
      <c r="L384" s="114"/>
      <c r="M384" s="113"/>
      <c r="N384" s="114"/>
      <c r="O384" s="113"/>
      <c r="P384" s="113"/>
      <c r="Q384" s="114"/>
      <c r="R384" s="113"/>
      <c r="S384" s="113"/>
      <c r="T384" s="113"/>
      <c r="U384" s="113"/>
      <c r="V384" s="113"/>
      <c r="W384" s="113"/>
      <c r="X384" s="113"/>
      <c r="Y384" s="113"/>
      <c r="Z384" s="113"/>
    </row>
    <row r="385" spans="1:26" x14ac:dyDescent="0.25">
      <c r="A385" s="89"/>
      <c r="B385" s="89"/>
      <c r="C385" s="89"/>
      <c r="D385" s="114"/>
      <c r="E385" s="114"/>
      <c r="F385" s="114"/>
      <c r="G385" s="114"/>
      <c r="I385" s="114"/>
      <c r="J385" s="114"/>
      <c r="K385" s="114"/>
      <c r="L385" s="114"/>
      <c r="M385" s="113"/>
      <c r="N385" s="114"/>
      <c r="O385" s="113"/>
      <c r="P385" s="113"/>
      <c r="Q385" s="114"/>
      <c r="R385" s="113"/>
      <c r="S385" s="113"/>
      <c r="T385" s="113"/>
      <c r="U385" s="113"/>
      <c r="V385" s="113"/>
      <c r="W385" s="113"/>
      <c r="X385" s="113"/>
      <c r="Y385" s="113"/>
      <c r="Z385" s="113"/>
    </row>
    <row r="386" spans="1:26" x14ac:dyDescent="0.25">
      <c r="A386" s="89"/>
      <c r="B386" s="89"/>
      <c r="C386" s="89"/>
      <c r="D386" s="114"/>
      <c r="E386" s="114"/>
      <c r="F386" s="114"/>
      <c r="G386" s="114"/>
      <c r="I386" s="114"/>
      <c r="J386" s="114"/>
      <c r="K386" s="114"/>
      <c r="L386" s="114"/>
      <c r="M386" s="113"/>
      <c r="N386" s="114"/>
      <c r="O386" s="113"/>
      <c r="P386" s="113"/>
      <c r="Q386" s="114"/>
      <c r="R386" s="113"/>
      <c r="S386" s="113"/>
      <c r="T386" s="113"/>
      <c r="U386" s="113"/>
      <c r="V386" s="113"/>
      <c r="W386" s="113"/>
      <c r="X386" s="113"/>
      <c r="Y386" s="113"/>
      <c r="Z386" s="113"/>
    </row>
    <row r="387" spans="1:26" x14ac:dyDescent="0.25">
      <c r="A387" s="89"/>
      <c r="B387" s="89"/>
      <c r="C387" s="89"/>
      <c r="D387" s="114"/>
      <c r="E387" s="114"/>
      <c r="F387" s="114"/>
      <c r="G387" s="114"/>
      <c r="I387" s="114"/>
      <c r="J387" s="114"/>
      <c r="K387" s="114"/>
      <c r="L387" s="114"/>
      <c r="M387" s="113"/>
      <c r="N387" s="114"/>
      <c r="O387" s="113"/>
      <c r="P387" s="113"/>
      <c r="Q387" s="114"/>
      <c r="R387" s="113"/>
      <c r="S387" s="113"/>
      <c r="T387" s="113"/>
      <c r="U387" s="113"/>
      <c r="V387" s="113"/>
      <c r="W387" s="113"/>
      <c r="X387" s="113"/>
      <c r="Y387" s="113"/>
      <c r="Z387" s="113"/>
    </row>
    <row r="388" spans="1:26" x14ac:dyDescent="0.25">
      <c r="A388" s="89"/>
      <c r="B388" s="89"/>
      <c r="C388" s="89"/>
      <c r="D388" s="114"/>
      <c r="E388" s="114"/>
      <c r="F388" s="114"/>
      <c r="G388" s="114"/>
      <c r="I388" s="114"/>
      <c r="J388" s="114"/>
      <c r="K388" s="114"/>
      <c r="L388" s="114"/>
      <c r="M388" s="113"/>
      <c r="N388" s="114"/>
      <c r="O388" s="113"/>
      <c r="P388" s="113"/>
      <c r="Q388" s="114"/>
      <c r="R388" s="113"/>
      <c r="S388" s="113"/>
      <c r="T388" s="113"/>
      <c r="U388" s="113"/>
      <c r="V388" s="113"/>
      <c r="W388" s="113"/>
      <c r="X388" s="113"/>
      <c r="Y388" s="113"/>
      <c r="Z388" s="113"/>
    </row>
    <row r="389" spans="1:26" x14ac:dyDescent="0.25">
      <c r="A389" s="89"/>
      <c r="B389" s="89"/>
      <c r="C389" s="89"/>
      <c r="D389" s="114"/>
      <c r="E389" s="114"/>
      <c r="F389" s="114"/>
      <c r="G389" s="114"/>
      <c r="I389" s="114"/>
      <c r="J389" s="114"/>
      <c r="K389" s="114"/>
      <c r="L389" s="114"/>
      <c r="M389" s="113"/>
      <c r="N389" s="114"/>
      <c r="O389" s="113"/>
      <c r="P389" s="113"/>
      <c r="Q389" s="114"/>
      <c r="R389" s="113"/>
      <c r="S389" s="113"/>
      <c r="T389" s="113"/>
      <c r="U389" s="113"/>
      <c r="V389" s="113"/>
      <c r="W389" s="113"/>
      <c r="X389" s="113"/>
      <c r="Y389" s="113"/>
      <c r="Z389" s="113"/>
    </row>
    <row r="390" spans="1:26" x14ac:dyDescent="0.25">
      <c r="A390" s="89"/>
      <c r="B390" s="89"/>
      <c r="C390" s="89"/>
      <c r="D390" s="114"/>
      <c r="E390" s="114"/>
      <c r="F390" s="114"/>
      <c r="G390" s="114"/>
      <c r="I390" s="114"/>
      <c r="J390" s="114"/>
      <c r="K390" s="114"/>
      <c r="L390" s="114"/>
      <c r="M390" s="113"/>
      <c r="N390" s="114"/>
      <c r="O390" s="113"/>
      <c r="P390" s="113"/>
      <c r="Q390" s="114"/>
      <c r="R390" s="113"/>
      <c r="S390" s="113"/>
      <c r="T390" s="113"/>
      <c r="U390" s="113"/>
      <c r="V390" s="113"/>
      <c r="W390" s="113"/>
      <c r="X390" s="113"/>
      <c r="Y390" s="113"/>
      <c r="Z390" s="113"/>
    </row>
    <row r="391" spans="1:26" x14ac:dyDescent="0.25">
      <c r="A391" s="89"/>
      <c r="B391" s="89"/>
      <c r="C391" s="89"/>
      <c r="D391" s="114"/>
      <c r="E391" s="114"/>
      <c r="F391" s="114"/>
      <c r="G391" s="114"/>
      <c r="I391" s="114"/>
      <c r="J391" s="114"/>
      <c r="K391" s="114"/>
      <c r="L391" s="114"/>
      <c r="M391" s="113"/>
      <c r="N391" s="114"/>
      <c r="O391" s="113"/>
      <c r="P391" s="113"/>
      <c r="Q391" s="114"/>
      <c r="R391" s="113"/>
      <c r="S391" s="113"/>
      <c r="T391" s="113"/>
      <c r="U391" s="113"/>
      <c r="V391" s="113"/>
      <c r="W391" s="113"/>
      <c r="X391" s="113"/>
      <c r="Y391" s="113"/>
      <c r="Z391" s="113"/>
    </row>
    <row r="392" spans="1:26" x14ac:dyDescent="0.25">
      <c r="A392" s="89"/>
      <c r="B392" s="89"/>
      <c r="C392" s="89"/>
      <c r="D392" s="114"/>
      <c r="E392" s="114"/>
      <c r="F392" s="114"/>
      <c r="G392" s="114"/>
      <c r="I392" s="114"/>
      <c r="J392" s="114"/>
      <c r="K392" s="114"/>
      <c r="L392" s="114"/>
      <c r="M392" s="113"/>
      <c r="N392" s="114"/>
      <c r="O392" s="113"/>
      <c r="P392" s="113"/>
      <c r="Q392" s="114"/>
      <c r="R392" s="113"/>
      <c r="S392" s="113"/>
      <c r="T392" s="113"/>
      <c r="U392" s="113"/>
      <c r="V392" s="113"/>
      <c r="W392" s="113"/>
      <c r="X392" s="113"/>
      <c r="Y392" s="113"/>
      <c r="Z392" s="113"/>
    </row>
    <row r="393" spans="1:26" x14ac:dyDescent="0.25">
      <c r="A393" s="89"/>
      <c r="B393" s="89"/>
      <c r="C393" s="89"/>
      <c r="D393" s="114"/>
      <c r="E393" s="114"/>
      <c r="F393" s="114"/>
      <c r="G393" s="114"/>
      <c r="I393" s="114"/>
      <c r="J393" s="114"/>
      <c r="K393" s="114"/>
      <c r="L393" s="114"/>
      <c r="M393" s="113"/>
      <c r="N393" s="114"/>
      <c r="O393" s="113"/>
      <c r="P393" s="113"/>
      <c r="Q393" s="114"/>
      <c r="R393" s="113"/>
      <c r="S393" s="113"/>
      <c r="T393" s="113"/>
      <c r="U393" s="113"/>
      <c r="V393" s="113"/>
      <c r="W393" s="113"/>
      <c r="X393" s="113"/>
      <c r="Y393" s="113"/>
      <c r="Z393" s="113"/>
    </row>
    <row r="394" spans="1:26" x14ac:dyDescent="0.25">
      <c r="A394" s="89"/>
      <c r="B394" s="89"/>
      <c r="C394" s="89"/>
      <c r="D394" s="114"/>
      <c r="E394" s="114"/>
      <c r="F394" s="114"/>
      <c r="G394" s="114"/>
      <c r="I394" s="114"/>
      <c r="J394" s="114"/>
      <c r="K394" s="114"/>
      <c r="L394" s="114"/>
      <c r="M394" s="113"/>
      <c r="N394" s="114"/>
      <c r="O394" s="113"/>
      <c r="P394" s="113"/>
      <c r="Q394" s="114"/>
      <c r="R394" s="113"/>
      <c r="S394" s="113"/>
      <c r="T394" s="113"/>
      <c r="U394" s="113"/>
      <c r="V394" s="113"/>
      <c r="W394" s="113"/>
      <c r="X394" s="113"/>
      <c r="Y394" s="113"/>
      <c r="Z394" s="113"/>
    </row>
    <row r="395" spans="1:26" x14ac:dyDescent="0.25">
      <c r="A395" s="89"/>
      <c r="B395" s="89"/>
      <c r="C395" s="89"/>
      <c r="D395" s="114"/>
      <c r="E395" s="114"/>
      <c r="F395" s="114"/>
      <c r="G395" s="114"/>
      <c r="I395" s="114"/>
      <c r="J395" s="114"/>
      <c r="K395" s="114"/>
      <c r="L395" s="114"/>
      <c r="M395" s="113"/>
      <c r="N395" s="114"/>
      <c r="O395" s="113"/>
      <c r="P395" s="113"/>
      <c r="Q395" s="114"/>
      <c r="R395" s="113"/>
      <c r="S395" s="113"/>
      <c r="T395" s="113"/>
      <c r="U395" s="113"/>
      <c r="V395" s="113"/>
      <c r="W395" s="113"/>
      <c r="X395" s="113"/>
      <c r="Y395" s="113"/>
      <c r="Z395" s="113"/>
    </row>
    <row r="396" spans="1:26" x14ac:dyDescent="0.25">
      <c r="A396" s="89"/>
      <c r="B396" s="89"/>
      <c r="C396" s="89"/>
      <c r="D396" s="114"/>
      <c r="E396" s="114"/>
      <c r="F396" s="114"/>
      <c r="G396" s="114"/>
      <c r="I396" s="114"/>
      <c r="J396" s="114"/>
      <c r="K396" s="114"/>
      <c r="L396" s="114"/>
      <c r="M396" s="113"/>
      <c r="N396" s="114"/>
      <c r="O396" s="113"/>
      <c r="P396" s="113"/>
      <c r="Q396" s="114"/>
      <c r="R396" s="113"/>
      <c r="S396" s="113"/>
      <c r="T396" s="113"/>
      <c r="U396" s="113"/>
      <c r="V396" s="113"/>
      <c r="W396" s="113"/>
      <c r="X396" s="113"/>
      <c r="Y396" s="113"/>
      <c r="Z396" s="113"/>
    </row>
    <row r="397" spans="1:26" x14ac:dyDescent="0.25">
      <c r="A397" s="89"/>
      <c r="B397" s="89"/>
      <c r="C397" s="89"/>
      <c r="D397" s="114"/>
      <c r="E397" s="114"/>
      <c r="F397" s="114"/>
      <c r="G397" s="114"/>
      <c r="I397" s="114"/>
      <c r="J397" s="114"/>
      <c r="K397" s="114"/>
      <c r="L397" s="114"/>
      <c r="M397" s="113"/>
      <c r="N397" s="114"/>
      <c r="O397" s="113"/>
      <c r="P397" s="113"/>
      <c r="Q397" s="114"/>
      <c r="R397" s="113"/>
      <c r="S397" s="113"/>
      <c r="T397" s="113"/>
      <c r="U397" s="113"/>
      <c r="V397" s="113"/>
      <c r="W397" s="113"/>
      <c r="X397" s="113"/>
      <c r="Y397" s="113"/>
      <c r="Z397" s="113"/>
    </row>
    <row r="398" spans="1:26" x14ac:dyDescent="0.25">
      <c r="A398" s="89"/>
      <c r="B398" s="89"/>
      <c r="C398" s="89"/>
      <c r="D398" s="114"/>
      <c r="E398" s="114"/>
      <c r="F398" s="114"/>
      <c r="G398" s="114"/>
      <c r="I398" s="114"/>
      <c r="J398" s="114"/>
      <c r="K398" s="114"/>
      <c r="L398" s="114"/>
      <c r="M398" s="113"/>
      <c r="N398" s="114"/>
      <c r="O398" s="113"/>
      <c r="P398" s="113"/>
      <c r="Q398" s="114"/>
      <c r="R398" s="113"/>
      <c r="S398" s="113"/>
      <c r="T398" s="113"/>
      <c r="U398" s="113"/>
      <c r="V398" s="113"/>
      <c r="W398" s="113"/>
      <c r="X398" s="113"/>
      <c r="Y398" s="113"/>
      <c r="Z398" s="113"/>
    </row>
    <row r="399" spans="1:26" x14ac:dyDescent="0.25">
      <c r="A399" s="89"/>
      <c r="B399" s="89"/>
      <c r="C399" s="89"/>
      <c r="D399" s="114"/>
      <c r="E399" s="114"/>
      <c r="F399" s="114"/>
      <c r="G399" s="114"/>
      <c r="I399" s="114"/>
      <c r="J399" s="114"/>
      <c r="K399" s="114"/>
      <c r="L399" s="114"/>
      <c r="M399" s="113"/>
      <c r="N399" s="114"/>
      <c r="O399" s="113"/>
      <c r="P399" s="113"/>
      <c r="Q399" s="114"/>
      <c r="R399" s="113"/>
      <c r="S399" s="113"/>
      <c r="T399" s="113"/>
      <c r="U399" s="113"/>
      <c r="V399" s="113"/>
      <c r="W399" s="113"/>
      <c r="X399" s="113"/>
      <c r="Y399" s="113"/>
      <c r="Z399" s="113"/>
    </row>
    <row r="400" spans="1:26" x14ac:dyDescent="0.25">
      <c r="A400" s="89"/>
      <c r="B400" s="89"/>
      <c r="C400" s="89"/>
      <c r="D400" s="114"/>
      <c r="E400" s="114"/>
      <c r="F400" s="114"/>
      <c r="G400" s="114"/>
      <c r="I400" s="114"/>
      <c r="J400" s="114"/>
      <c r="K400" s="114"/>
      <c r="L400" s="114"/>
      <c r="M400" s="113"/>
      <c r="N400" s="114"/>
      <c r="O400" s="113"/>
      <c r="P400" s="113"/>
      <c r="Q400" s="114"/>
      <c r="R400" s="113"/>
      <c r="S400" s="113"/>
      <c r="T400" s="113"/>
      <c r="U400" s="113"/>
      <c r="V400" s="113"/>
      <c r="W400" s="113"/>
      <c r="X400" s="113"/>
      <c r="Y400" s="113"/>
      <c r="Z400" s="113"/>
    </row>
    <row r="401" spans="1:26" x14ac:dyDescent="0.25">
      <c r="A401" s="89"/>
      <c r="B401" s="89"/>
      <c r="C401" s="89"/>
      <c r="D401" s="114"/>
      <c r="E401" s="114"/>
      <c r="F401" s="114"/>
      <c r="G401" s="114"/>
      <c r="I401" s="114"/>
      <c r="J401" s="114"/>
      <c r="K401" s="114"/>
      <c r="L401" s="114"/>
      <c r="M401" s="113"/>
      <c r="N401" s="114"/>
      <c r="O401" s="113"/>
      <c r="P401" s="113"/>
      <c r="Q401" s="114"/>
      <c r="R401" s="113"/>
      <c r="S401" s="113"/>
      <c r="T401" s="113"/>
      <c r="U401" s="113"/>
      <c r="V401" s="113"/>
      <c r="W401" s="113"/>
      <c r="X401" s="113"/>
      <c r="Y401" s="113"/>
      <c r="Z401" s="113"/>
    </row>
    <row r="402" spans="1:26" x14ac:dyDescent="0.25">
      <c r="A402" s="89"/>
      <c r="B402" s="89"/>
      <c r="C402" s="89"/>
      <c r="D402" s="114"/>
      <c r="E402" s="114"/>
      <c r="F402" s="114"/>
      <c r="G402" s="114"/>
      <c r="I402" s="114"/>
      <c r="J402" s="114"/>
      <c r="K402" s="114"/>
      <c r="L402" s="114"/>
      <c r="M402" s="113"/>
      <c r="N402" s="114"/>
      <c r="O402" s="113"/>
      <c r="P402" s="113"/>
      <c r="Q402" s="114"/>
      <c r="R402" s="113"/>
      <c r="S402" s="113"/>
      <c r="T402" s="113"/>
      <c r="U402" s="113"/>
      <c r="V402" s="113"/>
      <c r="W402" s="113"/>
      <c r="X402" s="113"/>
      <c r="Y402" s="113"/>
      <c r="Z402" s="113"/>
    </row>
    <row r="403" spans="1:26" x14ac:dyDescent="0.25">
      <c r="A403" s="89"/>
      <c r="B403" s="89"/>
      <c r="C403" s="89"/>
      <c r="D403" s="114"/>
      <c r="E403" s="114"/>
      <c r="F403" s="114"/>
      <c r="G403" s="114"/>
      <c r="I403" s="114"/>
      <c r="J403" s="114"/>
      <c r="K403" s="114"/>
      <c r="L403" s="114"/>
      <c r="M403" s="113"/>
      <c r="N403" s="114"/>
      <c r="O403" s="113"/>
      <c r="P403" s="113"/>
      <c r="Q403" s="114"/>
      <c r="R403" s="113"/>
      <c r="S403" s="113"/>
      <c r="T403" s="113"/>
      <c r="U403" s="113"/>
      <c r="V403" s="113"/>
      <c r="W403" s="113"/>
      <c r="X403" s="113"/>
      <c r="Y403" s="113"/>
      <c r="Z403" s="113"/>
    </row>
    <row r="404" spans="1:26" x14ac:dyDescent="0.25">
      <c r="A404" s="89"/>
      <c r="B404" s="89"/>
      <c r="C404" s="89"/>
      <c r="D404" s="114"/>
      <c r="E404" s="114"/>
      <c r="F404" s="114"/>
      <c r="G404" s="114"/>
      <c r="I404" s="114"/>
      <c r="J404" s="114"/>
      <c r="K404" s="114"/>
      <c r="L404" s="114"/>
      <c r="M404" s="113"/>
      <c r="N404" s="114"/>
      <c r="O404" s="113"/>
      <c r="P404" s="113"/>
      <c r="Q404" s="114"/>
      <c r="R404" s="113"/>
      <c r="S404" s="113"/>
      <c r="T404" s="113"/>
      <c r="U404" s="113"/>
      <c r="V404" s="113"/>
      <c r="W404" s="113"/>
      <c r="X404" s="113"/>
      <c r="Y404" s="113"/>
      <c r="Z404" s="113"/>
    </row>
    <row r="405" spans="1:26" x14ac:dyDescent="0.25">
      <c r="A405" s="89"/>
      <c r="B405" s="89"/>
      <c r="C405" s="89"/>
      <c r="D405" s="114"/>
      <c r="E405" s="114"/>
      <c r="F405" s="114"/>
      <c r="G405" s="114"/>
      <c r="I405" s="114"/>
      <c r="J405" s="114"/>
      <c r="K405" s="114"/>
      <c r="L405" s="114"/>
      <c r="M405" s="113"/>
      <c r="N405" s="114"/>
      <c r="O405" s="113"/>
      <c r="P405" s="113"/>
      <c r="Q405" s="114"/>
      <c r="R405" s="113"/>
      <c r="S405" s="113"/>
      <c r="T405" s="113"/>
      <c r="U405" s="113"/>
      <c r="V405" s="113"/>
      <c r="W405" s="113"/>
      <c r="X405" s="113"/>
      <c r="Y405" s="113"/>
      <c r="Z405" s="113"/>
    </row>
    <row r="406" spans="1:26" x14ac:dyDescent="0.25">
      <c r="A406" s="89"/>
      <c r="B406" s="89"/>
      <c r="C406" s="89"/>
      <c r="D406" s="114"/>
      <c r="E406" s="114"/>
      <c r="F406" s="114"/>
      <c r="G406" s="114"/>
      <c r="I406" s="114"/>
      <c r="J406" s="114"/>
      <c r="K406" s="114"/>
      <c r="L406" s="114"/>
      <c r="M406" s="113"/>
      <c r="N406" s="114"/>
      <c r="O406" s="113"/>
      <c r="P406" s="113"/>
      <c r="Q406" s="114"/>
      <c r="R406" s="113"/>
      <c r="S406" s="113"/>
      <c r="T406" s="113"/>
      <c r="U406" s="113"/>
      <c r="V406" s="113"/>
      <c r="W406" s="113"/>
      <c r="X406" s="113"/>
      <c r="Y406" s="113"/>
      <c r="Z406" s="113"/>
    </row>
    <row r="407" spans="1:26" x14ac:dyDescent="0.25">
      <c r="A407" s="89"/>
      <c r="B407" s="89"/>
      <c r="C407" s="89"/>
      <c r="D407" s="114"/>
      <c r="E407" s="114"/>
      <c r="F407" s="114"/>
      <c r="G407" s="114"/>
      <c r="I407" s="114"/>
      <c r="J407" s="114"/>
      <c r="K407" s="114"/>
      <c r="L407" s="114"/>
      <c r="M407" s="113"/>
      <c r="N407" s="114"/>
      <c r="O407" s="113"/>
      <c r="P407" s="113"/>
      <c r="Q407" s="114"/>
      <c r="R407" s="113"/>
      <c r="S407" s="113"/>
      <c r="T407" s="113"/>
      <c r="U407" s="113"/>
      <c r="V407" s="113"/>
      <c r="W407" s="113"/>
      <c r="X407" s="113"/>
      <c r="Y407" s="113"/>
      <c r="Z407" s="113"/>
    </row>
    <row r="408" spans="1:26" x14ac:dyDescent="0.25">
      <c r="A408" s="89"/>
      <c r="B408" s="89"/>
      <c r="C408" s="89"/>
      <c r="D408" s="114"/>
      <c r="E408" s="114"/>
      <c r="F408" s="114"/>
      <c r="G408" s="114"/>
      <c r="I408" s="114"/>
      <c r="J408" s="114"/>
      <c r="K408" s="114"/>
      <c r="L408" s="114"/>
      <c r="M408" s="113"/>
      <c r="N408" s="114"/>
      <c r="O408" s="113"/>
      <c r="P408" s="113"/>
      <c r="Q408" s="114"/>
      <c r="R408" s="113"/>
      <c r="S408" s="113"/>
      <c r="T408" s="113"/>
      <c r="U408" s="113"/>
      <c r="V408" s="113"/>
      <c r="W408" s="113"/>
      <c r="X408" s="113"/>
      <c r="Y408" s="113"/>
      <c r="Z408" s="113"/>
    </row>
    <row r="409" spans="1:26" x14ac:dyDescent="0.25">
      <c r="A409" s="89"/>
      <c r="B409" s="89"/>
      <c r="C409" s="89"/>
      <c r="D409" s="114"/>
      <c r="E409" s="114"/>
      <c r="F409" s="114"/>
      <c r="G409" s="114"/>
      <c r="I409" s="114"/>
      <c r="J409" s="114"/>
      <c r="K409" s="114"/>
      <c r="L409" s="114"/>
      <c r="M409" s="113"/>
      <c r="N409" s="114"/>
      <c r="O409" s="113"/>
      <c r="P409" s="113"/>
      <c r="Q409" s="114"/>
      <c r="R409" s="113"/>
      <c r="S409" s="113"/>
      <c r="T409" s="113"/>
      <c r="U409" s="113"/>
      <c r="V409" s="113"/>
      <c r="W409" s="113"/>
      <c r="X409" s="113"/>
      <c r="Y409" s="113"/>
      <c r="Z409" s="113"/>
    </row>
    <row r="410" spans="1:26" x14ac:dyDescent="0.25">
      <c r="A410" s="89"/>
      <c r="B410" s="89"/>
      <c r="C410" s="89"/>
      <c r="D410" s="114"/>
      <c r="E410" s="114"/>
      <c r="F410" s="114"/>
      <c r="G410" s="114"/>
      <c r="I410" s="114"/>
      <c r="J410" s="114"/>
      <c r="K410" s="114"/>
      <c r="L410" s="114"/>
      <c r="M410" s="113"/>
      <c r="N410" s="114"/>
      <c r="O410" s="113"/>
      <c r="P410" s="113"/>
      <c r="Q410" s="114"/>
      <c r="R410" s="113"/>
      <c r="S410" s="113"/>
      <c r="T410" s="113"/>
      <c r="U410" s="113"/>
      <c r="V410" s="113"/>
      <c r="W410" s="113"/>
      <c r="X410" s="113"/>
      <c r="Y410" s="113"/>
      <c r="Z410" s="113"/>
    </row>
    <row r="411" spans="1:26" x14ac:dyDescent="0.25">
      <c r="A411" s="89"/>
      <c r="B411" s="89"/>
      <c r="C411" s="89"/>
      <c r="D411" s="114"/>
      <c r="E411" s="114"/>
      <c r="F411" s="114"/>
      <c r="G411" s="114"/>
      <c r="I411" s="114"/>
      <c r="J411" s="114"/>
      <c r="K411" s="114"/>
      <c r="L411" s="114"/>
      <c r="M411" s="113"/>
      <c r="N411" s="114"/>
      <c r="O411" s="113"/>
      <c r="P411" s="113"/>
      <c r="Q411" s="114"/>
      <c r="R411" s="113"/>
      <c r="S411" s="113"/>
      <c r="T411" s="113"/>
      <c r="U411" s="113"/>
      <c r="V411" s="113"/>
      <c r="W411" s="113"/>
      <c r="X411" s="113"/>
      <c r="Y411" s="113"/>
      <c r="Z411" s="113"/>
    </row>
    <row r="412" spans="1:26" x14ac:dyDescent="0.25">
      <c r="A412" s="89"/>
      <c r="B412" s="89"/>
      <c r="C412" s="89"/>
      <c r="D412" s="114"/>
      <c r="E412" s="114"/>
      <c r="F412" s="114"/>
      <c r="G412" s="114"/>
      <c r="I412" s="114"/>
      <c r="J412" s="114"/>
      <c r="K412" s="114"/>
      <c r="L412" s="114"/>
      <c r="M412" s="113"/>
      <c r="N412" s="114"/>
      <c r="O412" s="113"/>
      <c r="P412" s="113"/>
      <c r="Q412" s="114"/>
      <c r="R412" s="113"/>
      <c r="S412" s="113"/>
      <c r="T412" s="113"/>
      <c r="U412" s="113"/>
      <c r="V412" s="113"/>
      <c r="W412" s="113"/>
      <c r="X412" s="113"/>
      <c r="Y412" s="113"/>
      <c r="Z412" s="113"/>
    </row>
    <row r="413" spans="1:26" x14ac:dyDescent="0.25">
      <c r="A413" s="89"/>
      <c r="B413" s="89"/>
      <c r="C413" s="89"/>
      <c r="D413" s="114"/>
      <c r="E413" s="114"/>
      <c r="F413" s="114"/>
      <c r="G413" s="114"/>
      <c r="I413" s="114"/>
      <c r="J413" s="114"/>
      <c r="K413" s="114"/>
      <c r="L413" s="114"/>
      <c r="M413" s="113"/>
      <c r="N413" s="114"/>
      <c r="O413" s="113"/>
      <c r="P413" s="113"/>
      <c r="Q413" s="114"/>
      <c r="R413" s="113"/>
      <c r="S413" s="113"/>
      <c r="T413" s="113"/>
      <c r="U413" s="113"/>
      <c r="V413" s="113"/>
      <c r="W413" s="113"/>
      <c r="X413" s="113"/>
      <c r="Y413" s="113"/>
      <c r="Z413" s="113"/>
    </row>
    <row r="414" spans="1:26" x14ac:dyDescent="0.25">
      <c r="A414" s="89"/>
      <c r="B414" s="89"/>
      <c r="C414" s="89"/>
      <c r="D414" s="114"/>
      <c r="E414" s="114"/>
      <c r="F414" s="114"/>
      <c r="G414" s="114"/>
      <c r="I414" s="114"/>
      <c r="J414" s="114"/>
      <c r="K414" s="114"/>
      <c r="L414" s="114"/>
      <c r="M414" s="113"/>
      <c r="N414" s="114"/>
      <c r="O414" s="113"/>
      <c r="P414" s="113"/>
      <c r="Q414" s="114"/>
      <c r="R414" s="113"/>
      <c r="S414" s="113"/>
      <c r="T414" s="113"/>
      <c r="U414" s="113"/>
      <c r="V414" s="113"/>
      <c r="W414" s="113"/>
      <c r="X414" s="113"/>
      <c r="Y414" s="113"/>
      <c r="Z414" s="113"/>
    </row>
    <row r="415" spans="1:26" x14ac:dyDescent="0.25">
      <c r="A415" s="89"/>
      <c r="B415" s="89"/>
      <c r="C415" s="89"/>
      <c r="D415" s="114"/>
      <c r="E415" s="114"/>
      <c r="F415" s="114"/>
      <c r="G415" s="114"/>
      <c r="I415" s="114"/>
      <c r="J415" s="114"/>
      <c r="K415" s="114"/>
      <c r="L415" s="114"/>
      <c r="M415" s="113"/>
      <c r="N415" s="114"/>
      <c r="O415" s="113"/>
      <c r="P415" s="113"/>
      <c r="Q415" s="114"/>
      <c r="R415" s="113"/>
      <c r="S415" s="113"/>
      <c r="T415" s="113"/>
      <c r="U415" s="113"/>
      <c r="V415" s="113"/>
      <c r="W415" s="113"/>
      <c r="X415" s="113"/>
      <c r="Y415" s="113"/>
      <c r="Z415" s="113"/>
    </row>
    <row r="416" spans="1:26" x14ac:dyDescent="0.25">
      <c r="A416" s="89"/>
      <c r="B416" s="89"/>
      <c r="C416" s="89"/>
      <c r="D416" s="114"/>
      <c r="E416" s="114"/>
      <c r="F416" s="114"/>
      <c r="G416" s="114"/>
      <c r="I416" s="114"/>
      <c r="J416" s="114"/>
      <c r="K416" s="114"/>
      <c r="L416" s="114"/>
      <c r="M416" s="113"/>
      <c r="N416" s="114"/>
      <c r="O416" s="113"/>
      <c r="P416" s="113"/>
      <c r="Q416" s="114"/>
      <c r="R416" s="113"/>
      <c r="S416" s="113"/>
      <c r="T416" s="113"/>
      <c r="U416" s="113"/>
      <c r="V416" s="113"/>
      <c r="W416" s="113"/>
      <c r="X416" s="113"/>
      <c r="Y416" s="113"/>
      <c r="Z416" s="113"/>
    </row>
    <row r="417" spans="1:26" x14ac:dyDescent="0.25">
      <c r="A417" s="89"/>
      <c r="B417" s="89"/>
      <c r="C417" s="89"/>
      <c r="D417" s="114"/>
      <c r="E417" s="114"/>
      <c r="F417" s="114"/>
      <c r="G417" s="114"/>
      <c r="I417" s="114"/>
      <c r="J417" s="114"/>
      <c r="K417" s="114"/>
      <c r="L417" s="114"/>
      <c r="M417" s="113"/>
      <c r="N417" s="114"/>
      <c r="O417" s="113"/>
      <c r="P417" s="113"/>
      <c r="Q417" s="114"/>
      <c r="R417" s="113"/>
      <c r="S417" s="113"/>
      <c r="T417" s="113"/>
      <c r="U417" s="113"/>
      <c r="V417" s="113"/>
      <c r="W417" s="113"/>
      <c r="X417" s="113"/>
      <c r="Y417" s="113"/>
      <c r="Z417" s="113"/>
    </row>
    <row r="418" spans="1:26" x14ac:dyDescent="0.25">
      <c r="A418" s="89"/>
      <c r="B418" s="89"/>
      <c r="C418" s="89"/>
      <c r="D418" s="114"/>
      <c r="E418" s="114"/>
      <c r="F418" s="114"/>
      <c r="G418" s="114"/>
      <c r="I418" s="114"/>
      <c r="J418" s="114"/>
      <c r="K418" s="114"/>
      <c r="L418" s="114"/>
      <c r="M418" s="113"/>
      <c r="N418" s="114"/>
      <c r="O418" s="113"/>
      <c r="P418" s="113"/>
      <c r="Q418" s="114"/>
      <c r="R418" s="113"/>
      <c r="S418" s="113"/>
      <c r="T418" s="113"/>
      <c r="U418" s="113"/>
      <c r="V418" s="113"/>
      <c r="W418" s="113"/>
      <c r="X418" s="113"/>
      <c r="Y418" s="113"/>
      <c r="Z418" s="113"/>
    </row>
    <row r="419" spans="1:26" x14ac:dyDescent="0.25">
      <c r="A419" s="89"/>
      <c r="B419" s="89"/>
      <c r="C419" s="89"/>
      <c r="D419" s="114"/>
      <c r="E419" s="114"/>
      <c r="F419" s="114"/>
      <c r="G419" s="114"/>
      <c r="I419" s="114"/>
      <c r="J419" s="114"/>
      <c r="K419" s="114"/>
      <c r="L419" s="114"/>
      <c r="M419" s="113"/>
      <c r="N419" s="114"/>
      <c r="O419" s="113"/>
      <c r="P419" s="113"/>
      <c r="Q419" s="114"/>
      <c r="R419" s="113"/>
      <c r="S419" s="113"/>
      <c r="T419" s="113"/>
      <c r="U419" s="113"/>
      <c r="V419" s="113"/>
      <c r="W419" s="113"/>
      <c r="X419" s="113"/>
      <c r="Y419" s="113"/>
      <c r="Z419" s="113"/>
    </row>
    <row r="420" spans="1:26" x14ac:dyDescent="0.25">
      <c r="A420" s="89"/>
      <c r="B420" s="89"/>
      <c r="C420" s="89"/>
      <c r="D420" s="114"/>
      <c r="E420" s="114"/>
      <c r="F420" s="114"/>
      <c r="G420" s="114"/>
      <c r="I420" s="114"/>
      <c r="J420" s="114"/>
      <c r="K420" s="114"/>
      <c r="L420" s="114"/>
      <c r="M420" s="113"/>
      <c r="N420" s="114"/>
      <c r="O420" s="113"/>
      <c r="P420" s="113"/>
      <c r="Q420" s="114"/>
      <c r="R420" s="113"/>
      <c r="S420" s="113"/>
      <c r="T420" s="113"/>
      <c r="U420" s="113"/>
      <c r="V420" s="113"/>
      <c r="W420" s="113"/>
      <c r="X420" s="113"/>
      <c r="Y420" s="113"/>
      <c r="Z420" s="113"/>
    </row>
    <row r="421" spans="1:26" x14ac:dyDescent="0.25">
      <c r="A421" s="89"/>
      <c r="B421" s="89"/>
      <c r="C421" s="89"/>
      <c r="D421" s="114"/>
      <c r="E421" s="114"/>
      <c r="F421" s="114"/>
      <c r="G421" s="114"/>
      <c r="I421" s="114"/>
      <c r="J421" s="114"/>
      <c r="K421" s="114"/>
      <c r="L421" s="114"/>
      <c r="M421" s="113"/>
      <c r="N421" s="114"/>
      <c r="O421" s="113"/>
      <c r="P421" s="113"/>
      <c r="Q421" s="114"/>
      <c r="R421" s="113"/>
      <c r="S421" s="113"/>
      <c r="T421" s="113"/>
      <c r="U421" s="113"/>
      <c r="V421" s="113"/>
      <c r="W421" s="113"/>
      <c r="X421" s="113"/>
      <c r="Y421" s="113"/>
      <c r="Z421" s="113"/>
    </row>
    <row r="422" spans="1:26" x14ac:dyDescent="0.25">
      <c r="A422" s="89"/>
      <c r="B422" s="89"/>
      <c r="C422" s="89"/>
      <c r="D422" s="114"/>
      <c r="E422" s="114"/>
      <c r="F422" s="114"/>
      <c r="G422" s="114"/>
      <c r="I422" s="114"/>
      <c r="J422" s="114"/>
      <c r="K422" s="114"/>
      <c r="L422" s="114"/>
      <c r="M422" s="113"/>
      <c r="N422" s="114"/>
      <c r="O422" s="113"/>
      <c r="P422" s="113"/>
      <c r="Q422" s="114"/>
      <c r="R422" s="113"/>
      <c r="S422" s="113"/>
      <c r="T422" s="113"/>
      <c r="U422" s="113"/>
      <c r="V422" s="113"/>
      <c r="W422" s="113"/>
      <c r="X422" s="113"/>
      <c r="Y422" s="113"/>
      <c r="Z422" s="113"/>
    </row>
    <row r="423" spans="1:26" x14ac:dyDescent="0.25">
      <c r="A423" s="89"/>
      <c r="B423" s="89"/>
      <c r="C423" s="89"/>
      <c r="D423" s="114"/>
      <c r="E423" s="114"/>
      <c r="F423" s="114"/>
      <c r="G423" s="114"/>
      <c r="I423" s="114"/>
      <c r="J423" s="114"/>
      <c r="K423" s="114"/>
      <c r="L423" s="114"/>
      <c r="M423" s="113"/>
      <c r="N423" s="114"/>
      <c r="O423" s="113"/>
      <c r="P423" s="113"/>
      <c r="Q423" s="114"/>
      <c r="R423" s="113"/>
      <c r="S423" s="113"/>
      <c r="T423" s="113"/>
      <c r="U423" s="113"/>
      <c r="V423" s="113"/>
      <c r="W423" s="113"/>
      <c r="X423" s="113"/>
      <c r="Y423" s="113"/>
      <c r="Z423" s="113"/>
    </row>
    <row r="424" spans="1:26" x14ac:dyDescent="0.25">
      <c r="A424" s="89"/>
      <c r="B424" s="89"/>
      <c r="C424" s="89"/>
      <c r="D424" s="114"/>
      <c r="E424" s="114"/>
      <c r="F424" s="114"/>
      <c r="G424" s="114"/>
      <c r="I424" s="114"/>
      <c r="J424" s="114"/>
      <c r="K424" s="114"/>
      <c r="L424" s="114"/>
      <c r="M424" s="113"/>
      <c r="N424" s="114"/>
      <c r="O424" s="113"/>
      <c r="P424" s="113"/>
      <c r="Q424" s="114"/>
      <c r="R424" s="113"/>
      <c r="S424" s="113"/>
      <c r="T424" s="113"/>
      <c r="U424" s="113"/>
      <c r="V424" s="113"/>
      <c r="W424" s="113"/>
      <c r="X424" s="113"/>
      <c r="Y424" s="113"/>
      <c r="Z424" s="113"/>
    </row>
    <row r="425" spans="1:26" x14ac:dyDescent="0.25">
      <c r="A425" s="89"/>
      <c r="B425" s="89"/>
      <c r="C425" s="89"/>
      <c r="D425" s="114"/>
      <c r="E425" s="114"/>
      <c r="F425" s="114"/>
      <c r="G425" s="114"/>
      <c r="I425" s="114"/>
      <c r="J425" s="114"/>
      <c r="K425" s="114"/>
      <c r="L425" s="114"/>
      <c r="M425" s="113"/>
      <c r="N425" s="114"/>
      <c r="O425" s="113"/>
      <c r="P425" s="113"/>
      <c r="Q425" s="114"/>
      <c r="R425" s="113"/>
      <c r="S425" s="113"/>
      <c r="T425" s="113"/>
      <c r="U425" s="113"/>
      <c r="V425" s="113"/>
      <c r="W425" s="113"/>
      <c r="X425" s="113"/>
      <c r="Y425" s="113"/>
      <c r="Z425" s="113"/>
    </row>
    <row r="426" spans="1:26" x14ac:dyDescent="0.25">
      <c r="A426" s="89"/>
      <c r="B426" s="89"/>
      <c r="C426" s="89"/>
      <c r="D426" s="114"/>
      <c r="E426" s="114"/>
      <c r="F426" s="114"/>
      <c r="G426" s="114"/>
      <c r="I426" s="114"/>
      <c r="J426" s="114"/>
      <c r="K426" s="114"/>
      <c r="L426" s="114"/>
      <c r="M426" s="113"/>
      <c r="N426" s="114"/>
      <c r="O426" s="113"/>
      <c r="P426" s="113"/>
      <c r="Q426" s="114"/>
      <c r="R426" s="113"/>
      <c r="S426" s="113"/>
      <c r="T426" s="113"/>
      <c r="U426" s="113"/>
      <c r="V426" s="113"/>
      <c r="W426" s="113"/>
      <c r="X426" s="113"/>
      <c r="Y426" s="113"/>
      <c r="Z426" s="113"/>
    </row>
    <row r="427" spans="1:26" x14ac:dyDescent="0.25">
      <c r="A427" s="89"/>
      <c r="B427" s="89"/>
      <c r="C427" s="89"/>
      <c r="D427" s="114"/>
      <c r="E427" s="114"/>
      <c r="F427" s="114"/>
      <c r="G427" s="114"/>
      <c r="I427" s="114"/>
      <c r="J427" s="114"/>
      <c r="K427" s="114"/>
      <c r="L427" s="114"/>
      <c r="M427" s="113"/>
      <c r="N427" s="114"/>
      <c r="O427" s="113"/>
      <c r="P427" s="113"/>
      <c r="Q427" s="114"/>
      <c r="R427" s="113"/>
      <c r="S427" s="113"/>
      <c r="T427" s="113"/>
      <c r="U427" s="113"/>
      <c r="V427" s="113"/>
      <c r="W427" s="113"/>
      <c r="X427" s="113"/>
      <c r="Y427" s="113"/>
      <c r="Z427" s="113"/>
    </row>
    <row r="428" spans="1:26" x14ac:dyDescent="0.25">
      <c r="A428" s="89"/>
      <c r="B428" s="89"/>
      <c r="C428" s="89"/>
      <c r="D428" s="114"/>
      <c r="E428" s="114"/>
      <c r="F428" s="114"/>
      <c r="G428" s="114"/>
      <c r="I428" s="114"/>
      <c r="J428" s="114"/>
      <c r="K428" s="114"/>
      <c r="L428" s="114"/>
      <c r="M428" s="113"/>
      <c r="N428" s="114"/>
      <c r="O428" s="113"/>
      <c r="P428" s="113"/>
      <c r="Q428" s="114"/>
      <c r="R428" s="113"/>
      <c r="S428" s="113"/>
      <c r="T428" s="113"/>
      <c r="U428" s="113"/>
      <c r="V428" s="113"/>
      <c r="W428" s="113"/>
      <c r="X428" s="113"/>
      <c r="Y428" s="113"/>
      <c r="Z428" s="113"/>
    </row>
    <row r="429" spans="1:26" x14ac:dyDescent="0.25">
      <c r="A429" s="89"/>
      <c r="B429" s="89"/>
      <c r="C429" s="89"/>
      <c r="D429" s="114"/>
      <c r="E429" s="114"/>
      <c r="F429" s="114"/>
      <c r="G429" s="114"/>
      <c r="I429" s="114"/>
      <c r="J429" s="114"/>
      <c r="K429" s="114"/>
      <c r="L429" s="114"/>
      <c r="M429" s="113"/>
      <c r="N429" s="114"/>
      <c r="O429" s="113"/>
      <c r="P429" s="113"/>
      <c r="Q429" s="114"/>
      <c r="R429" s="113"/>
      <c r="S429" s="113"/>
      <c r="T429" s="113"/>
      <c r="U429" s="113"/>
      <c r="V429" s="113"/>
      <c r="W429" s="113"/>
      <c r="X429" s="113"/>
      <c r="Y429" s="113"/>
      <c r="Z429" s="113"/>
    </row>
    <row r="430" spans="1:26" x14ac:dyDescent="0.25">
      <c r="A430" s="89"/>
      <c r="B430" s="89"/>
      <c r="C430" s="89"/>
      <c r="D430" s="114"/>
      <c r="E430" s="114"/>
      <c r="F430" s="114"/>
      <c r="G430" s="114"/>
      <c r="I430" s="114"/>
      <c r="J430" s="114"/>
      <c r="K430" s="114"/>
      <c r="L430" s="114"/>
      <c r="M430" s="113"/>
      <c r="N430" s="114"/>
      <c r="O430" s="113"/>
      <c r="P430" s="113"/>
      <c r="Q430" s="114"/>
      <c r="R430" s="113"/>
      <c r="S430" s="113"/>
      <c r="T430" s="113"/>
      <c r="U430" s="113"/>
      <c r="V430" s="113"/>
      <c r="W430" s="113"/>
      <c r="X430" s="113"/>
      <c r="Y430" s="113"/>
      <c r="Z430" s="113"/>
    </row>
    <row r="431" spans="1:26" x14ac:dyDescent="0.25">
      <c r="A431" s="89"/>
      <c r="B431" s="89"/>
      <c r="C431" s="89"/>
      <c r="D431" s="114"/>
      <c r="E431" s="114"/>
      <c r="F431" s="114"/>
      <c r="G431" s="114"/>
      <c r="I431" s="114"/>
      <c r="J431" s="114"/>
      <c r="K431" s="114"/>
      <c r="L431" s="114"/>
      <c r="M431" s="113"/>
      <c r="N431" s="114"/>
      <c r="O431" s="113"/>
      <c r="P431" s="113"/>
      <c r="Q431" s="114"/>
      <c r="R431" s="113"/>
      <c r="S431" s="113"/>
      <c r="T431" s="113"/>
      <c r="U431" s="113"/>
      <c r="V431" s="113"/>
      <c r="W431" s="113"/>
      <c r="X431" s="113"/>
      <c r="Y431" s="113"/>
      <c r="Z431" s="113"/>
    </row>
    <row r="432" spans="1:26" x14ac:dyDescent="0.25">
      <c r="A432" s="89"/>
      <c r="B432" s="89"/>
      <c r="C432" s="89"/>
      <c r="D432" s="114"/>
      <c r="E432" s="114"/>
      <c r="F432" s="114"/>
      <c r="G432" s="114"/>
      <c r="I432" s="114"/>
      <c r="J432" s="114"/>
      <c r="K432" s="114"/>
      <c r="L432" s="114"/>
      <c r="M432" s="113"/>
      <c r="N432" s="114"/>
      <c r="O432" s="113"/>
      <c r="P432" s="113"/>
      <c r="Q432" s="114"/>
      <c r="R432" s="113"/>
      <c r="S432" s="113"/>
      <c r="T432" s="113"/>
      <c r="U432" s="113"/>
      <c r="V432" s="113"/>
      <c r="W432" s="113"/>
      <c r="X432" s="113"/>
      <c r="Y432" s="113"/>
      <c r="Z432" s="113"/>
    </row>
    <row r="433" spans="1:26" x14ac:dyDescent="0.25">
      <c r="A433" s="89"/>
      <c r="B433" s="89"/>
      <c r="C433" s="89"/>
      <c r="D433" s="114"/>
      <c r="E433" s="114"/>
      <c r="F433" s="114"/>
      <c r="G433" s="114"/>
      <c r="I433" s="114"/>
      <c r="J433" s="114"/>
      <c r="K433" s="114"/>
      <c r="L433" s="114"/>
      <c r="M433" s="113"/>
      <c r="N433" s="114"/>
      <c r="O433" s="113"/>
      <c r="P433" s="113"/>
      <c r="Q433" s="114"/>
      <c r="R433" s="113"/>
      <c r="S433" s="113"/>
      <c r="T433" s="113"/>
      <c r="U433" s="113"/>
      <c r="V433" s="113"/>
      <c r="W433" s="113"/>
      <c r="X433" s="113"/>
      <c r="Y433" s="113"/>
      <c r="Z433" s="113"/>
    </row>
    <row r="434" spans="1:26" x14ac:dyDescent="0.25">
      <c r="A434" s="89"/>
      <c r="B434" s="89"/>
      <c r="C434" s="89"/>
      <c r="D434" s="114"/>
      <c r="E434" s="114"/>
      <c r="F434" s="114"/>
      <c r="G434" s="114"/>
      <c r="I434" s="114"/>
      <c r="J434" s="114"/>
      <c r="K434" s="114"/>
      <c r="L434" s="114"/>
      <c r="M434" s="113"/>
      <c r="N434" s="114"/>
      <c r="O434" s="113"/>
      <c r="P434" s="113"/>
      <c r="Q434" s="114"/>
      <c r="R434" s="113"/>
      <c r="S434" s="113"/>
      <c r="T434" s="113"/>
      <c r="U434" s="113"/>
      <c r="V434" s="113"/>
      <c r="W434" s="113"/>
      <c r="X434" s="113"/>
      <c r="Y434" s="113"/>
      <c r="Z434" s="113"/>
    </row>
    <row r="435" spans="1:26" x14ac:dyDescent="0.25">
      <c r="A435" s="89"/>
      <c r="B435" s="89"/>
      <c r="C435" s="89"/>
      <c r="D435" s="114"/>
      <c r="E435" s="114"/>
      <c r="F435" s="114"/>
      <c r="G435" s="114"/>
      <c r="I435" s="114"/>
      <c r="J435" s="114"/>
      <c r="K435" s="114"/>
      <c r="L435" s="114"/>
      <c r="M435" s="113"/>
      <c r="N435" s="114"/>
      <c r="O435" s="113"/>
      <c r="P435" s="113"/>
      <c r="Q435" s="114"/>
      <c r="R435" s="113"/>
      <c r="S435" s="113"/>
      <c r="T435" s="113"/>
      <c r="U435" s="113"/>
      <c r="V435" s="113"/>
      <c r="W435" s="113"/>
      <c r="X435" s="113"/>
      <c r="Y435" s="113"/>
      <c r="Z435" s="113"/>
    </row>
    <row r="436" spans="1:26" x14ac:dyDescent="0.25">
      <c r="A436" s="89"/>
      <c r="B436" s="89"/>
      <c r="C436" s="89"/>
      <c r="D436" s="114"/>
      <c r="E436" s="114"/>
      <c r="F436" s="114"/>
      <c r="G436" s="114"/>
      <c r="I436" s="114"/>
      <c r="J436" s="114"/>
      <c r="K436" s="114"/>
      <c r="L436" s="114"/>
      <c r="M436" s="113"/>
      <c r="N436" s="114"/>
      <c r="O436" s="113"/>
      <c r="P436" s="113"/>
      <c r="Q436" s="114"/>
      <c r="R436" s="113"/>
      <c r="S436" s="113"/>
      <c r="T436" s="113"/>
      <c r="U436" s="113"/>
      <c r="V436" s="113"/>
      <c r="W436" s="113"/>
      <c r="X436" s="113"/>
      <c r="Y436" s="113"/>
      <c r="Z436" s="113"/>
    </row>
    <row r="437" spans="1:26" x14ac:dyDescent="0.25">
      <c r="A437" s="89"/>
      <c r="B437" s="89"/>
      <c r="C437" s="89"/>
      <c r="D437" s="114"/>
      <c r="E437" s="114"/>
      <c r="F437" s="114"/>
      <c r="G437" s="114"/>
      <c r="I437" s="114"/>
      <c r="J437" s="114"/>
      <c r="K437" s="114"/>
      <c r="L437" s="114"/>
      <c r="M437" s="113"/>
      <c r="N437" s="114"/>
      <c r="O437" s="113"/>
      <c r="P437" s="113"/>
      <c r="Q437" s="114"/>
      <c r="R437" s="113"/>
      <c r="S437" s="113"/>
      <c r="T437" s="113"/>
      <c r="U437" s="113"/>
      <c r="V437" s="113"/>
      <c r="W437" s="113"/>
      <c r="X437" s="113"/>
      <c r="Y437" s="113"/>
      <c r="Z437" s="113"/>
    </row>
    <row r="438" spans="1:26" x14ac:dyDescent="0.25">
      <c r="A438" s="89"/>
      <c r="B438" s="89"/>
      <c r="C438" s="89"/>
      <c r="D438" s="114"/>
      <c r="E438" s="114"/>
      <c r="F438" s="114"/>
      <c r="G438" s="114"/>
      <c r="I438" s="114"/>
      <c r="J438" s="114"/>
      <c r="K438" s="114"/>
      <c r="L438" s="114"/>
      <c r="M438" s="113"/>
      <c r="N438" s="114"/>
      <c r="O438" s="113"/>
      <c r="P438" s="113"/>
      <c r="Q438" s="114"/>
      <c r="R438" s="113"/>
      <c r="S438" s="113"/>
      <c r="T438" s="113"/>
      <c r="U438" s="113"/>
      <c r="V438" s="113"/>
      <c r="W438" s="113"/>
      <c r="X438" s="113"/>
      <c r="Y438" s="113"/>
      <c r="Z438" s="113"/>
    </row>
    <row r="439" spans="1:26" x14ac:dyDescent="0.25">
      <c r="A439" s="89"/>
      <c r="B439" s="89"/>
      <c r="C439" s="89"/>
      <c r="D439" s="114"/>
      <c r="E439" s="114"/>
      <c r="F439" s="114"/>
      <c r="G439" s="114"/>
      <c r="I439" s="114"/>
      <c r="J439" s="114"/>
      <c r="K439" s="114"/>
      <c r="L439" s="114"/>
      <c r="M439" s="113"/>
      <c r="N439" s="114"/>
      <c r="O439" s="113"/>
      <c r="P439" s="113"/>
      <c r="Q439" s="114"/>
      <c r="R439" s="113"/>
      <c r="S439" s="113"/>
      <c r="T439" s="113"/>
      <c r="U439" s="113"/>
      <c r="V439" s="113"/>
      <c r="W439" s="113"/>
      <c r="X439" s="113"/>
      <c r="Y439" s="113"/>
      <c r="Z439" s="113"/>
    </row>
    <row r="440" spans="1:26" x14ac:dyDescent="0.25">
      <c r="A440" s="89"/>
      <c r="B440" s="89"/>
      <c r="C440" s="89"/>
      <c r="D440" s="114"/>
      <c r="E440" s="114"/>
      <c r="F440" s="114"/>
      <c r="G440" s="114"/>
      <c r="I440" s="114"/>
      <c r="J440" s="114"/>
      <c r="K440" s="114"/>
      <c r="L440" s="114"/>
      <c r="M440" s="113"/>
      <c r="N440" s="114"/>
      <c r="O440" s="113"/>
      <c r="P440" s="113"/>
      <c r="Q440" s="114"/>
      <c r="R440" s="113"/>
      <c r="S440" s="113"/>
      <c r="T440" s="113"/>
      <c r="U440" s="113"/>
      <c r="V440" s="113"/>
      <c r="W440" s="113"/>
      <c r="X440" s="113"/>
      <c r="Y440" s="113"/>
      <c r="Z440" s="113"/>
    </row>
    <row r="441" spans="1:26" x14ac:dyDescent="0.25">
      <c r="A441" s="89"/>
      <c r="B441" s="89"/>
      <c r="C441" s="89"/>
      <c r="D441" s="114"/>
      <c r="E441" s="114"/>
      <c r="F441" s="114"/>
      <c r="G441" s="114"/>
      <c r="I441" s="114"/>
      <c r="J441" s="114"/>
      <c r="K441" s="114"/>
      <c r="L441" s="114"/>
      <c r="M441" s="113"/>
      <c r="N441" s="114"/>
      <c r="O441" s="113"/>
      <c r="P441" s="113"/>
      <c r="Q441" s="114"/>
      <c r="R441" s="113"/>
      <c r="S441" s="113"/>
      <c r="T441" s="113"/>
      <c r="U441" s="113"/>
      <c r="V441" s="113"/>
      <c r="W441" s="113"/>
      <c r="X441" s="113"/>
      <c r="Y441" s="113"/>
      <c r="Z441" s="113"/>
    </row>
    <row r="442" spans="1:26" x14ac:dyDescent="0.25">
      <c r="A442" s="89"/>
      <c r="B442" s="89"/>
      <c r="C442" s="89"/>
      <c r="D442" s="114"/>
      <c r="E442" s="114"/>
      <c r="F442" s="114"/>
      <c r="G442" s="114"/>
      <c r="I442" s="114"/>
      <c r="J442" s="114"/>
      <c r="K442" s="114"/>
      <c r="L442" s="114"/>
      <c r="M442" s="113"/>
      <c r="N442" s="114"/>
      <c r="O442" s="113"/>
      <c r="P442" s="113"/>
      <c r="Q442" s="114"/>
      <c r="R442" s="113"/>
      <c r="S442" s="113"/>
      <c r="T442" s="113"/>
      <c r="U442" s="113"/>
      <c r="V442" s="113"/>
      <c r="W442" s="113"/>
      <c r="X442" s="113"/>
      <c r="Y442" s="113"/>
      <c r="Z442" s="113"/>
    </row>
    <row r="443" spans="1:26" x14ac:dyDescent="0.25">
      <c r="A443" s="89"/>
      <c r="B443" s="89"/>
      <c r="C443" s="89"/>
      <c r="D443" s="114"/>
      <c r="E443" s="114"/>
      <c r="F443" s="114"/>
      <c r="G443" s="114"/>
      <c r="I443" s="114"/>
      <c r="J443" s="114"/>
      <c r="K443" s="114"/>
      <c r="L443" s="114"/>
      <c r="M443" s="113"/>
      <c r="N443" s="114"/>
      <c r="O443" s="113"/>
      <c r="P443" s="113"/>
      <c r="Q443" s="114"/>
      <c r="R443" s="113"/>
      <c r="S443" s="113"/>
      <c r="T443" s="113"/>
      <c r="U443" s="113"/>
      <c r="V443" s="113"/>
      <c r="W443" s="113"/>
      <c r="X443" s="113"/>
      <c r="Y443" s="113"/>
      <c r="Z443" s="113"/>
    </row>
    <row r="444" spans="1:26" x14ac:dyDescent="0.25">
      <c r="A444" s="89"/>
      <c r="B444" s="89"/>
      <c r="C444" s="89"/>
      <c r="D444" s="114"/>
      <c r="E444" s="114"/>
      <c r="F444" s="114"/>
      <c r="G444" s="114"/>
      <c r="I444" s="114"/>
      <c r="J444" s="114"/>
      <c r="K444" s="114"/>
      <c r="L444" s="114"/>
      <c r="M444" s="113"/>
      <c r="N444" s="114"/>
      <c r="O444" s="113"/>
      <c r="P444" s="113"/>
      <c r="Q444" s="114"/>
      <c r="R444" s="113"/>
      <c r="S444" s="113"/>
      <c r="T444" s="113"/>
      <c r="U444" s="113"/>
      <c r="V444" s="113"/>
      <c r="W444" s="113"/>
      <c r="X444" s="113"/>
      <c r="Y444" s="113"/>
      <c r="Z444" s="113"/>
    </row>
    <row r="445" spans="1:26" x14ac:dyDescent="0.25">
      <c r="A445" s="89"/>
      <c r="B445" s="89"/>
      <c r="C445" s="89"/>
      <c r="D445" s="114"/>
      <c r="E445" s="114"/>
      <c r="F445" s="114"/>
      <c r="G445" s="114"/>
      <c r="I445" s="114"/>
      <c r="J445" s="114"/>
      <c r="K445" s="114"/>
      <c r="L445" s="114"/>
      <c r="M445" s="113"/>
      <c r="N445" s="114"/>
      <c r="O445" s="113"/>
      <c r="P445" s="113"/>
      <c r="Q445" s="114"/>
      <c r="R445" s="113"/>
      <c r="S445" s="113"/>
      <c r="T445" s="113"/>
      <c r="U445" s="113"/>
      <c r="V445" s="113"/>
      <c r="W445" s="113"/>
      <c r="X445" s="113"/>
      <c r="Y445" s="113"/>
      <c r="Z445" s="113"/>
    </row>
    <row r="446" spans="1:26" x14ac:dyDescent="0.25">
      <c r="A446" s="89"/>
      <c r="B446" s="89"/>
      <c r="C446" s="89"/>
      <c r="D446" s="114"/>
      <c r="E446" s="114"/>
      <c r="F446" s="114"/>
      <c r="G446" s="114"/>
      <c r="I446" s="114"/>
      <c r="J446" s="114"/>
      <c r="K446" s="114"/>
      <c r="L446" s="114"/>
      <c r="M446" s="113"/>
      <c r="N446" s="114"/>
      <c r="O446" s="113"/>
      <c r="P446" s="113"/>
      <c r="Q446" s="114"/>
      <c r="R446" s="113"/>
      <c r="S446" s="113"/>
      <c r="T446" s="113"/>
      <c r="U446" s="113"/>
      <c r="V446" s="113"/>
      <c r="W446" s="113"/>
      <c r="X446" s="113"/>
      <c r="Y446" s="113"/>
      <c r="Z446" s="113"/>
    </row>
    <row r="447" spans="1:26" x14ac:dyDescent="0.25">
      <c r="A447" s="89"/>
      <c r="B447" s="89"/>
      <c r="C447" s="89"/>
      <c r="D447" s="114"/>
      <c r="E447" s="114"/>
      <c r="F447" s="114"/>
      <c r="G447" s="114"/>
      <c r="I447" s="114"/>
      <c r="J447" s="114"/>
      <c r="K447" s="114"/>
      <c r="L447" s="114"/>
      <c r="M447" s="113"/>
      <c r="N447" s="114"/>
      <c r="O447" s="113"/>
      <c r="P447" s="113"/>
      <c r="Q447" s="114"/>
      <c r="R447" s="113"/>
      <c r="S447" s="113"/>
      <c r="T447" s="113"/>
      <c r="U447" s="113"/>
      <c r="V447" s="113"/>
      <c r="W447" s="113"/>
      <c r="X447" s="113"/>
      <c r="Y447" s="113"/>
      <c r="Z447" s="113"/>
    </row>
    <row r="448" spans="1:26" x14ac:dyDescent="0.25">
      <c r="A448" s="89"/>
      <c r="B448" s="89"/>
      <c r="C448" s="89"/>
      <c r="D448" s="114"/>
      <c r="E448" s="114"/>
      <c r="F448" s="114"/>
      <c r="G448" s="114"/>
      <c r="I448" s="114"/>
      <c r="J448" s="114"/>
      <c r="K448" s="114"/>
      <c r="L448" s="114"/>
      <c r="M448" s="113"/>
      <c r="N448" s="114"/>
      <c r="O448" s="113"/>
      <c r="P448" s="113"/>
      <c r="Q448" s="114"/>
      <c r="R448" s="113"/>
      <c r="S448" s="113"/>
      <c r="T448" s="113"/>
      <c r="U448" s="113"/>
      <c r="V448" s="113"/>
      <c r="W448" s="113"/>
      <c r="X448" s="113"/>
      <c r="Y448" s="113"/>
      <c r="Z448" s="113"/>
    </row>
    <row r="449" spans="1:26" x14ac:dyDescent="0.25">
      <c r="A449" s="89"/>
      <c r="B449" s="89"/>
      <c r="C449" s="89"/>
      <c r="D449" s="114"/>
      <c r="E449" s="114"/>
      <c r="F449" s="114"/>
      <c r="G449" s="114"/>
      <c r="I449" s="114"/>
      <c r="J449" s="114"/>
      <c r="K449" s="114"/>
      <c r="L449" s="114"/>
      <c r="M449" s="113"/>
      <c r="N449" s="114"/>
      <c r="O449" s="113"/>
      <c r="P449" s="113"/>
      <c r="Q449" s="114"/>
      <c r="R449" s="113"/>
      <c r="S449" s="113"/>
      <c r="T449" s="113"/>
      <c r="U449" s="113"/>
      <c r="V449" s="113"/>
      <c r="W449" s="113"/>
      <c r="X449" s="113"/>
      <c r="Y449" s="113"/>
      <c r="Z449" s="113"/>
    </row>
    <row r="450" spans="1:26" x14ac:dyDescent="0.25">
      <c r="A450" s="89"/>
      <c r="B450" s="89"/>
      <c r="C450" s="89"/>
      <c r="D450" s="114"/>
      <c r="E450" s="114"/>
      <c r="F450" s="114"/>
      <c r="G450" s="114"/>
      <c r="I450" s="114"/>
      <c r="J450" s="114"/>
      <c r="K450" s="114"/>
      <c r="L450" s="114"/>
      <c r="M450" s="113"/>
      <c r="N450" s="114"/>
      <c r="O450" s="113"/>
      <c r="P450" s="113"/>
      <c r="Q450" s="114"/>
      <c r="R450" s="113"/>
      <c r="S450" s="113"/>
      <c r="T450" s="113"/>
      <c r="U450" s="113"/>
      <c r="V450" s="113"/>
      <c r="W450" s="113"/>
      <c r="X450" s="113"/>
      <c r="Y450" s="113"/>
      <c r="Z450" s="113"/>
    </row>
    <row r="451" spans="1:26" x14ac:dyDescent="0.25">
      <c r="A451" s="89"/>
      <c r="B451" s="89"/>
      <c r="C451" s="89"/>
      <c r="D451" s="114"/>
      <c r="E451" s="114"/>
      <c r="F451" s="114"/>
      <c r="G451" s="114"/>
      <c r="I451" s="114"/>
      <c r="J451" s="114"/>
      <c r="K451" s="114"/>
      <c r="L451" s="114"/>
      <c r="M451" s="113"/>
      <c r="N451" s="114"/>
      <c r="O451" s="113"/>
      <c r="P451" s="113"/>
      <c r="Q451" s="114"/>
      <c r="R451" s="113"/>
      <c r="S451" s="113"/>
      <c r="T451" s="113"/>
      <c r="U451" s="113"/>
      <c r="V451" s="113"/>
      <c r="W451" s="113"/>
      <c r="X451" s="113"/>
      <c r="Y451" s="113"/>
      <c r="Z451" s="113"/>
    </row>
    <row r="452" spans="1:26" x14ac:dyDescent="0.25">
      <c r="A452" s="89"/>
      <c r="B452" s="89"/>
      <c r="C452" s="89"/>
      <c r="D452" s="114"/>
      <c r="E452" s="114"/>
      <c r="F452" s="114"/>
      <c r="G452" s="114"/>
      <c r="I452" s="114"/>
      <c r="J452" s="114"/>
      <c r="K452" s="114"/>
      <c r="L452" s="114"/>
      <c r="M452" s="113"/>
      <c r="N452" s="114"/>
      <c r="O452" s="113"/>
      <c r="P452" s="113"/>
      <c r="Q452" s="114"/>
      <c r="R452" s="113"/>
      <c r="S452" s="113"/>
      <c r="T452" s="113"/>
      <c r="U452" s="113"/>
      <c r="V452" s="113"/>
      <c r="W452" s="113"/>
      <c r="X452" s="113"/>
      <c r="Y452" s="113"/>
      <c r="Z452" s="113"/>
    </row>
    <row r="453" spans="1:26" x14ac:dyDescent="0.25">
      <c r="A453" s="89"/>
      <c r="B453" s="89"/>
      <c r="C453" s="89"/>
      <c r="D453" s="114"/>
      <c r="E453" s="114"/>
      <c r="F453" s="114"/>
      <c r="G453" s="114"/>
      <c r="I453" s="114"/>
      <c r="J453" s="114"/>
      <c r="K453" s="114"/>
      <c r="L453" s="114"/>
      <c r="M453" s="113"/>
      <c r="N453" s="114"/>
      <c r="O453" s="113"/>
      <c r="P453" s="113"/>
      <c r="Q453" s="114"/>
      <c r="R453" s="113"/>
      <c r="S453" s="113"/>
      <c r="T453" s="113"/>
      <c r="U453" s="113"/>
      <c r="V453" s="113"/>
      <c r="W453" s="113"/>
      <c r="X453" s="113"/>
      <c r="Y453" s="113"/>
      <c r="Z453" s="113"/>
    </row>
    <row r="454" spans="1:26" x14ac:dyDescent="0.25">
      <c r="A454" s="89"/>
      <c r="B454" s="89"/>
      <c r="C454" s="89"/>
      <c r="D454" s="114"/>
      <c r="E454" s="114"/>
      <c r="F454" s="114"/>
      <c r="G454" s="114"/>
      <c r="I454" s="114"/>
      <c r="J454" s="114"/>
      <c r="K454" s="114"/>
      <c r="L454" s="114"/>
      <c r="M454" s="113"/>
      <c r="N454" s="114"/>
      <c r="O454" s="113"/>
      <c r="P454" s="113"/>
      <c r="Q454" s="114"/>
      <c r="R454" s="113"/>
      <c r="S454" s="113"/>
      <c r="T454" s="113"/>
      <c r="U454" s="113"/>
      <c r="V454" s="113"/>
      <c r="W454" s="113"/>
      <c r="X454" s="113"/>
      <c r="Y454" s="113"/>
      <c r="Z454" s="113"/>
    </row>
    <row r="455" spans="1:26" x14ac:dyDescent="0.25">
      <c r="A455" s="89"/>
      <c r="B455" s="89"/>
      <c r="C455" s="89"/>
      <c r="D455" s="114"/>
      <c r="E455" s="114"/>
      <c r="F455" s="114"/>
      <c r="G455" s="114"/>
      <c r="I455" s="114"/>
      <c r="J455" s="114"/>
      <c r="K455" s="114"/>
      <c r="L455" s="114"/>
      <c r="M455" s="113"/>
      <c r="N455" s="114"/>
      <c r="O455" s="113"/>
      <c r="P455" s="113"/>
      <c r="Q455" s="114"/>
      <c r="R455" s="113"/>
      <c r="S455" s="113"/>
      <c r="T455" s="113"/>
      <c r="U455" s="113"/>
      <c r="V455" s="113"/>
      <c r="W455" s="113"/>
      <c r="X455" s="113"/>
      <c r="Y455" s="113"/>
      <c r="Z455" s="113"/>
    </row>
    <row r="456" spans="1:26" x14ac:dyDescent="0.25">
      <c r="A456" s="89"/>
      <c r="B456" s="89"/>
      <c r="C456" s="89"/>
      <c r="D456" s="114"/>
      <c r="E456" s="114"/>
      <c r="F456" s="114"/>
      <c r="G456" s="114"/>
      <c r="I456" s="114"/>
      <c r="J456" s="114"/>
      <c r="K456" s="114"/>
      <c r="L456" s="114"/>
      <c r="M456" s="113"/>
      <c r="N456" s="114"/>
      <c r="O456" s="113"/>
      <c r="P456" s="113"/>
      <c r="Q456" s="114"/>
      <c r="R456" s="113"/>
      <c r="S456" s="113"/>
      <c r="T456" s="113"/>
      <c r="U456" s="113"/>
      <c r="V456" s="113"/>
      <c r="W456" s="113"/>
      <c r="X456" s="113"/>
      <c r="Y456" s="113"/>
      <c r="Z456" s="113"/>
    </row>
    <row r="457" spans="1:26" x14ac:dyDescent="0.25">
      <c r="A457" s="89"/>
      <c r="B457" s="89"/>
      <c r="C457" s="89"/>
      <c r="D457" s="114"/>
      <c r="E457" s="114"/>
      <c r="F457" s="114"/>
      <c r="G457" s="114"/>
      <c r="I457" s="114"/>
      <c r="J457" s="114"/>
      <c r="K457" s="114"/>
      <c r="L457" s="114"/>
      <c r="M457" s="113"/>
      <c r="N457" s="114"/>
      <c r="O457" s="113"/>
      <c r="P457" s="113"/>
      <c r="Q457" s="114"/>
      <c r="R457" s="113"/>
      <c r="S457" s="113"/>
      <c r="T457" s="113"/>
      <c r="U457" s="113"/>
      <c r="V457" s="113"/>
      <c r="W457" s="113"/>
      <c r="X457" s="113"/>
      <c r="Y457" s="113"/>
      <c r="Z457" s="113"/>
    </row>
    <row r="458" spans="1:26" x14ac:dyDescent="0.25">
      <c r="A458" s="89"/>
      <c r="B458" s="89"/>
      <c r="C458" s="89"/>
      <c r="D458" s="114"/>
      <c r="E458" s="114"/>
      <c r="F458" s="114"/>
      <c r="G458" s="114"/>
      <c r="I458" s="114"/>
      <c r="J458" s="114"/>
      <c r="K458" s="114"/>
      <c r="L458" s="114"/>
      <c r="M458" s="113"/>
      <c r="N458" s="114"/>
      <c r="O458" s="113"/>
      <c r="P458" s="113"/>
      <c r="Q458" s="114"/>
      <c r="R458" s="113"/>
      <c r="S458" s="113"/>
      <c r="T458" s="113"/>
      <c r="U458" s="113"/>
      <c r="V458" s="113"/>
      <c r="W458" s="113"/>
      <c r="X458" s="113"/>
      <c r="Y458" s="113"/>
      <c r="Z458" s="113"/>
    </row>
    <row r="459" spans="1:26" x14ac:dyDescent="0.25">
      <c r="A459" s="89"/>
      <c r="B459" s="89"/>
      <c r="C459" s="89"/>
      <c r="D459" s="114"/>
      <c r="E459" s="114"/>
      <c r="F459" s="114"/>
      <c r="G459" s="114"/>
      <c r="I459" s="114"/>
      <c r="J459" s="114"/>
      <c r="K459" s="114"/>
      <c r="L459" s="114"/>
      <c r="M459" s="113"/>
      <c r="N459" s="114"/>
      <c r="O459" s="113"/>
      <c r="P459" s="113"/>
      <c r="Q459" s="114"/>
      <c r="R459" s="113"/>
      <c r="S459" s="113"/>
      <c r="T459" s="113"/>
      <c r="U459" s="113"/>
      <c r="V459" s="113"/>
      <c r="W459" s="113"/>
      <c r="X459" s="113"/>
      <c r="Y459" s="113"/>
      <c r="Z459" s="113"/>
    </row>
    <row r="460" spans="1:26" x14ac:dyDescent="0.25">
      <c r="A460" s="89"/>
      <c r="B460" s="89"/>
      <c r="C460" s="89"/>
      <c r="D460" s="114"/>
      <c r="E460" s="114"/>
      <c r="F460" s="114"/>
      <c r="G460" s="114"/>
      <c r="I460" s="114"/>
      <c r="J460" s="114"/>
      <c r="K460" s="114"/>
      <c r="L460" s="114"/>
      <c r="M460" s="113"/>
      <c r="N460" s="114"/>
      <c r="O460" s="113"/>
      <c r="P460" s="113"/>
      <c r="Q460" s="114"/>
      <c r="R460" s="113"/>
      <c r="S460" s="113"/>
      <c r="T460" s="113"/>
      <c r="U460" s="113"/>
      <c r="V460" s="113"/>
      <c r="W460" s="113"/>
      <c r="X460" s="113"/>
      <c r="Y460" s="113"/>
      <c r="Z460" s="113"/>
    </row>
    <row r="461" spans="1:26" x14ac:dyDescent="0.25">
      <c r="A461" s="89"/>
      <c r="B461" s="89"/>
      <c r="C461" s="89"/>
      <c r="D461" s="114"/>
      <c r="E461" s="114"/>
      <c r="F461" s="114"/>
      <c r="G461" s="114"/>
      <c r="I461" s="114"/>
      <c r="J461" s="114"/>
      <c r="K461" s="114"/>
      <c r="L461" s="114"/>
      <c r="M461" s="113"/>
      <c r="N461" s="114"/>
      <c r="O461" s="113"/>
      <c r="P461" s="113"/>
      <c r="Q461" s="114"/>
      <c r="R461" s="113"/>
      <c r="S461" s="113"/>
      <c r="T461" s="113"/>
      <c r="U461" s="113"/>
      <c r="V461" s="113"/>
      <c r="W461" s="113"/>
      <c r="X461" s="113"/>
      <c r="Y461" s="113"/>
      <c r="Z461" s="113"/>
    </row>
    <row r="462" spans="1:26" x14ac:dyDescent="0.25">
      <c r="A462" s="89"/>
      <c r="B462" s="89"/>
      <c r="C462" s="89"/>
      <c r="D462" s="114"/>
      <c r="E462" s="114"/>
      <c r="F462" s="114"/>
      <c r="G462" s="114"/>
      <c r="I462" s="114"/>
      <c r="J462" s="114"/>
      <c r="K462" s="114"/>
      <c r="L462" s="114"/>
      <c r="M462" s="113"/>
      <c r="N462" s="114"/>
      <c r="O462" s="113"/>
      <c r="P462" s="113"/>
      <c r="Q462" s="114"/>
      <c r="R462" s="113"/>
      <c r="S462" s="113"/>
      <c r="T462" s="113"/>
      <c r="U462" s="113"/>
      <c r="V462" s="113"/>
      <c r="W462" s="113"/>
      <c r="X462" s="113"/>
      <c r="Y462" s="113"/>
      <c r="Z462" s="113"/>
    </row>
    <row r="463" spans="1:26" x14ac:dyDescent="0.25">
      <c r="A463" s="89"/>
      <c r="B463" s="89"/>
      <c r="C463" s="89"/>
      <c r="D463" s="114"/>
      <c r="E463" s="114"/>
      <c r="F463" s="114"/>
      <c r="G463" s="114"/>
      <c r="I463" s="114"/>
      <c r="J463" s="114"/>
      <c r="K463" s="114"/>
      <c r="L463" s="114"/>
      <c r="M463" s="113"/>
      <c r="N463" s="114"/>
      <c r="O463" s="113"/>
      <c r="P463" s="113"/>
      <c r="Q463" s="114"/>
      <c r="R463" s="113"/>
      <c r="S463" s="113"/>
      <c r="T463" s="113"/>
      <c r="U463" s="113"/>
      <c r="V463" s="113"/>
      <c r="W463" s="113"/>
      <c r="X463" s="113"/>
      <c r="Y463" s="113"/>
      <c r="Z463" s="113"/>
    </row>
    <row r="464" spans="1:26" x14ac:dyDescent="0.25">
      <c r="A464" s="89"/>
      <c r="B464" s="89"/>
      <c r="C464" s="89"/>
      <c r="D464" s="114"/>
      <c r="E464" s="114"/>
      <c r="F464" s="114"/>
      <c r="G464" s="114"/>
      <c r="I464" s="114"/>
      <c r="J464" s="114"/>
      <c r="K464" s="114"/>
      <c r="L464" s="114"/>
      <c r="M464" s="113"/>
      <c r="N464" s="114"/>
      <c r="O464" s="113"/>
      <c r="P464" s="113"/>
      <c r="Q464" s="114"/>
      <c r="R464" s="113"/>
      <c r="S464" s="113"/>
      <c r="T464" s="113"/>
      <c r="U464" s="113"/>
      <c r="V464" s="113"/>
      <c r="W464" s="113"/>
      <c r="X464" s="113"/>
      <c r="Y464" s="113"/>
      <c r="Z464" s="113"/>
    </row>
    <row r="465" spans="1:26" x14ac:dyDescent="0.25">
      <c r="A465" s="89"/>
      <c r="B465" s="89"/>
      <c r="C465" s="89"/>
      <c r="D465" s="114"/>
      <c r="E465" s="114"/>
      <c r="F465" s="114"/>
      <c r="G465" s="114"/>
      <c r="I465" s="114"/>
      <c r="J465" s="114"/>
      <c r="K465" s="114"/>
      <c r="L465" s="114"/>
      <c r="M465" s="113"/>
      <c r="N465" s="114"/>
      <c r="O465" s="113"/>
      <c r="P465" s="113"/>
      <c r="Q465" s="114"/>
      <c r="R465" s="113"/>
      <c r="S465" s="113"/>
      <c r="T465" s="113"/>
      <c r="U465" s="113"/>
      <c r="V465" s="113"/>
      <c r="W465" s="113"/>
      <c r="X465" s="113"/>
      <c r="Y465" s="113"/>
      <c r="Z465" s="113"/>
    </row>
    <row r="466" spans="1:26" x14ac:dyDescent="0.25">
      <c r="A466" s="89"/>
      <c r="B466" s="89"/>
      <c r="C466" s="89"/>
      <c r="D466" s="114"/>
      <c r="E466" s="114"/>
      <c r="F466" s="114"/>
      <c r="G466" s="114"/>
      <c r="I466" s="114"/>
      <c r="J466" s="114"/>
      <c r="K466" s="114"/>
      <c r="L466" s="114"/>
      <c r="M466" s="113"/>
      <c r="N466" s="114"/>
      <c r="O466" s="113"/>
      <c r="P466" s="113"/>
      <c r="Q466" s="114"/>
      <c r="R466" s="113"/>
      <c r="S466" s="113"/>
      <c r="T466" s="113"/>
      <c r="U466" s="113"/>
      <c r="V466" s="113"/>
      <c r="W466" s="113"/>
      <c r="X466" s="113"/>
      <c r="Y466" s="113"/>
      <c r="Z466" s="113"/>
    </row>
    <row r="467" spans="1:26" x14ac:dyDescent="0.25">
      <c r="A467" s="89"/>
      <c r="B467" s="89"/>
      <c r="C467" s="89"/>
      <c r="D467" s="114"/>
      <c r="E467" s="114"/>
      <c r="F467" s="114"/>
      <c r="G467" s="114"/>
      <c r="I467" s="114"/>
      <c r="J467" s="114"/>
      <c r="K467" s="114"/>
      <c r="L467" s="114"/>
      <c r="M467" s="113"/>
      <c r="N467" s="114"/>
      <c r="O467" s="113"/>
      <c r="P467" s="113"/>
      <c r="Q467" s="114"/>
      <c r="R467" s="113"/>
      <c r="S467" s="113"/>
      <c r="T467" s="113"/>
      <c r="U467" s="113"/>
      <c r="V467" s="113"/>
      <c r="W467" s="113"/>
      <c r="X467" s="113"/>
      <c r="Y467" s="113"/>
      <c r="Z467" s="113"/>
    </row>
    <row r="468" spans="1:26" x14ac:dyDescent="0.25">
      <c r="A468" s="89"/>
      <c r="B468" s="89"/>
      <c r="C468" s="89"/>
      <c r="D468" s="114"/>
      <c r="E468" s="114"/>
      <c r="F468" s="114"/>
      <c r="G468" s="114"/>
      <c r="I468" s="114"/>
      <c r="J468" s="114"/>
      <c r="K468" s="114"/>
      <c r="L468" s="114"/>
      <c r="M468" s="113"/>
      <c r="N468" s="114"/>
      <c r="O468" s="113"/>
      <c r="P468" s="113"/>
      <c r="Q468" s="114"/>
      <c r="R468" s="113"/>
      <c r="S468" s="113"/>
      <c r="T468" s="113"/>
      <c r="U468" s="113"/>
      <c r="V468" s="113"/>
      <c r="W468" s="113"/>
      <c r="X468" s="113"/>
      <c r="Y468" s="113"/>
      <c r="Z468" s="113"/>
    </row>
    <row r="469" spans="1:26" x14ac:dyDescent="0.25">
      <c r="A469" s="89"/>
      <c r="B469" s="89"/>
      <c r="C469" s="89"/>
      <c r="D469" s="114"/>
      <c r="E469" s="114"/>
      <c r="F469" s="114"/>
      <c r="G469" s="114"/>
      <c r="I469" s="114"/>
      <c r="J469" s="114"/>
      <c r="K469" s="114"/>
      <c r="L469" s="114"/>
      <c r="M469" s="113"/>
      <c r="N469" s="114"/>
      <c r="O469" s="113"/>
      <c r="P469" s="113"/>
      <c r="Q469" s="114"/>
      <c r="R469" s="113"/>
      <c r="S469" s="113"/>
      <c r="T469" s="113"/>
      <c r="U469" s="113"/>
      <c r="V469" s="113"/>
      <c r="W469" s="113"/>
      <c r="X469" s="113"/>
      <c r="Y469" s="113"/>
      <c r="Z469" s="113"/>
    </row>
    <row r="470" spans="1:26" x14ac:dyDescent="0.25">
      <c r="A470" s="89"/>
      <c r="B470" s="89"/>
      <c r="C470" s="89"/>
      <c r="D470" s="114"/>
      <c r="E470" s="114"/>
      <c r="F470" s="114"/>
      <c r="G470" s="114"/>
      <c r="I470" s="114"/>
      <c r="J470" s="114"/>
      <c r="K470" s="114"/>
      <c r="L470" s="114"/>
      <c r="M470" s="113"/>
      <c r="N470" s="114"/>
      <c r="O470" s="113"/>
      <c r="P470" s="113"/>
      <c r="Q470" s="114"/>
      <c r="R470" s="113"/>
      <c r="S470" s="113"/>
      <c r="T470" s="113"/>
      <c r="U470" s="113"/>
      <c r="V470" s="113"/>
      <c r="W470" s="113"/>
      <c r="X470" s="113"/>
      <c r="Y470" s="113"/>
      <c r="Z470" s="113"/>
    </row>
    <row r="471" spans="1:26" x14ac:dyDescent="0.25">
      <c r="A471" s="89"/>
      <c r="B471" s="89"/>
      <c r="C471" s="89"/>
      <c r="D471" s="114"/>
      <c r="E471" s="114"/>
      <c r="F471" s="114"/>
      <c r="G471" s="114"/>
      <c r="I471" s="114"/>
      <c r="J471" s="114"/>
      <c r="K471" s="114"/>
      <c r="L471" s="114"/>
      <c r="M471" s="113"/>
      <c r="N471" s="114"/>
      <c r="O471" s="113"/>
      <c r="P471" s="113"/>
      <c r="Q471" s="114"/>
      <c r="R471" s="113"/>
      <c r="S471" s="113"/>
      <c r="T471" s="113"/>
      <c r="U471" s="113"/>
      <c r="V471" s="113"/>
      <c r="W471" s="113"/>
      <c r="X471" s="113"/>
      <c r="Y471" s="113"/>
      <c r="Z471" s="113"/>
    </row>
    <row r="472" spans="1:26" x14ac:dyDescent="0.25">
      <c r="A472" s="89"/>
      <c r="B472" s="89"/>
      <c r="C472" s="89"/>
      <c r="D472" s="114"/>
      <c r="E472" s="114"/>
      <c r="F472" s="114"/>
      <c r="G472" s="114"/>
      <c r="I472" s="114"/>
      <c r="J472" s="114"/>
      <c r="K472" s="114"/>
      <c r="L472" s="114"/>
      <c r="M472" s="113"/>
      <c r="N472" s="114"/>
      <c r="O472" s="113"/>
      <c r="P472" s="113"/>
      <c r="Q472" s="114"/>
      <c r="R472" s="113"/>
      <c r="S472" s="113"/>
      <c r="T472" s="113"/>
      <c r="U472" s="113"/>
      <c r="V472" s="113"/>
      <c r="W472" s="113"/>
      <c r="X472" s="113"/>
      <c r="Y472" s="113"/>
      <c r="Z472" s="113"/>
    </row>
    <row r="473" spans="1:26" x14ac:dyDescent="0.25">
      <c r="A473" s="89"/>
      <c r="B473" s="89"/>
      <c r="C473" s="89"/>
      <c r="D473" s="114"/>
      <c r="E473" s="114"/>
      <c r="F473" s="114"/>
      <c r="G473" s="114"/>
      <c r="I473" s="114"/>
      <c r="J473" s="114"/>
      <c r="K473" s="114"/>
      <c r="L473" s="114"/>
      <c r="M473" s="113"/>
      <c r="N473" s="114"/>
      <c r="O473" s="113"/>
      <c r="P473" s="113"/>
      <c r="Q473" s="114"/>
      <c r="R473" s="113"/>
      <c r="S473" s="113"/>
      <c r="T473" s="113"/>
      <c r="U473" s="113"/>
      <c r="V473" s="113"/>
      <c r="W473" s="113"/>
      <c r="X473" s="113"/>
      <c r="Y473" s="113"/>
      <c r="Z473" s="113"/>
    </row>
    <row r="474" spans="1:26" x14ac:dyDescent="0.25">
      <c r="A474" s="89"/>
      <c r="B474" s="89"/>
      <c r="C474" s="89"/>
      <c r="D474" s="114"/>
      <c r="E474" s="114"/>
      <c r="F474" s="114"/>
      <c r="G474" s="114"/>
      <c r="I474" s="114"/>
      <c r="J474" s="114"/>
      <c r="K474" s="114"/>
      <c r="L474" s="114"/>
      <c r="M474" s="113"/>
      <c r="N474" s="114"/>
      <c r="O474" s="113"/>
      <c r="P474" s="113"/>
      <c r="Q474" s="114"/>
      <c r="R474" s="113"/>
      <c r="S474" s="113"/>
      <c r="T474" s="113"/>
      <c r="U474" s="113"/>
      <c r="V474" s="113"/>
      <c r="W474" s="113"/>
      <c r="X474" s="113"/>
      <c r="Y474" s="113"/>
      <c r="Z474" s="113"/>
    </row>
    <row r="475" spans="1:26" x14ac:dyDescent="0.25">
      <c r="A475" s="89"/>
      <c r="B475" s="89"/>
      <c r="C475" s="89"/>
      <c r="D475" s="114"/>
      <c r="E475" s="114"/>
      <c r="F475" s="114"/>
      <c r="G475" s="114"/>
      <c r="I475" s="114"/>
      <c r="J475" s="114"/>
      <c r="K475" s="114"/>
      <c r="L475" s="114"/>
      <c r="M475" s="113"/>
      <c r="N475" s="114"/>
      <c r="O475" s="113"/>
      <c r="P475" s="113"/>
      <c r="Q475" s="114"/>
      <c r="R475" s="113"/>
      <c r="S475" s="113"/>
      <c r="T475" s="113"/>
      <c r="U475" s="113"/>
      <c r="V475" s="113"/>
      <c r="W475" s="113"/>
      <c r="X475" s="113"/>
      <c r="Y475" s="113"/>
      <c r="Z475" s="113"/>
    </row>
    <row r="476" spans="1:26" x14ac:dyDescent="0.25">
      <c r="A476" s="89"/>
      <c r="B476" s="89"/>
      <c r="C476" s="89"/>
      <c r="D476" s="114"/>
      <c r="E476" s="114"/>
      <c r="F476" s="114"/>
      <c r="G476" s="114"/>
      <c r="I476" s="114"/>
      <c r="J476" s="114"/>
      <c r="K476" s="114"/>
      <c r="L476" s="114"/>
      <c r="M476" s="113"/>
      <c r="N476" s="114"/>
      <c r="O476" s="113"/>
      <c r="P476" s="113"/>
      <c r="Q476" s="114"/>
      <c r="R476" s="113"/>
      <c r="S476" s="113"/>
      <c r="T476" s="113"/>
      <c r="U476" s="113"/>
      <c r="V476" s="113"/>
      <c r="W476" s="113"/>
      <c r="X476" s="113"/>
      <c r="Y476" s="113"/>
      <c r="Z476" s="113"/>
    </row>
    <row r="477" spans="1:26" x14ac:dyDescent="0.25">
      <c r="A477" s="89"/>
      <c r="B477" s="89"/>
      <c r="C477" s="89"/>
      <c r="D477" s="114"/>
      <c r="E477" s="114"/>
      <c r="F477" s="114"/>
      <c r="G477" s="114"/>
      <c r="I477" s="114"/>
      <c r="J477" s="114"/>
      <c r="K477" s="114"/>
      <c r="L477" s="114"/>
      <c r="M477" s="113"/>
      <c r="N477" s="114"/>
      <c r="O477" s="113"/>
      <c r="P477" s="113"/>
      <c r="Q477" s="114"/>
      <c r="R477" s="113"/>
      <c r="S477" s="113"/>
      <c r="T477" s="113"/>
      <c r="U477" s="113"/>
      <c r="V477" s="113"/>
      <c r="W477" s="113"/>
      <c r="X477" s="113"/>
      <c r="Y477" s="113"/>
      <c r="Z477" s="113"/>
    </row>
    <row r="478" spans="1:26" x14ac:dyDescent="0.25">
      <c r="A478" s="89"/>
      <c r="B478" s="89"/>
      <c r="C478" s="89"/>
      <c r="D478" s="114"/>
      <c r="E478" s="114"/>
      <c r="F478" s="114"/>
      <c r="G478" s="114"/>
      <c r="I478" s="114"/>
      <c r="J478" s="114"/>
      <c r="K478" s="114"/>
      <c r="L478" s="114"/>
      <c r="M478" s="113"/>
      <c r="N478" s="114"/>
      <c r="O478" s="113"/>
      <c r="P478" s="113"/>
      <c r="Q478" s="114"/>
      <c r="R478" s="113"/>
      <c r="S478" s="113"/>
      <c r="T478" s="113"/>
      <c r="U478" s="113"/>
      <c r="V478" s="113"/>
      <c r="W478" s="113"/>
      <c r="X478" s="113"/>
      <c r="Y478" s="113"/>
      <c r="Z478" s="113"/>
    </row>
    <row r="479" spans="1:26" x14ac:dyDescent="0.25">
      <c r="A479" s="89"/>
      <c r="B479" s="89"/>
      <c r="C479" s="89"/>
      <c r="D479" s="114"/>
      <c r="E479" s="114"/>
      <c r="F479" s="114"/>
      <c r="G479" s="114"/>
      <c r="I479" s="114"/>
      <c r="J479" s="114"/>
      <c r="K479" s="114"/>
      <c r="L479" s="114"/>
      <c r="M479" s="113"/>
      <c r="N479" s="114"/>
      <c r="O479" s="113"/>
      <c r="P479" s="113"/>
      <c r="Q479" s="114"/>
      <c r="R479" s="113"/>
      <c r="S479" s="113"/>
      <c r="T479" s="113"/>
      <c r="U479" s="113"/>
      <c r="V479" s="113"/>
      <c r="W479" s="113"/>
      <c r="X479" s="113"/>
      <c r="Y479" s="113"/>
      <c r="Z479" s="113"/>
    </row>
    <row r="480" spans="1:26" x14ac:dyDescent="0.25">
      <c r="A480" s="89"/>
      <c r="B480" s="89"/>
      <c r="C480" s="89"/>
      <c r="D480" s="114"/>
      <c r="E480" s="114"/>
      <c r="F480" s="114"/>
      <c r="G480" s="114"/>
      <c r="I480" s="114"/>
      <c r="J480" s="114"/>
      <c r="K480" s="114"/>
      <c r="L480" s="114"/>
      <c r="M480" s="113"/>
      <c r="N480" s="114"/>
      <c r="O480" s="113"/>
      <c r="P480" s="113"/>
      <c r="Q480" s="114"/>
      <c r="R480" s="113"/>
      <c r="S480" s="113"/>
      <c r="T480" s="113"/>
      <c r="U480" s="113"/>
      <c r="V480" s="113"/>
      <c r="W480" s="113"/>
      <c r="X480" s="113"/>
      <c r="Y480" s="113"/>
      <c r="Z480" s="113"/>
    </row>
    <row r="481" spans="1:26" x14ac:dyDescent="0.25">
      <c r="A481" s="89"/>
      <c r="B481" s="89"/>
      <c r="C481" s="89"/>
      <c r="D481" s="114"/>
      <c r="E481" s="114"/>
      <c r="F481" s="114"/>
      <c r="G481" s="114"/>
      <c r="I481" s="114"/>
      <c r="J481" s="114"/>
      <c r="K481" s="114"/>
      <c r="L481" s="114"/>
      <c r="M481" s="113"/>
      <c r="N481" s="114"/>
      <c r="O481" s="113"/>
      <c r="P481" s="113"/>
      <c r="Q481" s="114"/>
      <c r="R481" s="113"/>
      <c r="S481" s="113"/>
      <c r="T481" s="113"/>
      <c r="U481" s="113"/>
      <c r="V481" s="113"/>
      <c r="W481" s="113"/>
      <c r="X481" s="113"/>
      <c r="Y481" s="113"/>
      <c r="Z481" s="113"/>
    </row>
    <row r="482" spans="1:26" x14ac:dyDescent="0.25">
      <c r="A482" s="89"/>
      <c r="B482" s="89"/>
      <c r="C482" s="89"/>
      <c r="D482" s="114"/>
      <c r="E482" s="114"/>
      <c r="F482" s="114"/>
      <c r="G482" s="114"/>
      <c r="I482" s="114"/>
      <c r="J482" s="114"/>
      <c r="K482" s="114"/>
      <c r="L482" s="114"/>
      <c r="M482" s="113"/>
      <c r="N482" s="114"/>
      <c r="O482" s="113"/>
      <c r="P482" s="113"/>
      <c r="Q482" s="114"/>
      <c r="R482" s="113"/>
      <c r="S482" s="113"/>
      <c r="T482" s="113"/>
      <c r="U482" s="113"/>
      <c r="V482" s="113"/>
      <c r="W482" s="113"/>
      <c r="X482" s="113"/>
      <c r="Y482" s="113"/>
      <c r="Z482" s="113"/>
    </row>
    <row r="483" spans="1:26" x14ac:dyDescent="0.25">
      <c r="A483" s="89"/>
      <c r="B483" s="89"/>
      <c r="C483" s="89"/>
      <c r="D483" s="114"/>
      <c r="E483" s="114"/>
      <c r="F483" s="114"/>
      <c r="G483" s="114"/>
      <c r="I483" s="114"/>
      <c r="J483" s="114"/>
      <c r="K483" s="114"/>
      <c r="L483" s="114"/>
      <c r="M483" s="113"/>
      <c r="N483" s="114"/>
      <c r="O483" s="113"/>
      <c r="P483" s="113"/>
      <c r="Q483" s="114"/>
      <c r="R483" s="113"/>
      <c r="S483" s="113"/>
      <c r="T483" s="113"/>
      <c r="U483" s="113"/>
      <c r="V483" s="113"/>
      <c r="W483" s="113"/>
      <c r="X483" s="113"/>
      <c r="Y483" s="113"/>
      <c r="Z483" s="113"/>
    </row>
    <row r="484" spans="1:26" x14ac:dyDescent="0.25">
      <c r="A484" s="89"/>
      <c r="B484" s="89"/>
      <c r="C484" s="89"/>
      <c r="D484" s="114"/>
      <c r="E484" s="114"/>
      <c r="F484" s="114"/>
      <c r="G484" s="114"/>
      <c r="I484" s="114"/>
      <c r="J484" s="114"/>
      <c r="K484" s="114"/>
      <c r="L484" s="114"/>
      <c r="M484" s="113"/>
      <c r="N484" s="114"/>
      <c r="O484" s="113"/>
      <c r="P484" s="113"/>
      <c r="Q484" s="114"/>
      <c r="R484" s="113"/>
      <c r="S484" s="113"/>
      <c r="T484" s="113"/>
      <c r="U484" s="113"/>
      <c r="V484" s="113"/>
      <c r="W484" s="113"/>
      <c r="X484" s="113"/>
      <c r="Y484" s="113"/>
      <c r="Z484" s="113"/>
    </row>
    <row r="485" spans="1:26" x14ac:dyDescent="0.25">
      <c r="A485" s="89"/>
      <c r="B485" s="89"/>
      <c r="C485" s="89"/>
      <c r="D485" s="114"/>
      <c r="E485" s="114"/>
      <c r="F485" s="114"/>
      <c r="G485" s="114"/>
      <c r="I485" s="114"/>
      <c r="J485" s="114"/>
      <c r="K485" s="114"/>
      <c r="L485" s="114"/>
      <c r="M485" s="113"/>
      <c r="N485" s="114"/>
      <c r="O485" s="113"/>
      <c r="P485" s="113"/>
      <c r="Q485" s="114"/>
      <c r="R485" s="113"/>
      <c r="S485" s="113"/>
      <c r="T485" s="113"/>
      <c r="U485" s="113"/>
      <c r="V485" s="113"/>
      <c r="W485" s="113"/>
      <c r="X485" s="113"/>
      <c r="Y485" s="113"/>
      <c r="Z485" s="113"/>
    </row>
    <row r="486" spans="1:26" x14ac:dyDescent="0.25">
      <c r="A486" s="89"/>
      <c r="B486" s="89"/>
      <c r="C486" s="89"/>
      <c r="D486" s="114"/>
      <c r="E486" s="114"/>
      <c r="F486" s="114"/>
      <c r="G486" s="114"/>
      <c r="I486" s="114"/>
      <c r="J486" s="114"/>
      <c r="K486" s="114"/>
      <c r="L486" s="114"/>
      <c r="M486" s="113"/>
      <c r="N486" s="114"/>
      <c r="O486" s="113"/>
      <c r="P486" s="113"/>
      <c r="Q486" s="114"/>
      <c r="R486" s="113"/>
      <c r="S486" s="113"/>
      <c r="T486" s="113"/>
      <c r="U486" s="113"/>
      <c r="V486" s="113"/>
      <c r="W486" s="113"/>
      <c r="X486" s="113"/>
      <c r="Y486" s="113"/>
      <c r="Z486" s="113"/>
    </row>
    <row r="487" spans="1:26" x14ac:dyDescent="0.25">
      <c r="A487" s="89"/>
      <c r="B487" s="89"/>
      <c r="C487" s="89"/>
      <c r="D487" s="114"/>
      <c r="E487" s="114"/>
      <c r="F487" s="114"/>
      <c r="G487" s="114"/>
      <c r="I487" s="114"/>
      <c r="J487" s="114"/>
      <c r="K487" s="114"/>
      <c r="L487" s="114"/>
      <c r="M487" s="113"/>
      <c r="N487" s="114"/>
      <c r="O487" s="113"/>
      <c r="P487" s="113"/>
      <c r="Q487" s="114"/>
      <c r="R487" s="113"/>
      <c r="S487" s="113"/>
      <c r="T487" s="113"/>
      <c r="U487" s="113"/>
      <c r="V487" s="113"/>
      <c r="W487" s="113"/>
      <c r="X487" s="113"/>
      <c r="Y487" s="113"/>
      <c r="Z487" s="113"/>
    </row>
    <row r="488" spans="1:26" x14ac:dyDescent="0.25">
      <c r="A488" s="89"/>
      <c r="B488" s="89"/>
      <c r="C488" s="89"/>
      <c r="D488" s="114"/>
      <c r="E488" s="114"/>
      <c r="F488" s="114"/>
      <c r="G488" s="114"/>
      <c r="I488" s="114"/>
      <c r="J488" s="114"/>
      <c r="K488" s="114"/>
      <c r="L488" s="114"/>
      <c r="M488" s="113"/>
      <c r="N488" s="114"/>
      <c r="O488" s="113"/>
      <c r="P488" s="113"/>
      <c r="Q488" s="114"/>
      <c r="R488" s="113"/>
      <c r="S488" s="113"/>
      <c r="T488" s="113"/>
      <c r="U488" s="113"/>
      <c r="V488" s="113"/>
      <c r="W488" s="113"/>
      <c r="X488" s="113"/>
      <c r="Y488" s="113"/>
      <c r="Z488" s="113"/>
    </row>
    <row r="489" spans="1:26" x14ac:dyDescent="0.25">
      <c r="A489" s="89"/>
      <c r="B489" s="89"/>
      <c r="C489" s="89"/>
      <c r="D489" s="114"/>
      <c r="E489" s="114"/>
      <c r="F489" s="114"/>
      <c r="G489" s="114"/>
      <c r="I489" s="114"/>
      <c r="J489" s="114"/>
      <c r="K489" s="114"/>
      <c r="L489" s="114"/>
      <c r="M489" s="113"/>
      <c r="N489" s="114"/>
      <c r="O489" s="113"/>
      <c r="P489" s="113"/>
      <c r="Q489" s="114"/>
      <c r="R489" s="113"/>
      <c r="S489" s="113"/>
      <c r="T489" s="113"/>
      <c r="U489" s="113"/>
      <c r="V489" s="113"/>
      <c r="W489" s="113"/>
      <c r="X489" s="113"/>
      <c r="Y489" s="113"/>
      <c r="Z489" s="113"/>
    </row>
    <row r="490" spans="1:26" x14ac:dyDescent="0.25">
      <c r="A490" s="89"/>
      <c r="B490" s="89"/>
      <c r="C490" s="89"/>
      <c r="D490" s="114"/>
      <c r="E490" s="114"/>
      <c r="F490" s="114"/>
      <c r="G490" s="114"/>
      <c r="I490" s="114"/>
      <c r="J490" s="114"/>
      <c r="K490" s="114"/>
      <c r="L490" s="114"/>
      <c r="M490" s="113"/>
      <c r="N490" s="114"/>
      <c r="O490" s="113"/>
      <c r="P490" s="113"/>
      <c r="Q490" s="114"/>
      <c r="R490" s="113"/>
      <c r="S490" s="113"/>
      <c r="T490" s="113"/>
      <c r="U490" s="113"/>
      <c r="V490" s="113"/>
      <c r="W490" s="113"/>
      <c r="X490" s="113"/>
      <c r="Y490" s="113"/>
      <c r="Z490" s="113"/>
    </row>
    <row r="491" spans="1:26" x14ac:dyDescent="0.25">
      <c r="A491" s="89"/>
      <c r="B491" s="89"/>
      <c r="C491" s="89"/>
      <c r="D491" s="114"/>
      <c r="E491" s="114"/>
      <c r="F491" s="114"/>
      <c r="G491" s="114"/>
      <c r="I491" s="114"/>
      <c r="J491" s="114"/>
      <c r="K491" s="114"/>
      <c r="L491" s="114"/>
      <c r="M491" s="113"/>
      <c r="N491" s="114"/>
      <c r="O491" s="113"/>
      <c r="P491" s="113"/>
      <c r="Q491" s="114"/>
      <c r="R491" s="113"/>
      <c r="S491" s="113"/>
      <c r="T491" s="113"/>
      <c r="U491" s="113"/>
      <c r="V491" s="113"/>
      <c r="W491" s="113"/>
      <c r="X491" s="113"/>
      <c r="Y491" s="113"/>
      <c r="Z491" s="113"/>
    </row>
    <row r="492" spans="1:26" x14ac:dyDescent="0.25">
      <c r="A492" s="89"/>
      <c r="B492" s="89"/>
      <c r="C492" s="89"/>
      <c r="D492" s="114"/>
      <c r="E492" s="114"/>
      <c r="F492" s="114"/>
      <c r="G492" s="114"/>
      <c r="I492" s="114"/>
      <c r="J492" s="114"/>
      <c r="K492" s="114"/>
      <c r="L492" s="114"/>
      <c r="M492" s="113"/>
      <c r="N492" s="114"/>
      <c r="O492" s="113"/>
      <c r="P492" s="113"/>
      <c r="Q492" s="114"/>
      <c r="R492" s="113"/>
      <c r="S492" s="113"/>
      <c r="T492" s="113"/>
      <c r="U492" s="113"/>
      <c r="V492" s="113"/>
      <c r="W492" s="113"/>
      <c r="X492" s="113"/>
      <c r="Y492" s="113"/>
      <c r="Z492" s="113"/>
    </row>
    <row r="493" spans="1:26" x14ac:dyDescent="0.25">
      <c r="A493" s="89"/>
      <c r="B493" s="89"/>
      <c r="C493" s="89"/>
      <c r="D493" s="114"/>
      <c r="E493" s="114"/>
      <c r="F493" s="114"/>
      <c r="G493" s="114"/>
      <c r="I493" s="114"/>
      <c r="J493" s="114"/>
      <c r="K493" s="114"/>
      <c r="L493" s="114"/>
      <c r="M493" s="113"/>
      <c r="N493" s="114"/>
      <c r="O493" s="113"/>
      <c r="P493" s="113"/>
      <c r="Q493" s="114"/>
      <c r="R493" s="113"/>
      <c r="S493" s="113"/>
      <c r="T493" s="113"/>
      <c r="U493" s="113"/>
      <c r="V493" s="113"/>
      <c r="W493" s="113"/>
      <c r="X493" s="113"/>
      <c r="Y493" s="113"/>
      <c r="Z493" s="113"/>
    </row>
    <row r="494" spans="1:26" x14ac:dyDescent="0.25">
      <c r="A494" s="89"/>
      <c r="B494" s="89"/>
      <c r="C494" s="89"/>
      <c r="D494" s="114"/>
      <c r="E494" s="114"/>
      <c r="F494" s="114"/>
      <c r="G494" s="114"/>
      <c r="I494" s="114"/>
      <c r="J494" s="114"/>
      <c r="K494" s="114"/>
      <c r="L494" s="114"/>
      <c r="M494" s="113"/>
      <c r="N494" s="114"/>
      <c r="O494" s="113"/>
      <c r="P494" s="113"/>
      <c r="Q494" s="114"/>
      <c r="R494" s="113"/>
      <c r="S494" s="113"/>
      <c r="T494" s="113"/>
      <c r="U494" s="113"/>
      <c r="V494" s="113"/>
      <c r="W494" s="113"/>
      <c r="X494" s="113"/>
      <c r="Y494" s="113"/>
      <c r="Z494" s="113"/>
    </row>
    <row r="495" spans="1:26" x14ac:dyDescent="0.25">
      <c r="A495" s="89"/>
      <c r="B495" s="89"/>
      <c r="C495" s="89"/>
      <c r="D495" s="114"/>
      <c r="E495" s="114"/>
      <c r="F495" s="114"/>
      <c r="G495" s="114"/>
      <c r="I495" s="114"/>
      <c r="J495" s="114"/>
      <c r="K495" s="114"/>
      <c r="L495" s="114"/>
      <c r="M495" s="113"/>
      <c r="N495" s="114"/>
      <c r="O495" s="113"/>
      <c r="P495" s="113"/>
      <c r="Q495" s="114"/>
      <c r="R495" s="113"/>
      <c r="S495" s="113"/>
      <c r="T495" s="113"/>
      <c r="U495" s="113"/>
      <c r="V495" s="113"/>
      <c r="W495" s="113"/>
      <c r="X495" s="113"/>
      <c r="Y495" s="113"/>
      <c r="Z495" s="113"/>
    </row>
    <row r="496" spans="1:26" x14ac:dyDescent="0.25">
      <c r="A496" s="89"/>
      <c r="B496" s="89"/>
      <c r="C496" s="89"/>
      <c r="D496" s="114"/>
      <c r="E496" s="114"/>
      <c r="F496" s="114"/>
      <c r="G496" s="114"/>
      <c r="I496" s="114"/>
      <c r="J496" s="114"/>
      <c r="K496" s="114"/>
      <c r="L496" s="114"/>
      <c r="M496" s="113"/>
      <c r="N496" s="114"/>
      <c r="O496" s="113"/>
      <c r="P496" s="113"/>
      <c r="Q496" s="114"/>
      <c r="R496" s="113"/>
      <c r="S496" s="113"/>
      <c r="T496" s="113"/>
      <c r="U496" s="113"/>
      <c r="V496" s="113"/>
      <c r="W496" s="113"/>
      <c r="X496" s="113"/>
      <c r="Y496" s="113"/>
      <c r="Z496" s="113"/>
    </row>
    <row r="497" spans="1:26" x14ac:dyDescent="0.25">
      <c r="A497" s="89"/>
      <c r="B497" s="89"/>
      <c r="C497" s="89"/>
      <c r="D497" s="114"/>
      <c r="E497" s="114"/>
      <c r="F497" s="114"/>
      <c r="G497" s="114"/>
      <c r="I497" s="114"/>
      <c r="J497" s="114"/>
      <c r="K497" s="114"/>
      <c r="L497" s="114"/>
      <c r="M497" s="113"/>
      <c r="N497" s="114"/>
      <c r="O497" s="113"/>
      <c r="P497" s="113"/>
      <c r="Q497" s="114"/>
      <c r="R497" s="113"/>
      <c r="S497" s="113"/>
      <c r="T497" s="113"/>
      <c r="U497" s="113"/>
      <c r="V497" s="113"/>
      <c r="W497" s="113"/>
      <c r="X497" s="113"/>
      <c r="Y497" s="113"/>
      <c r="Z497" s="113"/>
    </row>
    <row r="498" spans="1:26" x14ac:dyDescent="0.25">
      <c r="A498" s="89"/>
      <c r="B498" s="89"/>
      <c r="C498" s="89"/>
      <c r="D498" s="114"/>
      <c r="E498" s="114"/>
      <c r="F498" s="114"/>
      <c r="G498" s="114"/>
      <c r="I498" s="114"/>
      <c r="J498" s="114"/>
      <c r="K498" s="114"/>
      <c r="L498" s="114"/>
      <c r="M498" s="113"/>
      <c r="N498" s="114"/>
      <c r="O498" s="113"/>
      <c r="P498" s="113"/>
      <c r="Q498" s="114"/>
      <c r="R498" s="113"/>
      <c r="S498" s="113"/>
      <c r="T498" s="113"/>
      <c r="U498" s="113"/>
      <c r="V498" s="113"/>
      <c r="W498" s="113"/>
      <c r="X498" s="113"/>
      <c r="Y498" s="113"/>
      <c r="Z498" s="113"/>
    </row>
    <row r="499" spans="1:26" x14ac:dyDescent="0.25">
      <c r="A499" s="89"/>
      <c r="B499" s="89"/>
      <c r="C499" s="89"/>
      <c r="D499" s="114"/>
      <c r="E499" s="114"/>
      <c r="F499" s="114"/>
      <c r="G499" s="114"/>
      <c r="I499" s="114"/>
      <c r="J499" s="114"/>
      <c r="K499" s="114"/>
      <c r="L499" s="114"/>
      <c r="M499" s="113"/>
      <c r="N499" s="114"/>
      <c r="O499" s="113"/>
      <c r="P499" s="113"/>
      <c r="Q499" s="114"/>
      <c r="R499" s="113"/>
      <c r="S499" s="113"/>
      <c r="T499" s="113"/>
      <c r="U499" s="113"/>
      <c r="V499" s="113"/>
      <c r="W499" s="113"/>
      <c r="X499" s="113"/>
      <c r="Y499" s="113"/>
      <c r="Z499" s="113"/>
    </row>
    <row r="500" spans="1:26" x14ac:dyDescent="0.25">
      <c r="A500" s="89"/>
      <c r="B500" s="89"/>
      <c r="C500" s="89"/>
      <c r="D500" s="114"/>
      <c r="E500" s="114"/>
      <c r="F500" s="114"/>
      <c r="G500" s="114"/>
      <c r="I500" s="114"/>
      <c r="J500" s="114"/>
      <c r="K500" s="114"/>
      <c r="L500" s="114"/>
      <c r="M500" s="113"/>
      <c r="N500" s="114"/>
      <c r="O500" s="113"/>
      <c r="P500" s="113"/>
      <c r="Q500" s="114"/>
      <c r="R500" s="113"/>
      <c r="S500" s="113"/>
      <c r="T500" s="113"/>
      <c r="U500" s="113"/>
      <c r="V500" s="113"/>
      <c r="W500" s="113"/>
      <c r="X500" s="113"/>
      <c r="Y500" s="113"/>
      <c r="Z500" s="113"/>
    </row>
    <row r="501" spans="1:26" x14ac:dyDescent="0.25">
      <c r="A501" s="89"/>
      <c r="B501" s="89"/>
      <c r="C501" s="89"/>
      <c r="D501" s="114"/>
      <c r="E501" s="114"/>
      <c r="F501" s="114"/>
      <c r="G501" s="114"/>
      <c r="I501" s="114"/>
      <c r="J501" s="114"/>
      <c r="K501" s="114"/>
      <c r="L501" s="114"/>
      <c r="M501" s="113"/>
      <c r="N501" s="114"/>
      <c r="O501" s="113"/>
      <c r="P501" s="113"/>
      <c r="Q501" s="114"/>
      <c r="R501" s="113"/>
      <c r="S501" s="113"/>
      <c r="T501" s="113"/>
      <c r="U501" s="113"/>
      <c r="V501" s="113"/>
      <c r="W501" s="113"/>
      <c r="X501" s="113"/>
      <c r="Y501" s="113"/>
      <c r="Z501" s="113"/>
    </row>
    <row r="502" spans="1:26" x14ac:dyDescent="0.25">
      <c r="A502" s="89"/>
      <c r="B502" s="89"/>
      <c r="C502" s="89"/>
      <c r="D502" s="114"/>
      <c r="E502" s="114"/>
      <c r="F502" s="114"/>
      <c r="G502" s="114"/>
      <c r="I502" s="114"/>
      <c r="J502" s="114"/>
      <c r="K502" s="114"/>
      <c r="L502" s="114"/>
      <c r="M502" s="113"/>
      <c r="N502" s="114"/>
      <c r="O502" s="113"/>
      <c r="P502" s="113"/>
      <c r="Q502" s="114"/>
      <c r="R502" s="113"/>
      <c r="S502" s="113"/>
      <c r="T502" s="113"/>
      <c r="U502" s="113"/>
      <c r="V502" s="113"/>
      <c r="W502" s="113"/>
      <c r="X502" s="113"/>
      <c r="Y502" s="113"/>
      <c r="Z502" s="113"/>
    </row>
    <row r="503" spans="1:26" x14ac:dyDescent="0.25">
      <c r="A503" s="89"/>
      <c r="B503" s="89"/>
      <c r="C503" s="89"/>
      <c r="D503" s="114"/>
      <c r="E503" s="114"/>
      <c r="F503" s="114"/>
      <c r="G503" s="114"/>
      <c r="I503" s="114"/>
      <c r="J503" s="114"/>
      <c r="K503" s="114"/>
      <c r="L503" s="114"/>
      <c r="M503" s="113"/>
      <c r="N503" s="114"/>
      <c r="O503" s="113"/>
      <c r="P503" s="113"/>
      <c r="Q503" s="114"/>
      <c r="R503" s="113"/>
      <c r="S503" s="113"/>
      <c r="T503" s="113"/>
      <c r="U503" s="113"/>
      <c r="V503" s="113"/>
      <c r="W503" s="113"/>
      <c r="X503" s="113"/>
      <c r="Y503" s="113"/>
      <c r="Z503" s="113"/>
    </row>
    <row r="504" spans="1:26" x14ac:dyDescent="0.25">
      <c r="A504" s="89"/>
      <c r="B504" s="89"/>
      <c r="C504" s="89"/>
      <c r="D504" s="114"/>
      <c r="E504" s="114"/>
      <c r="F504" s="114"/>
      <c r="G504" s="114"/>
      <c r="I504" s="114"/>
      <c r="J504" s="114"/>
      <c r="K504" s="114"/>
      <c r="L504" s="114"/>
      <c r="M504" s="113"/>
      <c r="N504" s="114"/>
      <c r="O504" s="113"/>
      <c r="P504" s="113"/>
      <c r="Q504" s="114"/>
      <c r="R504" s="113"/>
      <c r="S504" s="113"/>
      <c r="T504" s="113"/>
      <c r="U504" s="113"/>
      <c r="V504" s="113"/>
      <c r="W504" s="113"/>
      <c r="X504" s="113"/>
      <c r="Y504" s="113"/>
      <c r="Z504" s="113"/>
    </row>
    <row r="505" spans="1:26" x14ac:dyDescent="0.25">
      <c r="A505" s="89"/>
      <c r="B505" s="89"/>
      <c r="C505" s="89"/>
      <c r="D505" s="114"/>
      <c r="E505" s="114"/>
      <c r="F505" s="114"/>
      <c r="G505" s="114"/>
      <c r="I505" s="114"/>
      <c r="J505" s="114"/>
      <c r="K505" s="114"/>
      <c r="L505" s="114"/>
      <c r="M505" s="113"/>
      <c r="N505" s="114"/>
      <c r="O505" s="113"/>
      <c r="P505" s="113"/>
      <c r="Q505" s="114"/>
      <c r="R505" s="113"/>
      <c r="S505" s="113"/>
      <c r="T505" s="113"/>
      <c r="U505" s="113"/>
      <c r="V505" s="113"/>
      <c r="W505" s="113"/>
      <c r="X505" s="113"/>
      <c r="Y505" s="113"/>
      <c r="Z505" s="113"/>
    </row>
    <row r="506" spans="1:26" x14ac:dyDescent="0.25">
      <c r="A506" s="89"/>
      <c r="B506" s="89"/>
      <c r="C506" s="89"/>
      <c r="D506" s="114"/>
      <c r="E506" s="114"/>
      <c r="F506" s="114"/>
      <c r="G506" s="114"/>
      <c r="I506" s="114"/>
      <c r="J506" s="114"/>
      <c r="K506" s="114"/>
      <c r="L506" s="114"/>
      <c r="M506" s="113"/>
      <c r="N506" s="114"/>
      <c r="O506" s="113"/>
      <c r="P506" s="113"/>
      <c r="Q506" s="114"/>
      <c r="R506" s="113"/>
      <c r="S506" s="113"/>
      <c r="T506" s="113"/>
      <c r="U506" s="113"/>
      <c r="V506" s="113"/>
      <c r="W506" s="113"/>
      <c r="X506" s="113"/>
      <c r="Y506" s="113"/>
      <c r="Z506" s="113"/>
    </row>
    <row r="507" spans="1:26" x14ac:dyDescent="0.25">
      <c r="A507" s="89"/>
      <c r="B507" s="89"/>
      <c r="C507" s="89"/>
      <c r="D507" s="114"/>
      <c r="E507" s="114"/>
      <c r="F507" s="114"/>
      <c r="G507" s="114"/>
      <c r="I507" s="114"/>
      <c r="J507" s="114"/>
      <c r="K507" s="114"/>
      <c r="L507" s="114"/>
      <c r="M507" s="113"/>
      <c r="N507" s="114"/>
      <c r="O507" s="113"/>
      <c r="P507" s="113"/>
      <c r="Q507" s="114"/>
      <c r="R507" s="113"/>
      <c r="S507" s="113"/>
      <c r="T507" s="113"/>
      <c r="U507" s="113"/>
      <c r="V507" s="113"/>
      <c r="W507" s="113"/>
      <c r="X507" s="113"/>
      <c r="Y507" s="113"/>
      <c r="Z507" s="113"/>
    </row>
    <row r="508" spans="1:26" x14ac:dyDescent="0.25">
      <c r="A508" s="89"/>
      <c r="B508" s="89"/>
      <c r="C508" s="89"/>
      <c r="D508" s="114"/>
      <c r="E508" s="114"/>
      <c r="F508" s="114"/>
      <c r="G508" s="114"/>
      <c r="I508" s="114"/>
      <c r="J508" s="114"/>
      <c r="K508" s="114"/>
      <c r="L508" s="114"/>
      <c r="M508" s="113"/>
      <c r="N508" s="114"/>
      <c r="O508" s="113"/>
      <c r="P508" s="113"/>
      <c r="Q508" s="114"/>
      <c r="R508" s="113"/>
      <c r="S508" s="113"/>
      <c r="T508" s="113"/>
      <c r="U508" s="113"/>
      <c r="V508" s="113"/>
      <c r="W508" s="113"/>
      <c r="X508" s="113"/>
      <c r="Y508" s="113"/>
      <c r="Z508" s="113"/>
    </row>
    <row r="509" spans="1:26" x14ac:dyDescent="0.25">
      <c r="A509" s="89"/>
      <c r="B509" s="89"/>
      <c r="C509" s="89"/>
      <c r="D509" s="114"/>
      <c r="E509" s="114"/>
      <c r="F509" s="114"/>
      <c r="G509" s="114"/>
      <c r="I509" s="114"/>
      <c r="J509" s="114"/>
      <c r="K509" s="114"/>
      <c r="L509" s="114"/>
      <c r="M509" s="113"/>
      <c r="N509" s="114"/>
      <c r="O509" s="113"/>
      <c r="P509" s="113"/>
      <c r="Q509" s="114"/>
      <c r="R509" s="113"/>
      <c r="S509" s="113"/>
      <c r="T509" s="113"/>
      <c r="U509" s="113"/>
      <c r="V509" s="113"/>
      <c r="W509" s="113"/>
      <c r="X509" s="113"/>
      <c r="Y509" s="113"/>
      <c r="Z509" s="113"/>
    </row>
    <row r="510" spans="1:26" x14ac:dyDescent="0.25">
      <c r="A510" s="89"/>
      <c r="B510" s="89"/>
      <c r="C510" s="89"/>
      <c r="D510" s="114"/>
      <c r="E510" s="114"/>
      <c r="F510" s="114"/>
      <c r="G510" s="114"/>
      <c r="I510" s="114"/>
      <c r="J510" s="114"/>
      <c r="K510" s="114"/>
      <c r="L510" s="114"/>
      <c r="M510" s="113"/>
      <c r="N510" s="114"/>
      <c r="O510" s="113"/>
      <c r="P510" s="113"/>
      <c r="Q510" s="114"/>
      <c r="R510" s="113"/>
      <c r="S510" s="113"/>
      <c r="T510" s="113"/>
      <c r="U510" s="113"/>
      <c r="V510" s="113"/>
      <c r="W510" s="113"/>
      <c r="X510" s="113"/>
      <c r="Y510" s="113"/>
      <c r="Z510" s="113"/>
    </row>
    <row r="511" spans="1:26" x14ac:dyDescent="0.25">
      <c r="A511" s="89"/>
      <c r="B511" s="89"/>
      <c r="C511" s="89"/>
      <c r="D511" s="114"/>
      <c r="E511" s="114"/>
      <c r="F511" s="114"/>
      <c r="G511" s="114"/>
      <c r="I511" s="114"/>
      <c r="J511" s="114"/>
      <c r="K511" s="114"/>
      <c r="L511" s="114"/>
      <c r="M511" s="113"/>
      <c r="N511" s="114"/>
      <c r="O511" s="113"/>
      <c r="P511" s="113"/>
      <c r="Q511" s="114"/>
      <c r="R511" s="113"/>
      <c r="S511" s="113"/>
      <c r="T511" s="113"/>
      <c r="U511" s="113"/>
      <c r="V511" s="113"/>
      <c r="W511" s="113"/>
      <c r="X511" s="113"/>
      <c r="Y511" s="113"/>
      <c r="Z511" s="113"/>
    </row>
    <row r="512" spans="1:26" x14ac:dyDescent="0.25">
      <c r="A512" s="89"/>
      <c r="B512" s="89"/>
      <c r="C512" s="89"/>
      <c r="D512" s="114"/>
      <c r="E512" s="114"/>
      <c r="F512" s="114"/>
      <c r="G512" s="114"/>
      <c r="I512" s="114"/>
      <c r="J512" s="114"/>
      <c r="K512" s="114"/>
      <c r="L512" s="114"/>
      <c r="M512" s="113"/>
      <c r="N512" s="114"/>
      <c r="O512" s="113"/>
      <c r="P512" s="113"/>
      <c r="Q512" s="114"/>
      <c r="R512" s="113"/>
      <c r="S512" s="113"/>
      <c r="T512" s="113"/>
      <c r="U512" s="113"/>
      <c r="V512" s="113"/>
      <c r="W512" s="113"/>
      <c r="X512" s="113"/>
      <c r="Y512" s="113"/>
      <c r="Z512" s="113"/>
    </row>
    <row r="513" spans="1:26" x14ac:dyDescent="0.25">
      <c r="A513" s="89"/>
      <c r="B513" s="89"/>
      <c r="C513" s="89"/>
      <c r="D513" s="114"/>
      <c r="E513" s="114"/>
      <c r="F513" s="114"/>
      <c r="G513" s="114"/>
      <c r="I513" s="114"/>
      <c r="J513" s="114"/>
      <c r="K513" s="114"/>
      <c r="L513" s="114"/>
      <c r="M513" s="113"/>
      <c r="N513" s="114"/>
      <c r="O513" s="113"/>
      <c r="P513" s="113"/>
      <c r="Q513" s="114"/>
      <c r="R513" s="113"/>
      <c r="S513" s="113"/>
      <c r="T513" s="113"/>
      <c r="U513" s="113"/>
      <c r="V513" s="113"/>
      <c r="W513" s="113"/>
      <c r="X513" s="113"/>
      <c r="Y513" s="113"/>
      <c r="Z513" s="113"/>
    </row>
    <row r="514" spans="1:26" x14ac:dyDescent="0.25">
      <c r="A514" s="89"/>
      <c r="B514" s="89"/>
      <c r="C514" s="89"/>
      <c r="D514" s="114"/>
      <c r="E514" s="114"/>
      <c r="F514" s="114"/>
      <c r="G514" s="114"/>
      <c r="I514" s="114"/>
      <c r="J514" s="114"/>
      <c r="K514" s="114"/>
      <c r="L514" s="114"/>
      <c r="M514" s="113"/>
      <c r="N514" s="114"/>
      <c r="O514" s="113"/>
      <c r="P514" s="113"/>
      <c r="Q514" s="114"/>
      <c r="R514" s="113"/>
      <c r="S514" s="113"/>
      <c r="T514" s="113"/>
      <c r="U514" s="113"/>
      <c r="V514" s="113"/>
      <c r="W514" s="113"/>
      <c r="X514" s="113"/>
      <c r="Y514" s="113"/>
      <c r="Z514" s="113"/>
    </row>
    <row r="515" spans="1:26" x14ac:dyDescent="0.25">
      <c r="A515" s="89"/>
      <c r="B515" s="89"/>
      <c r="C515" s="89"/>
      <c r="D515" s="114"/>
      <c r="E515" s="114"/>
      <c r="F515" s="114"/>
      <c r="G515" s="114"/>
      <c r="I515" s="114"/>
      <c r="J515" s="114"/>
      <c r="K515" s="114"/>
      <c r="L515" s="114"/>
      <c r="M515" s="113"/>
      <c r="N515" s="114"/>
      <c r="O515" s="113"/>
      <c r="P515" s="113"/>
      <c r="Q515" s="114"/>
      <c r="R515" s="113"/>
      <c r="S515" s="113"/>
      <c r="T515" s="113"/>
      <c r="U515" s="113"/>
      <c r="V515" s="113"/>
      <c r="W515" s="113"/>
      <c r="X515" s="113"/>
      <c r="Y515" s="113"/>
      <c r="Z515" s="113"/>
    </row>
    <row r="516" spans="1:26" x14ac:dyDescent="0.25">
      <c r="A516" s="89"/>
      <c r="B516" s="89"/>
      <c r="C516" s="89"/>
      <c r="D516" s="114"/>
      <c r="E516" s="114"/>
      <c r="F516" s="114"/>
      <c r="G516" s="114"/>
      <c r="I516" s="114"/>
      <c r="J516" s="114"/>
      <c r="K516" s="114"/>
      <c r="L516" s="114"/>
      <c r="M516" s="113"/>
      <c r="N516" s="114"/>
      <c r="O516" s="113"/>
      <c r="P516" s="113"/>
      <c r="Q516" s="114"/>
      <c r="R516" s="113"/>
      <c r="S516" s="113"/>
      <c r="T516" s="113"/>
      <c r="U516" s="113"/>
      <c r="V516" s="113"/>
      <c r="W516" s="113"/>
      <c r="X516" s="113"/>
      <c r="Y516" s="113"/>
      <c r="Z516" s="113"/>
    </row>
    <row r="517" spans="1:26" x14ac:dyDescent="0.25">
      <c r="A517" s="89"/>
      <c r="B517" s="89"/>
      <c r="C517" s="89"/>
      <c r="D517" s="114"/>
      <c r="E517" s="114"/>
      <c r="F517" s="114"/>
      <c r="G517" s="114"/>
      <c r="I517" s="114"/>
      <c r="J517" s="114"/>
      <c r="K517" s="114"/>
      <c r="L517" s="114"/>
      <c r="M517" s="113"/>
      <c r="N517" s="114"/>
      <c r="O517" s="113"/>
      <c r="P517" s="113"/>
      <c r="Q517" s="114"/>
      <c r="R517" s="113"/>
      <c r="S517" s="113"/>
      <c r="T517" s="113"/>
      <c r="U517" s="113"/>
      <c r="V517" s="113"/>
      <c r="W517" s="113"/>
      <c r="X517" s="113"/>
      <c r="Y517" s="113"/>
      <c r="Z517" s="113"/>
    </row>
    <row r="518" spans="1:26" x14ac:dyDescent="0.25">
      <c r="A518" s="89"/>
      <c r="B518" s="89"/>
      <c r="C518" s="89"/>
      <c r="D518" s="114"/>
      <c r="E518" s="114"/>
      <c r="F518" s="114"/>
      <c r="G518" s="114"/>
      <c r="I518" s="114"/>
      <c r="J518" s="114"/>
      <c r="K518" s="114"/>
      <c r="L518" s="114"/>
      <c r="M518" s="113"/>
      <c r="N518" s="114"/>
      <c r="O518" s="113"/>
      <c r="P518" s="113"/>
      <c r="Q518" s="114"/>
      <c r="R518" s="113"/>
      <c r="S518" s="113"/>
      <c r="T518" s="113"/>
      <c r="U518" s="113"/>
      <c r="V518" s="113"/>
      <c r="W518" s="113"/>
      <c r="X518" s="113"/>
      <c r="Y518" s="113"/>
      <c r="Z518" s="113"/>
    </row>
    <row r="519" spans="1:26" x14ac:dyDescent="0.25">
      <c r="A519" s="89"/>
      <c r="B519" s="89"/>
      <c r="C519" s="89"/>
      <c r="D519" s="114"/>
      <c r="E519" s="114"/>
      <c r="F519" s="114"/>
      <c r="G519" s="114"/>
      <c r="I519" s="114"/>
      <c r="J519" s="114"/>
      <c r="K519" s="114"/>
      <c r="L519" s="114"/>
      <c r="M519" s="113"/>
      <c r="N519" s="114"/>
      <c r="O519" s="113"/>
      <c r="P519" s="113"/>
      <c r="Q519" s="114"/>
      <c r="R519" s="113"/>
      <c r="S519" s="113"/>
      <c r="T519" s="113"/>
      <c r="U519" s="113"/>
      <c r="V519" s="113"/>
      <c r="W519" s="113"/>
      <c r="X519" s="113"/>
      <c r="Y519" s="113"/>
      <c r="Z519" s="113"/>
    </row>
    <row r="520" spans="1:26" x14ac:dyDescent="0.25">
      <c r="A520" s="89"/>
      <c r="B520" s="89"/>
      <c r="C520" s="89"/>
      <c r="D520" s="114"/>
      <c r="E520" s="114"/>
      <c r="F520" s="114"/>
      <c r="G520" s="114"/>
      <c r="I520" s="114"/>
      <c r="J520" s="114"/>
      <c r="K520" s="114"/>
      <c r="L520" s="114"/>
      <c r="M520" s="113"/>
      <c r="N520" s="114"/>
      <c r="O520" s="113"/>
      <c r="P520" s="113"/>
      <c r="Q520" s="114"/>
      <c r="R520" s="113"/>
      <c r="S520" s="113"/>
      <c r="T520" s="113"/>
      <c r="U520" s="113"/>
      <c r="V520" s="113"/>
      <c r="W520" s="113"/>
      <c r="X520" s="113"/>
      <c r="Y520" s="113"/>
      <c r="Z520" s="113"/>
    </row>
    <row r="521" spans="1:26" x14ac:dyDescent="0.25">
      <c r="A521" s="89"/>
      <c r="B521" s="89"/>
      <c r="C521" s="89"/>
      <c r="D521" s="114"/>
      <c r="E521" s="114"/>
      <c r="F521" s="114"/>
      <c r="G521" s="114"/>
      <c r="I521" s="114"/>
      <c r="J521" s="114"/>
      <c r="K521" s="114"/>
      <c r="L521" s="114"/>
      <c r="M521" s="113"/>
      <c r="N521" s="114"/>
      <c r="O521" s="113"/>
      <c r="P521" s="113"/>
      <c r="Q521" s="114"/>
      <c r="R521" s="113"/>
      <c r="S521" s="113"/>
      <c r="T521" s="113"/>
      <c r="U521" s="113"/>
      <c r="V521" s="113"/>
      <c r="W521" s="113"/>
      <c r="X521" s="113"/>
      <c r="Y521" s="113"/>
      <c r="Z521" s="113"/>
    </row>
    <row r="522" spans="1:26" x14ac:dyDescent="0.25">
      <c r="A522" s="89"/>
      <c r="B522" s="89"/>
      <c r="C522" s="89"/>
      <c r="D522" s="114"/>
      <c r="E522" s="114"/>
      <c r="F522" s="114"/>
      <c r="G522" s="114"/>
      <c r="I522" s="114"/>
      <c r="J522" s="114"/>
      <c r="K522" s="114"/>
      <c r="L522" s="114"/>
      <c r="M522" s="113"/>
      <c r="N522" s="114"/>
      <c r="O522" s="113"/>
      <c r="P522" s="113"/>
      <c r="Q522" s="114"/>
      <c r="R522" s="113"/>
      <c r="S522" s="113"/>
      <c r="T522" s="113"/>
      <c r="U522" s="113"/>
      <c r="V522" s="113"/>
      <c r="W522" s="113"/>
      <c r="X522" s="113"/>
      <c r="Y522" s="113"/>
      <c r="Z522" s="113"/>
    </row>
    <row r="523" spans="1:26" x14ac:dyDescent="0.25">
      <c r="A523" s="89"/>
      <c r="B523" s="89"/>
      <c r="C523" s="89"/>
      <c r="D523" s="114"/>
      <c r="E523" s="114"/>
      <c r="F523" s="114"/>
      <c r="G523" s="114"/>
      <c r="I523" s="114"/>
      <c r="J523" s="114"/>
      <c r="K523" s="114"/>
      <c r="L523" s="114"/>
      <c r="M523" s="113"/>
      <c r="N523" s="114"/>
      <c r="O523" s="113"/>
      <c r="P523" s="113"/>
      <c r="Q523" s="114"/>
      <c r="R523" s="113"/>
      <c r="S523" s="113"/>
      <c r="T523" s="113"/>
      <c r="U523" s="113"/>
      <c r="V523" s="113"/>
      <c r="W523" s="113"/>
      <c r="X523" s="113"/>
      <c r="Y523" s="113"/>
      <c r="Z523" s="113"/>
    </row>
    <row r="524" spans="1:26" x14ac:dyDescent="0.25">
      <c r="A524" s="89"/>
      <c r="B524" s="89"/>
      <c r="C524" s="89"/>
      <c r="D524" s="114"/>
      <c r="E524" s="114"/>
      <c r="F524" s="114"/>
      <c r="G524" s="114"/>
      <c r="I524" s="114"/>
      <c r="J524" s="114"/>
      <c r="K524" s="114"/>
      <c r="L524" s="114"/>
      <c r="M524" s="113"/>
      <c r="N524" s="114"/>
      <c r="O524" s="113"/>
      <c r="P524" s="113"/>
      <c r="Q524" s="114"/>
      <c r="R524" s="113"/>
      <c r="S524" s="113"/>
      <c r="T524" s="113"/>
      <c r="U524" s="113"/>
      <c r="V524" s="113"/>
      <c r="W524" s="113"/>
      <c r="X524" s="113"/>
      <c r="Y524" s="113"/>
      <c r="Z524" s="113"/>
    </row>
    <row r="525" spans="1:26" x14ac:dyDescent="0.25">
      <c r="A525" s="89"/>
      <c r="B525" s="89"/>
      <c r="C525" s="89"/>
      <c r="D525" s="114"/>
      <c r="E525" s="114"/>
      <c r="F525" s="114"/>
      <c r="G525" s="114"/>
      <c r="I525" s="114"/>
      <c r="J525" s="114"/>
      <c r="K525" s="114"/>
      <c r="L525" s="114"/>
      <c r="M525" s="113"/>
      <c r="N525" s="114"/>
      <c r="O525" s="113"/>
      <c r="P525" s="113"/>
      <c r="Q525" s="114"/>
      <c r="R525" s="113"/>
      <c r="S525" s="113"/>
      <c r="T525" s="113"/>
      <c r="U525" s="113"/>
      <c r="V525" s="113"/>
      <c r="W525" s="113"/>
      <c r="X525" s="113"/>
      <c r="Y525" s="113"/>
      <c r="Z525" s="113"/>
    </row>
    <row r="526" spans="1:26" x14ac:dyDescent="0.25">
      <c r="A526" s="89"/>
      <c r="B526" s="89"/>
      <c r="C526" s="89"/>
      <c r="D526" s="114"/>
      <c r="E526" s="114"/>
      <c r="F526" s="114"/>
      <c r="G526" s="114"/>
      <c r="I526" s="114"/>
      <c r="J526" s="114"/>
      <c r="K526" s="114"/>
      <c r="L526" s="114"/>
      <c r="M526" s="113"/>
      <c r="N526" s="114"/>
      <c r="O526" s="113"/>
      <c r="P526" s="113"/>
      <c r="Q526" s="114"/>
      <c r="R526" s="113"/>
      <c r="S526" s="113"/>
      <c r="T526" s="113"/>
      <c r="U526" s="113"/>
      <c r="V526" s="113"/>
      <c r="W526" s="113"/>
      <c r="X526" s="113"/>
      <c r="Y526" s="113"/>
      <c r="Z526" s="113"/>
    </row>
    <row r="527" spans="1:26" x14ac:dyDescent="0.25">
      <c r="A527" s="89"/>
      <c r="B527" s="89"/>
      <c r="C527" s="89"/>
      <c r="D527" s="114"/>
      <c r="E527" s="114"/>
      <c r="F527" s="114"/>
      <c r="G527" s="114"/>
      <c r="I527" s="114"/>
      <c r="J527" s="114"/>
      <c r="K527" s="114"/>
      <c r="L527" s="114"/>
      <c r="M527" s="113"/>
      <c r="N527" s="114"/>
      <c r="O527" s="113"/>
      <c r="P527" s="113"/>
      <c r="Q527" s="114"/>
      <c r="R527" s="113"/>
      <c r="S527" s="113"/>
      <c r="T527" s="113"/>
      <c r="U527" s="113"/>
      <c r="V527" s="113"/>
      <c r="W527" s="113"/>
      <c r="X527" s="113"/>
      <c r="Y527" s="113"/>
      <c r="Z527" s="113"/>
    </row>
    <row r="528" spans="1:26" x14ac:dyDescent="0.25">
      <c r="A528" s="89"/>
      <c r="B528" s="89"/>
      <c r="C528" s="89"/>
      <c r="D528" s="114"/>
      <c r="E528" s="114"/>
      <c r="F528" s="114"/>
      <c r="G528" s="114"/>
      <c r="I528" s="114"/>
      <c r="J528" s="114"/>
      <c r="K528" s="114"/>
      <c r="L528" s="114"/>
      <c r="M528" s="113"/>
      <c r="N528" s="114"/>
      <c r="O528" s="113"/>
      <c r="P528" s="113"/>
      <c r="Q528" s="114"/>
      <c r="R528" s="113"/>
      <c r="S528" s="113"/>
      <c r="T528" s="113"/>
      <c r="U528" s="113"/>
      <c r="V528" s="113"/>
      <c r="W528" s="113"/>
      <c r="X528" s="113"/>
      <c r="Y528" s="113"/>
      <c r="Z528" s="113"/>
    </row>
    <row r="529" spans="1:26" x14ac:dyDescent="0.25">
      <c r="A529" s="89"/>
      <c r="B529" s="89"/>
      <c r="C529" s="89"/>
      <c r="D529" s="114"/>
      <c r="E529" s="114"/>
      <c r="F529" s="114"/>
      <c r="G529" s="114"/>
      <c r="I529" s="114"/>
      <c r="J529" s="114"/>
      <c r="K529" s="114"/>
      <c r="L529" s="114"/>
      <c r="M529" s="113"/>
      <c r="N529" s="114"/>
      <c r="O529" s="113"/>
      <c r="P529" s="113"/>
      <c r="Q529" s="114"/>
      <c r="R529" s="113"/>
      <c r="S529" s="113"/>
      <c r="T529" s="113"/>
      <c r="U529" s="113"/>
      <c r="V529" s="113"/>
      <c r="W529" s="113"/>
      <c r="X529" s="113"/>
      <c r="Y529" s="113"/>
      <c r="Z529" s="113"/>
    </row>
    <row r="530" spans="1:26" x14ac:dyDescent="0.25">
      <c r="A530" s="89"/>
      <c r="B530" s="89"/>
      <c r="C530" s="89"/>
      <c r="D530" s="114"/>
      <c r="E530" s="114"/>
      <c r="F530" s="114"/>
      <c r="G530" s="114"/>
      <c r="I530" s="114"/>
      <c r="J530" s="114"/>
      <c r="K530" s="114"/>
      <c r="L530" s="114"/>
      <c r="M530" s="113"/>
      <c r="N530" s="114"/>
      <c r="O530" s="113"/>
      <c r="P530" s="113"/>
      <c r="Q530" s="114"/>
      <c r="R530" s="113"/>
      <c r="S530" s="113"/>
      <c r="T530" s="113"/>
      <c r="U530" s="113"/>
      <c r="V530" s="113"/>
      <c r="W530" s="113"/>
      <c r="X530" s="113"/>
      <c r="Y530" s="113"/>
      <c r="Z530" s="113"/>
    </row>
    <row r="531" spans="1:26" x14ac:dyDescent="0.25">
      <c r="A531" s="89"/>
      <c r="B531" s="89"/>
      <c r="C531" s="89"/>
      <c r="D531" s="114"/>
      <c r="E531" s="114"/>
      <c r="F531" s="114"/>
      <c r="G531" s="114"/>
      <c r="I531" s="114"/>
      <c r="J531" s="114"/>
      <c r="K531" s="114"/>
      <c r="L531" s="114"/>
      <c r="M531" s="113"/>
      <c r="N531" s="114"/>
      <c r="O531" s="113"/>
      <c r="P531" s="113"/>
      <c r="Q531" s="114"/>
      <c r="R531" s="113"/>
      <c r="S531" s="113"/>
      <c r="T531" s="113"/>
      <c r="U531" s="113"/>
      <c r="V531" s="113"/>
      <c r="W531" s="113"/>
      <c r="X531" s="113"/>
      <c r="Y531" s="113"/>
      <c r="Z531" s="113"/>
    </row>
    <row r="532" spans="1:26" x14ac:dyDescent="0.25">
      <c r="A532" s="89"/>
      <c r="B532" s="89"/>
      <c r="C532" s="89"/>
      <c r="D532" s="114"/>
      <c r="E532" s="114"/>
      <c r="F532" s="114"/>
      <c r="G532" s="114"/>
      <c r="I532" s="114"/>
      <c r="J532" s="114"/>
      <c r="K532" s="114"/>
      <c r="L532" s="114"/>
      <c r="M532" s="113"/>
      <c r="N532" s="114"/>
      <c r="O532" s="113"/>
      <c r="P532" s="113"/>
      <c r="Q532" s="114"/>
      <c r="R532" s="113"/>
      <c r="S532" s="113"/>
      <c r="T532" s="113"/>
      <c r="U532" s="113"/>
      <c r="V532" s="113"/>
      <c r="W532" s="113"/>
      <c r="X532" s="113"/>
      <c r="Y532" s="113"/>
      <c r="Z532" s="113"/>
    </row>
    <row r="533" spans="1:26" x14ac:dyDescent="0.25">
      <c r="A533" s="89"/>
      <c r="B533" s="89"/>
      <c r="C533" s="89"/>
      <c r="D533" s="114"/>
      <c r="E533" s="114"/>
      <c r="F533" s="114"/>
      <c r="G533" s="114"/>
      <c r="I533" s="114"/>
      <c r="J533" s="114"/>
      <c r="K533" s="114"/>
      <c r="L533" s="114"/>
      <c r="M533" s="113"/>
      <c r="N533" s="114"/>
      <c r="O533" s="113"/>
      <c r="P533" s="113"/>
      <c r="Q533" s="114"/>
      <c r="R533" s="113"/>
      <c r="S533" s="113"/>
      <c r="T533" s="113"/>
      <c r="U533" s="113"/>
      <c r="V533" s="113"/>
      <c r="W533" s="113"/>
      <c r="X533" s="113"/>
      <c r="Y533" s="113"/>
      <c r="Z533" s="113"/>
    </row>
    <row r="534" spans="1:26" x14ac:dyDescent="0.25">
      <c r="A534" s="89"/>
      <c r="B534" s="89"/>
      <c r="C534" s="89"/>
      <c r="D534" s="114"/>
      <c r="E534" s="114"/>
      <c r="F534" s="114"/>
      <c r="G534" s="114"/>
      <c r="I534" s="114"/>
      <c r="J534" s="114"/>
      <c r="K534" s="114"/>
      <c r="L534" s="114"/>
      <c r="M534" s="113"/>
      <c r="N534" s="114"/>
      <c r="O534" s="113"/>
      <c r="P534" s="113"/>
      <c r="Q534" s="114"/>
      <c r="R534" s="113"/>
      <c r="S534" s="113"/>
      <c r="T534" s="113"/>
      <c r="U534" s="113"/>
      <c r="V534" s="113"/>
      <c r="W534" s="113"/>
      <c r="X534" s="113"/>
      <c r="Y534" s="113"/>
      <c r="Z534" s="113"/>
    </row>
    <row r="535" spans="1:26" x14ac:dyDescent="0.25">
      <c r="A535" s="89"/>
      <c r="B535" s="89"/>
      <c r="C535" s="89"/>
      <c r="D535" s="114"/>
      <c r="E535" s="114"/>
      <c r="F535" s="114"/>
      <c r="G535" s="114"/>
      <c r="I535" s="114"/>
      <c r="J535" s="114"/>
      <c r="K535" s="114"/>
      <c r="L535" s="114"/>
      <c r="M535" s="113"/>
      <c r="N535" s="114"/>
      <c r="O535" s="113"/>
      <c r="P535" s="113"/>
      <c r="Q535" s="114"/>
      <c r="R535" s="113"/>
      <c r="S535" s="113"/>
      <c r="T535" s="113"/>
      <c r="U535" s="113"/>
      <c r="V535" s="113"/>
      <c r="W535" s="113"/>
      <c r="X535" s="113"/>
      <c r="Y535" s="113"/>
      <c r="Z535" s="113"/>
    </row>
    <row r="536" spans="1:26" x14ac:dyDescent="0.25">
      <c r="A536" s="89"/>
      <c r="B536" s="89"/>
      <c r="C536" s="89"/>
      <c r="D536" s="114"/>
      <c r="E536" s="114"/>
      <c r="F536" s="114"/>
      <c r="G536" s="114"/>
      <c r="I536" s="114"/>
      <c r="J536" s="114"/>
      <c r="K536" s="114"/>
      <c r="L536" s="114"/>
      <c r="M536" s="113"/>
      <c r="N536" s="114"/>
      <c r="O536" s="113"/>
      <c r="P536" s="113"/>
      <c r="Q536" s="114"/>
      <c r="R536" s="113"/>
      <c r="S536" s="113"/>
      <c r="T536" s="113"/>
      <c r="U536" s="113"/>
      <c r="V536" s="113"/>
      <c r="W536" s="113"/>
      <c r="X536" s="113"/>
      <c r="Y536" s="113"/>
      <c r="Z536" s="113"/>
    </row>
    <row r="537" spans="1:26" x14ac:dyDescent="0.25">
      <c r="A537" s="89"/>
      <c r="B537" s="89"/>
      <c r="C537" s="89"/>
      <c r="D537" s="114"/>
      <c r="E537" s="114"/>
      <c r="F537" s="114"/>
      <c r="G537" s="114"/>
      <c r="I537" s="114"/>
      <c r="J537" s="114"/>
      <c r="K537" s="114"/>
      <c r="L537" s="114"/>
      <c r="M537" s="113"/>
      <c r="N537" s="114"/>
      <c r="O537" s="113"/>
      <c r="P537" s="113"/>
      <c r="Q537" s="114"/>
      <c r="R537" s="113"/>
      <c r="S537" s="113"/>
      <c r="T537" s="113"/>
      <c r="U537" s="113"/>
      <c r="V537" s="113"/>
      <c r="W537" s="113"/>
      <c r="X537" s="113"/>
      <c r="Y537" s="113"/>
      <c r="Z537" s="113"/>
    </row>
    <row r="538" spans="1:26" x14ac:dyDescent="0.25">
      <c r="A538" s="89"/>
      <c r="B538" s="89"/>
      <c r="C538" s="89"/>
      <c r="D538" s="114"/>
      <c r="E538" s="114"/>
      <c r="F538" s="114"/>
      <c r="G538" s="114"/>
      <c r="I538" s="114"/>
      <c r="J538" s="114"/>
      <c r="K538" s="114"/>
      <c r="L538" s="114"/>
      <c r="M538" s="113"/>
      <c r="N538" s="114"/>
      <c r="O538" s="113"/>
      <c r="P538" s="113"/>
      <c r="Q538" s="114"/>
      <c r="R538" s="113"/>
      <c r="S538" s="113"/>
      <c r="T538" s="113"/>
      <c r="U538" s="113"/>
      <c r="V538" s="113"/>
      <c r="W538" s="113"/>
      <c r="X538" s="113"/>
      <c r="Y538" s="113"/>
      <c r="Z538" s="113"/>
    </row>
    <row r="539" spans="1:26" x14ac:dyDescent="0.25">
      <c r="A539" s="89"/>
      <c r="B539" s="89"/>
      <c r="C539" s="89"/>
      <c r="D539" s="114"/>
      <c r="E539" s="114"/>
      <c r="F539" s="114"/>
      <c r="G539" s="114"/>
      <c r="I539" s="114"/>
      <c r="J539" s="114"/>
      <c r="K539" s="114"/>
      <c r="L539" s="114"/>
      <c r="M539" s="113"/>
      <c r="N539" s="114"/>
      <c r="O539" s="113"/>
      <c r="P539" s="113"/>
      <c r="Q539" s="114"/>
      <c r="R539" s="113"/>
      <c r="S539" s="113"/>
      <c r="T539" s="113"/>
      <c r="U539" s="113"/>
      <c r="V539" s="113"/>
      <c r="W539" s="113"/>
      <c r="X539" s="113"/>
      <c r="Y539" s="113"/>
      <c r="Z539" s="113"/>
    </row>
    <row r="540" spans="1:26" x14ac:dyDescent="0.25">
      <c r="A540" s="89"/>
      <c r="B540" s="89"/>
      <c r="C540" s="89"/>
      <c r="D540" s="114"/>
      <c r="E540" s="114"/>
      <c r="F540" s="114"/>
      <c r="G540" s="114"/>
      <c r="I540" s="114"/>
      <c r="J540" s="114"/>
      <c r="K540" s="114"/>
      <c r="L540" s="114"/>
      <c r="M540" s="113"/>
      <c r="N540" s="114"/>
      <c r="O540" s="113"/>
      <c r="P540" s="113"/>
      <c r="Q540" s="114"/>
      <c r="R540" s="113"/>
      <c r="S540" s="113"/>
      <c r="T540" s="113"/>
      <c r="U540" s="113"/>
      <c r="V540" s="113"/>
      <c r="W540" s="113"/>
      <c r="X540" s="113"/>
      <c r="Y540" s="113"/>
      <c r="Z540" s="113"/>
    </row>
    <row r="541" spans="1:26" x14ac:dyDescent="0.25">
      <c r="A541" s="89"/>
      <c r="B541" s="89"/>
      <c r="C541" s="89"/>
      <c r="D541" s="114"/>
      <c r="E541" s="114"/>
      <c r="F541" s="114"/>
      <c r="G541" s="114"/>
      <c r="I541" s="114"/>
      <c r="J541" s="114"/>
      <c r="K541" s="114"/>
      <c r="L541" s="114"/>
      <c r="M541" s="113"/>
      <c r="N541" s="114"/>
      <c r="O541" s="113"/>
      <c r="P541" s="113"/>
      <c r="Q541" s="114"/>
      <c r="R541" s="113"/>
      <c r="S541" s="113"/>
      <c r="T541" s="113"/>
      <c r="U541" s="113"/>
      <c r="V541" s="113"/>
      <c r="W541" s="113"/>
      <c r="X541" s="113"/>
      <c r="Y541" s="113"/>
      <c r="Z541" s="113"/>
    </row>
    <row r="542" spans="1:26" x14ac:dyDescent="0.25">
      <c r="A542" s="89"/>
      <c r="B542" s="89"/>
      <c r="C542" s="89"/>
      <c r="D542" s="114"/>
      <c r="E542" s="114"/>
      <c r="F542" s="114"/>
      <c r="G542" s="114"/>
      <c r="I542" s="114"/>
      <c r="J542" s="114"/>
      <c r="K542" s="114"/>
      <c r="L542" s="114"/>
      <c r="M542" s="113"/>
      <c r="N542" s="114"/>
      <c r="O542" s="113"/>
      <c r="P542" s="113"/>
      <c r="Q542" s="114"/>
      <c r="R542" s="113"/>
      <c r="S542" s="113"/>
      <c r="T542" s="113"/>
      <c r="U542" s="113"/>
      <c r="V542" s="113"/>
      <c r="W542" s="113"/>
      <c r="X542" s="113"/>
      <c r="Y542" s="113"/>
      <c r="Z542" s="113"/>
    </row>
    <row r="543" spans="1:26" x14ac:dyDescent="0.25">
      <c r="A543" s="89"/>
      <c r="B543" s="89"/>
      <c r="C543" s="89"/>
      <c r="D543" s="114"/>
      <c r="E543" s="114"/>
      <c r="F543" s="114"/>
      <c r="G543" s="114"/>
      <c r="I543" s="114"/>
      <c r="J543" s="114"/>
      <c r="K543" s="114"/>
      <c r="L543" s="114"/>
      <c r="M543" s="113"/>
      <c r="N543" s="114"/>
      <c r="O543" s="113"/>
      <c r="P543" s="113"/>
      <c r="Q543" s="114"/>
      <c r="R543" s="113"/>
      <c r="S543" s="113"/>
      <c r="T543" s="113"/>
      <c r="U543" s="113"/>
      <c r="V543" s="113"/>
      <c r="W543" s="113"/>
      <c r="X543" s="113"/>
      <c r="Y543" s="113"/>
      <c r="Z543" s="113"/>
    </row>
    <row r="544" spans="1:26" x14ac:dyDescent="0.25">
      <c r="A544" s="89"/>
      <c r="B544" s="89"/>
      <c r="C544" s="89"/>
      <c r="D544" s="114"/>
      <c r="E544" s="114"/>
      <c r="F544" s="114"/>
      <c r="G544" s="114"/>
      <c r="I544" s="114"/>
      <c r="J544" s="114"/>
      <c r="K544" s="114"/>
      <c r="L544" s="114"/>
      <c r="M544" s="113"/>
      <c r="N544" s="114"/>
      <c r="O544" s="113"/>
      <c r="P544" s="113"/>
      <c r="Q544" s="114"/>
      <c r="R544" s="113"/>
      <c r="S544" s="113"/>
      <c r="T544" s="113"/>
      <c r="U544" s="113"/>
      <c r="V544" s="113"/>
      <c r="W544" s="113"/>
      <c r="X544" s="113"/>
      <c r="Y544" s="113"/>
      <c r="Z544" s="113"/>
    </row>
    <row r="545" spans="1:26" x14ac:dyDescent="0.25">
      <c r="A545" s="89"/>
      <c r="B545" s="89"/>
      <c r="C545" s="89"/>
      <c r="D545" s="114"/>
      <c r="E545" s="114"/>
      <c r="F545" s="114"/>
      <c r="G545" s="114"/>
      <c r="I545" s="114"/>
      <c r="J545" s="114"/>
      <c r="K545" s="114"/>
      <c r="L545" s="114"/>
      <c r="M545" s="113"/>
      <c r="N545" s="114"/>
      <c r="O545" s="113"/>
      <c r="P545" s="113"/>
      <c r="Q545" s="114"/>
      <c r="R545" s="113"/>
      <c r="S545" s="113"/>
      <c r="T545" s="113"/>
      <c r="U545" s="113"/>
      <c r="V545" s="113"/>
      <c r="W545" s="113"/>
      <c r="X545" s="113"/>
      <c r="Y545" s="113"/>
      <c r="Z545" s="113"/>
    </row>
    <row r="546" spans="1:26" x14ac:dyDescent="0.25">
      <c r="A546" s="89"/>
      <c r="B546" s="89"/>
      <c r="C546" s="89"/>
      <c r="D546" s="114"/>
      <c r="E546" s="114"/>
      <c r="F546" s="114"/>
      <c r="G546" s="114"/>
      <c r="I546" s="114"/>
      <c r="J546" s="114"/>
      <c r="K546" s="114"/>
      <c r="L546" s="114"/>
      <c r="M546" s="113"/>
      <c r="N546" s="114"/>
      <c r="O546" s="113"/>
      <c r="P546" s="113"/>
      <c r="Q546" s="114"/>
      <c r="R546" s="113"/>
      <c r="S546" s="113"/>
      <c r="T546" s="113"/>
      <c r="U546" s="113"/>
      <c r="V546" s="113"/>
      <c r="W546" s="113"/>
      <c r="X546" s="113"/>
      <c r="Y546" s="113"/>
      <c r="Z546" s="113"/>
    </row>
    <row r="547" spans="1:26" x14ac:dyDescent="0.25">
      <c r="A547" s="89"/>
      <c r="B547" s="89"/>
      <c r="C547" s="89"/>
      <c r="D547" s="114"/>
      <c r="E547" s="114"/>
      <c r="F547" s="114"/>
      <c r="G547" s="114"/>
      <c r="I547" s="114"/>
      <c r="J547" s="114"/>
      <c r="K547" s="114"/>
      <c r="L547" s="114"/>
      <c r="M547" s="113"/>
      <c r="N547" s="114"/>
      <c r="O547" s="113"/>
      <c r="P547" s="113"/>
      <c r="Q547" s="114"/>
      <c r="R547" s="113"/>
      <c r="S547" s="113"/>
      <c r="T547" s="113"/>
      <c r="U547" s="113"/>
      <c r="V547" s="113"/>
      <c r="W547" s="113"/>
      <c r="X547" s="113"/>
      <c r="Y547" s="113"/>
      <c r="Z547" s="113"/>
    </row>
    <row r="548" spans="1:26" x14ac:dyDescent="0.25">
      <c r="A548" s="89"/>
      <c r="B548" s="89"/>
      <c r="C548" s="89"/>
      <c r="D548" s="114"/>
      <c r="E548" s="114"/>
      <c r="F548" s="114"/>
      <c r="G548" s="114"/>
      <c r="I548" s="114"/>
      <c r="J548" s="114"/>
      <c r="K548" s="114"/>
      <c r="L548" s="114"/>
      <c r="M548" s="113"/>
      <c r="N548" s="114"/>
      <c r="O548" s="113"/>
      <c r="P548" s="113"/>
      <c r="Q548" s="114"/>
      <c r="R548" s="113"/>
      <c r="S548" s="113"/>
      <c r="T548" s="113"/>
      <c r="U548" s="113"/>
      <c r="V548" s="113"/>
      <c r="W548" s="113"/>
      <c r="X548" s="113"/>
      <c r="Y548" s="113"/>
      <c r="Z548" s="113"/>
    </row>
    <row r="549" spans="1:26" x14ac:dyDescent="0.25">
      <c r="A549" s="89"/>
      <c r="B549" s="89"/>
      <c r="C549" s="89"/>
      <c r="D549" s="114"/>
      <c r="E549" s="114"/>
      <c r="F549" s="114"/>
      <c r="G549" s="114"/>
      <c r="I549" s="114"/>
      <c r="J549" s="114"/>
      <c r="K549" s="114"/>
      <c r="L549" s="114"/>
      <c r="M549" s="113"/>
      <c r="N549" s="114"/>
      <c r="O549" s="113"/>
      <c r="P549" s="113"/>
      <c r="Q549" s="114"/>
      <c r="R549" s="113"/>
      <c r="S549" s="113"/>
      <c r="T549" s="113"/>
      <c r="U549" s="113"/>
      <c r="V549" s="113"/>
      <c r="W549" s="113"/>
      <c r="X549" s="113"/>
      <c r="Y549" s="113"/>
      <c r="Z549" s="113"/>
    </row>
    <row r="550" spans="1:26" x14ac:dyDescent="0.25">
      <c r="A550" s="89"/>
      <c r="B550" s="89"/>
      <c r="C550" s="89"/>
      <c r="D550" s="114"/>
      <c r="E550" s="114"/>
      <c r="F550" s="114"/>
      <c r="G550" s="114"/>
      <c r="I550" s="114"/>
      <c r="J550" s="114"/>
      <c r="K550" s="114"/>
      <c r="L550" s="114"/>
      <c r="M550" s="113"/>
      <c r="N550" s="114"/>
      <c r="O550" s="113"/>
      <c r="P550" s="113"/>
      <c r="Q550" s="114"/>
      <c r="R550" s="113"/>
      <c r="S550" s="113"/>
      <c r="T550" s="113"/>
      <c r="U550" s="113"/>
      <c r="V550" s="113"/>
      <c r="W550" s="113"/>
      <c r="X550" s="113"/>
      <c r="Y550" s="113"/>
      <c r="Z550" s="113"/>
    </row>
    <row r="551" spans="1:26" x14ac:dyDescent="0.25">
      <c r="A551" s="89"/>
      <c r="B551" s="89"/>
      <c r="C551" s="89"/>
      <c r="D551" s="114"/>
      <c r="E551" s="114"/>
      <c r="F551" s="114"/>
      <c r="G551" s="114"/>
      <c r="I551" s="114"/>
      <c r="J551" s="114"/>
      <c r="K551" s="114"/>
      <c r="L551" s="114"/>
      <c r="M551" s="113"/>
      <c r="N551" s="114"/>
      <c r="O551" s="113"/>
      <c r="P551" s="113"/>
      <c r="Q551" s="114"/>
      <c r="R551" s="113"/>
      <c r="S551" s="113"/>
      <c r="T551" s="113"/>
      <c r="U551" s="113"/>
      <c r="V551" s="113"/>
      <c r="W551" s="113"/>
      <c r="X551" s="113"/>
      <c r="Y551" s="113"/>
      <c r="Z551" s="113"/>
    </row>
    <row r="552" spans="1:26" x14ac:dyDescent="0.25">
      <c r="A552" s="89"/>
      <c r="B552" s="89"/>
      <c r="C552" s="89"/>
      <c r="D552" s="114"/>
      <c r="E552" s="114"/>
      <c r="F552" s="114"/>
      <c r="G552" s="114"/>
      <c r="I552" s="114"/>
      <c r="J552" s="114"/>
      <c r="K552" s="114"/>
      <c r="L552" s="114"/>
      <c r="M552" s="113"/>
      <c r="N552" s="114"/>
      <c r="O552" s="113"/>
      <c r="P552" s="113"/>
      <c r="Q552" s="114"/>
      <c r="R552" s="113"/>
      <c r="S552" s="113"/>
      <c r="T552" s="113"/>
      <c r="U552" s="113"/>
      <c r="V552" s="113"/>
      <c r="W552" s="113"/>
      <c r="X552" s="113"/>
      <c r="Y552" s="113"/>
      <c r="Z552" s="113"/>
    </row>
    <row r="553" spans="1:26" x14ac:dyDescent="0.25">
      <c r="A553" s="89"/>
      <c r="B553" s="89"/>
      <c r="C553" s="89"/>
      <c r="D553" s="114"/>
      <c r="E553" s="114"/>
      <c r="F553" s="114"/>
      <c r="G553" s="114"/>
      <c r="I553" s="114"/>
      <c r="J553" s="114"/>
      <c r="K553" s="114"/>
      <c r="L553" s="114"/>
      <c r="M553" s="113"/>
      <c r="N553" s="114"/>
      <c r="O553" s="113"/>
      <c r="P553" s="113"/>
      <c r="Q553" s="114"/>
      <c r="R553" s="113"/>
      <c r="S553" s="113"/>
      <c r="T553" s="113"/>
      <c r="U553" s="113"/>
      <c r="V553" s="113"/>
      <c r="W553" s="113"/>
      <c r="X553" s="113"/>
      <c r="Y553" s="113"/>
      <c r="Z553" s="113"/>
    </row>
    <row r="554" spans="1:26" x14ac:dyDescent="0.25">
      <c r="A554" s="89"/>
      <c r="B554" s="89"/>
      <c r="C554" s="89"/>
      <c r="D554" s="114"/>
      <c r="E554" s="114"/>
      <c r="F554" s="114"/>
      <c r="G554" s="114"/>
      <c r="I554" s="114"/>
      <c r="J554" s="114"/>
      <c r="K554" s="114"/>
      <c r="L554" s="114"/>
      <c r="M554" s="113"/>
      <c r="N554" s="114"/>
      <c r="O554" s="113"/>
      <c r="P554" s="113"/>
      <c r="Q554" s="114"/>
      <c r="R554" s="113"/>
      <c r="S554" s="113"/>
      <c r="T554" s="113"/>
      <c r="U554" s="113"/>
      <c r="V554" s="113"/>
      <c r="W554" s="113"/>
      <c r="X554" s="113"/>
      <c r="Y554" s="113"/>
      <c r="Z554" s="113"/>
    </row>
    <row r="555" spans="1:26" x14ac:dyDescent="0.25">
      <c r="A555" s="89"/>
      <c r="B555" s="89"/>
      <c r="C555" s="89"/>
      <c r="D555" s="114"/>
      <c r="E555" s="114"/>
      <c r="F555" s="114"/>
      <c r="G555" s="114"/>
      <c r="I555" s="114"/>
      <c r="J555" s="114"/>
      <c r="K555" s="114"/>
      <c r="L555" s="114"/>
      <c r="M555" s="113"/>
      <c r="N555" s="114"/>
      <c r="O555" s="113"/>
      <c r="P555" s="113"/>
      <c r="Q555" s="114"/>
      <c r="R555" s="113"/>
      <c r="S555" s="113"/>
      <c r="T555" s="113"/>
      <c r="U555" s="113"/>
      <c r="V555" s="113"/>
      <c r="W555" s="113"/>
      <c r="X555" s="113"/>
      <c r="Y555" s="113"/>
      <c r="Z555" s="113"/>
    </row>
    <row r="556" spans="1:26" x14ac:dyDescent="0.25">
      <c r="A556" s="89"/>
      <c r="B556" s="89"/>
      <c r="C556" s="89"/>
      <c r="D556" s="114"/>
      <c r="E556" s="114"/>
      <c r="F556" s="114"/>
      <c r="G556" s="114"/>
      <c r="I556" s="114"/>
      <c r="J556" s="114"/>
      <c r="K556" s="114"/>
      <c r="L556" s="114"/>
      <c r="M556" s="113"/>
      <c r="N556" s="114"/>
      <c r="O556" s="113"/>
      <c r="P556" s="113"/>
      <c r="Q556" s="114"/>
      <c r="R556" s="113"/>
      <c r="S556" s="113"/>
      <c r="T556" s="113"/>
      <c r="U556" s="113"/>
      <c r="V556" s="113"/>
      <c r="W556" s="113"/>
      <c r="X556" s="113"/>
      <c r="Y556" s="113"/>
      <c r="Z556" s="113"/>
    </row>
    <row r="557" spans="1:26" x14ac:dyDescent="0.25">
      <c r="A557" s="89"/>
      <c r="B557" s="89"/>
      <c r="C557" s="89"/>
      <c r="D557" s="114"/>
      <c r="E557" s="114"/>
      <c r="F557" s="114"/>
      <c r="G557" s="114"/>
      <c r="I557" s="114"/>
      <c r="J557" s="114"/>
      <c r="K557" s="114"/>
      <c r="L557" s="114"/>
      <c r="M557" s="113"/>
      <c r="N557" s="114"/>
      <c r="O557" s="113"/>
      <c r="P557" s="113"/>
      <c r="Q557" s="114"/>
      <c r="R557" s="113"/>
      <c r="S557" s="113"/>
      <c r="T557" s="113"/>
      <c r="U557" s="113"/>
      <c r="V557" s="113"/>
      <c r="W557" s="113"/>
      <c r="X557" s="113"/>
      <c r="Y557" s="113"/>
      <c r="Z557" s="113"/>
    </row>
    <row r="558" spans="1:26" x14ac:dyDescent="0.25">
      <c r="A558" s="89"/>
      <c r="B558" s="89"/>
      <c r="C558" s="89"/>
      <c r="D558" s="114"/>
      <c r="E558" s="114"/>
      <c r="F558" s="114"/>
      <c r="G558" s="114"/>
      <c r="I558" s="114"/>
      <c r="J558" s="114"/>
      <c r="K558" s="114"/>
      <c r="L558" s="114"/>
      <c r="M558" s="113"/>
      <c r="N558" s="114"/>
      <c r="O558" s="113"/>
      <c r="P558" s="113"/>
      <c r="Q558" s="114"/>
      <c r="R558" s="113"/>
      <c r="S558" s="113"/>
      <c r="T558" s="113"/>
      <c r="U558" s="113"/>
      <c r="V558" s="113"/>
      <c r="W558" s="113"/>
      <c r="X558" s="113"/>
      <c r="Y558" s="113"/>
      <c r="Z558" s="113"/>
    </row>
    <row r="559" spans="1:26" x14ac:dyDescent="0.25">
      <c r="A559" s="89"/>
      <c r="B559" s="89"/>
      <c r="C559" s="89"/>
      <c r="D559" s="114"/>
      <c r="E559" s="114"/>
      <c r="F559" s="114"/>
      <c r="G559" s="114"/>
      <c r="I559" s="114"/>
      <c r="J559" s="114"/>
      <c r="K559" s="114"/>
      <c r="L559" s="114"/>
      <c r="M559" s="113"/>
      <c r="N559" s="114"/>
      <c r="O559" s="113"/>
      <c r="P559" s="113"/>
      <c r="Q559" s="114"/>
      <c r="R559" s="113"/>
      <c r="S559" s="113"/>
      <c r="T559" s="113"/>
      <c r="U559" s="113"/>
      <c r="V559" s="113"/>
      <c r="W559" s="113"/>
      <c r="X559" s="113"/>
      <c r="Y559" s="113"/>
      <c r="Z559" s="113"/>
    </row>
    <row r="560" spans="1:26" x14ac:dyDescent="0.25">
      <c r="A560" s="89"/>
      <c r="B560" s="89"/>
      <c r="C560" s="89"/>
      <c r="D560" s="114"/>
      <c r="E560" s="114"/>
      <c r="F560" s="114"/>
      <c r="G560" s="114"/>
      <c r="I560" s="114"/>
      <c r="J560" s="114"/>
      <c r="K560" s="114"/>
      <c r="L560" s="114"/>
      <c r="M560" s="113"/>
      <c r="N560" s="114"/>
      <c r="O560" s="113"/>
      <c r="P560" s="113"/>
      <c r="Q560" s="114"/>
      <c r="R560" s="113"/>
      <c r="S560" s="113"/>
      <c r="T560" s="113"/>
      <c r="U560" s="113"/>
      <c r="V560" s="113"/>
      <c r="W560" s="113"/>
      <c r="X560" s="113"/>
      <c r="Y560" s="113"/>
      <c r="Z560" s="113"/>
    </row>
    <row r="561" spans="1:26" x14ac:dyDescent="0.25">
      <c r="A561" s="89"/>
      <c r="B561" s="89"/>
      <c r="C561" s="89"/>
      <c r="D561" s="114"/>
      <c r="E561" s="114"/>
      <c r="F561" s="114"/>
      <c r="G561" s="114"/>
      <c r="I561" s="114"/>
      <c r="J561" s="114"/>
      <c r="K561" s="114"/>
      <c r="L561" s="114"/>
      <c r="M561" s="113"/>
      <c r="N561" s="114"/>
      <c r="O561" s="113"/>
      <c r="P561" s="113"/>
      <c r="Q561" s="114"/>
      <c r="R561" s="113"/>
      <c r="S561" s="113"/>
      <c r="T561" s="113"/>
      <c r="U561" s="113"/>
      <c r="V561" s="113"/>
      <c r="W561" s="113"/>
      <c r="X561" s="113"/>
      <c r="Y561" s="113"/>
      <c r="Z561" s="113"/>
    </row>
    <row r="562" spans="1:26" x14ac:dyDescent="0.25">
      <c r="A562" s="89"/>
      <c r="B562" s="89"/>
      <c r="C562" s="89"/>
      <c r="D562" s="114"/>
      <c r="E562" s="114"/>
      <c r="F562" s="114"/>
      <c r="G562" s="114"/>
      <c r="I562" s="114"/>
      <c r="J562" s="114"/>
      <c r="K562" s="114"/>
      <c r="L562" s="114"/>
      <c r="M562" s="113"/>
      <c r="N562" s="114"/>
      <c r="O562" s="113"/>
      <c r="P562" s="113"/>
      <c r="Q562" s="114"/>
      <c r="R562" s="113"/>
      <c r="S562" s="113"/>
      <c r="T562" s="113"/>
      <c r="U562" s="113"/>
      <c r="V562" s="113"/>
      <c r="W562" s="113"/>
      <c r="X562" s="113"/>
      <c r="Y562" s="113"/>
      <c r="Z562" s="113"/>
    </row>
    <row r="563" spans="1:26" x14ac:dyDescent="0.25">
      <c r="A563" s="89"/>
      <c r="B563" s="89"/>
      <c r="C563" s="89"/>
      <c r="D563" s="114"/>
      <c r="E563" s="114"/>
      <c r="F563" s="114"/>
      <c r="G563" s="114"/>
      <c r="I563" s="114"/>
      <c r="J563" s="114"/>
      <c r="K563" s="114"/>
      <c r="L563" s="114"/>
      <c r="M563" s="113"/>
      <c r="N563" s="114"/>
      <c r="O563" s="113"/>
      <c r="P563" s="113"/>
      <c r="Q563" s="114"/>
      <c r="R563" s="113"/>
      <c r="S563" s="113"/>
      <c r="T563" s="113"/>
      <c r="U563" s="113"/>
      <c r="V563" s="113"/>
      <c r="W563" s="113"/>
      <c r="X563" s="113"/>
      <c r="Y563" s="113"/>
      <c r="Z563" s="113"/>
    </row>
    <row r="564" spans="1:26" x14ac:dyDescent="0.25">
      <c r="A564" s="89"/>
      <c r="B564" s="89"/>
      <c r="C564" s="89"/>
      <c r="D564" s="114"/>
      <c r="E564" s="114"/>
      <c r="F564" s="114"/>
      <c r="G564" s="114"/>
      <c r="I564" s="114"/>
      <c r="J564" s="114"/>
      <c r="K564" s="114"/>
      <c r="L564" s="114"/>
      <c r="M564" s="113"/>
      <c r="N564" s="114"/>
      <c r="O564" s="113"/>
      <c r="P564" s="113"/>
      <c r="Q564" s="114"/>
      <c r="R564" s="113"/>
      <c r="S564" s="113"/>
      <c r="T564" s="113"/>
      <c r="U564" s="113"/>
      <c r="V564" s="113"/>
      <c r="W564" s="113"/>
      <c r="X564" s="113"/>
      <c r="Y564" s="113"/>
      <c r="Z564" s="113"/>
    </row>
    <row r="565" spans="1:26" x14ac:dyDescent="0.25">
      <c r="A565" s="89"/>
      <c r="B565" s="89"/>
      <c r="C565" s="89"/>
      <c r="D565" s="114"/>
      <c r="E565" s="114"/>
      <c r="F565" s="114"/>
      <c r="G565" s="114"/>
      <c r="I565" s="114"/>
      <c r="J565" s="114"/>
      <c r="K565" s="114"/>
      <c r="L565" s="114"/>
      <c r="M565" s="113"/>
      <c r="N565" s="114"/>
      <c r="O565" s="113"/>
      <c r="P565" s="113"/>
      <c r="Q565" s="114"/>
      <c r="R565" s="113"/>
      <c r="S565" s="113"/>
      <c r="T565" s="113"/>
      <c r="U565" s="113"/>
      <c r="V565" s="113"/>
      <c r="W565" s="113"/>
      <c r="X565" s="113"/>
      <c r="Y565" s="113"/>
      <c r="Z565" s="113"/>
    </row>
    <row r="566" spans="1:26" x14ac:dyDescent="0.25">
      <c r="A566" s="89"/>
      <c r="B566" s="89"/>
      <c r="C566" s="89"/>
      <c r="D566" s="114"/>
      <c r="E566" s="114"/>
      <c r="F566" s="114"/>
      <c r="G566" s="114"/>
      <c r="I566" s="114"/>
      <c r="J566" s="114"/>
      <c r="K566" s="114"/>
      <c r="L566" s="114"/>
      <c r="M566" s="113"/>
      <c r="N566" s="114"/>
      <c r="O566" s="113"/>
      <c r="P566" s="113"/>
      <c r="Q566" s="114"/>
      <c r="R566" s="113"/>
      <c r="S566" s="113"/>
      <c r="T566" s="113"/>
      <c r="U566" s="113"/>
      <c r="V566" s="113"/>
      <c r="W566" s="113"/>
      <c r="X566" s="113"/>
      <c r="Y566" s="113"/>
      <c r="Z566" s="113"/>
    </row>
    <row r="567" spans="1:26" x14ac:dyDescent="0.25">
      <c r="A567" s="89"/>
      <c r="B567" s="89"/>
      <c r="C567" s="89"/>
      <c r="D567" s="114"/>
      <c r="E567" s="114"/>
      <c r="F567" s="114"/>
      <c r="G567" s="114"/>
      <c r="I567" s="114"/>
      <c r="J567" s="114"/>
      <c r="K567" s="114"/>
      <c r="L567" s="114"/>
      <c r="M567" s="113"/>
      <c r="N567" s="114"/>
      <c r="O567" s="113"/>
      <c r="P567" s="113"/>
      <c r="Q567" s="114"/>
      <c r="R567" s="113"/>
      <c r="S567" s="113"/>
      <c r="T567" s="113"/>
      <c r="U567" s="113"/>
      <c r="V567" s="113"/>
      <c r="W567" s="113"/>
      <c r="X567" s="113"/>
      <c r="Y567" s="113"/>
      <c r="Z567" s="113"/>
    </row>
    <row r="568" spans="1:26" x14ac:dyDescent="0.25">
      <c r="A568" s="89"/>
      <c r="B568" s="89"/>
      <c r="C568" s="89"/>
      <c r="D568" s="114"/>
      <c r="E568" s="114"/>
      <c r="F568" s="114"/>
      <c r="G568" s="114"/>
      <c r="I568" s="114"/>
      <c r="J568" s="114"/>
      <c r="K568" s="114"/>
      <c r="L568" s="114"/>
      <c r="M568" s="113"/>
      <c r="N568" s="114"/>
      <c r="O568" s="113"/>
      <c r="P568" s="113"/>
      <c r="Q568" s="114"/>
      <c r="R568" s="113"/>
      <c r="S568" s="113"/>
      <c r="T568" s="113"/>
      <c r="U568" s="113"/>
      <c r="V568" s="113"/>
      <c r="W568" s="113"/>
      <c r="X568" s="113"/>
      <c r="Y568" s="113"/>
      <c r="Z568" s="113"/>
    </row>
    <row r="569" spans="1:26" x14ac:dyDescent="0.25">
      <c r="A569" s="89"/>
      <c r="B569" s="89"/>
      <c r="C569" s="89"/>
      <c r="D569" s="114"/>
      <c r="E569" s="114"/>
      <c r="F569" s="114"/>
      <c r="G569" s="114"/>
      <c r="I569" s="114"/>
      <c r="J569" s="114"/>
      <c r="K569" s="114"/>
      <c r="L569" s="114"/>
      <c r="M569" s="113"/>
      <c r="N569" s="114"/>
      <c r="O569" s="113"/>
      <c r="P569" s="113"/>
      <c r="Q569" s="114"/>
      <c r="R569" s="113"/>
      <c r="S569" s="113"/>
      <c r="T569" s="113"/>
      <c r="U569" s="113"/>
      <c r="V569" s="113"/>
      <c r="W569" s="113"/>
      <c r="X569" s="113"/>
      <c r="Y569" s="113"/>
      <c r="Z569" s="113"/>
    </row>
    <row r="570" spans="1:26" x14ac:dyDescent="0.25">
      <c r="A570" s="89"/>
      <c r="B570" s="89"/>
      <c r="C570" s="89"/>
      <c r="D570" s="114"/>
      <c r="E570" s="114"/>
      <c r="F570" s="114"/>
      <c r="G570" s="114"/>
      <c r="I570" s="114"/>
      <c r="J570" s="114"/>
      <c r="K570" s="114"/>
      <c r="L570" s="114"/>
      <c r="M570" s="113"/>
      <c r="N570" s="114"/>
      <c r="O570" s="113"/>
      <c r="P570" s="113"/>
      <c r="Q570" s="114"/>
      <c r="R570" s="113"/>
      <c r="S570" s="113"/>
      <c r="T570" s="113"/>
      <c r="U570" s="113"/>
      <c r="V570" s="113"/>
      <c r="W570" s="113"/>
      <c r="X570" s="113"/>
      <c r="Y570" s="113"/>
      <c r="Z570" s="113"/>
    </row>
    <row r="571" spans="1:26" x14ac:dyDescent="0.25">
      <c r="A571" s="89"/>
      <c r="B571" s="89"/>
      <c r="C571" s="89"/>
      <c r="D571" s="114"/>
      <c r="E571" s="114"/>
      <c r="F571" s="114"/>
      <c r="G571" s="114"/>
      <c r="I571" s="114"/>
      <c r="J571" s="114"/>
      <c r="K571" s="114"/>
      <c r="L571" s="114"/>
      <c r="M571" s="113"/>
      <c r="N571" s="114"/>
      <c r="O571" s="113"/>
      <c r="P571" s="113"/>
      <c r="Q571" s="114"/>
      <c r="R571" s="113"/>
      <c r="S571" s="113"/>
      <c r="T571" s="113"/>
      <c r="U571" s="113"/>
      <c r="V571" s="113"/>
      <c r="W571" s="113"/>
      <c r="X571" s="113"/>
      <c r="Y571" s="113"/>
      <c r="Z571" s="113"/>
    </row>
    <row r="572" spans="1:26" x14ac:dyDescent="0.25">
      <c r="A572" s="89"/>
      <c r="B572" s="89"/>
      <c r="C572" s="89"/>
      <c r="D572" s="114"/>
      <c r="E572" s="114"/>
      <c r="F572" s="114"/>
      <c r="G572" s="114"/>
      <c r="I572" s="114"/>
      <c r="J572" s="114"/>
      <c r="K572" s="114"/>
      <c r="L572" s="114"/>
      <c r="M572" s="113"/>
      <c r="N572" s="114"/>
      <c r="O572" s="113"/>
      <c r="P572" s="113"/>
      <c r="Q572" s="114"/>
      <c r="R572" s="113"/>
      <c r="S572" s="113"/>
      <c r="T572" s="113"/>
      <c r="U572" s="113"/>
      <c r="V572" s="113"/>
      <c r="W572" s="113"/>
      <c r="X572" s="113"/>
      <c r="Y572" s="113"/>
      <c r="Z572" s="113"/>
    </row>
    <row r="573" spans="1:26" x14ac:dyDescent="0.25">
      <c r="A573" s="89"/>
      <c r="B573" s="89"/>
      <c r="C573" s="89"/>
      <c r="D573" s="114"/>
      <c r="E573" s="114"/>
      <c r="F573" s="114"/>
      <c r="G573" s="114"/>
      <c r="I573" s="114"/>
      <c r="J573" s="114"/>
      <c r="K573" s="114"/>
      <c r="L573" s="114"/>
      <c r="M573" s="113"/>
      <c r="N573" s="114"/>
      <c r="O573" s="113"/>
      <c r="P573" s="113"/>
      <c r="Q573" s="114"/>
      <c r="R573" s="113"/>
      <c r="S573" s="113"/>
      <c r="T573" s="113"/>
      <c r="U573" s="113"/>
      <c r="V573" s="113"/>
      <c r="W573" s="113"/>
      <c r="X573" s="113"/>
      <c r="Y573" s="113"/>
      <c r="Z573" s="113"/>
    </row>
    <row r="574" spans="1:26" x14ac:dyDescent="0.25">
      <c r="A574" s="89"/>
      <c r="B574" s="89"/>
      <c r="C574" s="89"/>
      <c r="D574" s="114"/>
      <c r="E574" s="114"/>
      <c r="F574" s="114"/>
      <c r="G574" s="114"/>
      <c r="I574" s="114"/>
      <c r="J574" s="114"/>
      <c r="K574" s="114"/>
      <c r="L574" s="114"/>
      <c r="M574" s="113"/>
      <c r="N574" s="114"/>
      <c r="O574" s="113"/>
      <c r="P574" s="113"/>
      <c r="Q574" s="114"/>
      <c r="R574" s="113"/>
      <c r="S574" s="113"/>
      <c r="T574" s="113"/>
      <c r="U574" s="113"/>
      <c r="V574" s="113"/>
      <c r="W574" s="113"/>
      <c r="X574" s="113"/>
      <c r="Y574" s="113"/>
      <c r="Z574" s="113"/>
    </row>
    <row r="575" spans="1:26" x14ac:dyDescent="0.25">
      <c r="A575" s="89"/>
      <c r="B575" s="89"/>
      <c r="C575" s="89"/>
      <c r="D575" s="114"/>
      <c r="E575" s="114"/>
      <c r="F575" s="114"/>
      <c r="G575" s="114"/>
      <c r="I575" s="114"/>
      <c r="J575" s="114"/>
      <c r="K575" s="114"/>
      <c r="L575" s="114"/>
      <c r="M575" s="113"/>
      <c r="N575" s="114"/>
      <c r="O575" s="113"/>
      <c r="P575" s="113"/>
      <c r="Q575" s="114"/>
      <c r="R575" s="113"/>
      <c r="S575" s="113"/>
      <c r="T575" s="113"/>
      <c r="U575" s="113"/>
      <c r="V575" s="113"/>
      <c r="W575" s="113"/>
      <c r="X575" s="113"/>
      <c r="Y575" s="113"/>
      <c r="Z575" s="113"/>
    </row>
    <row r="576" spans="1:26" x14ac:dyDescent="0.25">
      <c r="A576" s="89"/>
      <c r="B576" s="89"/>
      <c r="C576" s="89"/>
      <c r="D576" s="114"/>
      <c r="E576" s="114"/>
      <c r="F576" s="114"/>
      <c r="G576" s="114"/>
      <c r="I576" s="114"/>
      <c r="J576" s="114"/>
      <c r="K576" s="114"/>
      <c r="L576" s="114"/>
      <c r="M576" s="113"/>
      <c r="N576" s="114"/>
      <c r="O576" s="113"/>
      <c r="P576" s="113"/>
      <c r="Q576" s="114"/>
      <c r="R576" s="113"/>
      <c r="S576" s="113"/>
      <c r="T576" s="113"/>
      <c r="U576" s="113"/>
      <c r="V576" s="113"/>
      <c r="W576" s="113"/>
      <c r="X576" s="113"/>
      <c r="Y576" s="113"/>
      <c r="Z576" s="113"/>
    </row>
    <row r="577" spans="1:26" x14ac:dyDescent="0.25">
      <c r="A577" s="89"/>
      <c r="B577" s="89"/>
      <c r="C577" s="89"/>
      <c r="D577" s="114"/>
      <c r="E577" s="114"/>
      <c r="F577" s="114"/>
      <c r="G577" s="114"/>
      <c r="I577" s="114"/>
      <c r="J577" s="114"/>
      <c r="K577" s="114"/>
      <c r="L577" s="114"/>
      <c r="M577" s="113"/>
      <c r="N577" s="114"/>
      <c r="O577" s="113"/>
      <c r="P577" s="113"/>
      <c r="Q577" s="114"/>
      <c r="R577" s="113"/>
      <c r="S577" s="113"/>
      <c r="T577" s="113"/>
      <c r="U577" s="113"/>
      <c r="V577" s="113"/>
      <c r="W577" s="113"/>
      <c r="X577" s="113"/>
      <c r="Y577" s="113"/>
      <c r="Z577" s="113"/>
    </row>
    <row r="578" spans="1:26" x14ac:dyDescent="0.25">
      <c r="A578" s="89"/>
      <c r="B578" s="89"/>
      <c r="C578" s="89"/>
      <c r="D578" s="114"/>
      <c r="E578" s="114"/>
      <c r="F578" s="114"/>
      <c r="G578" s="114"/>
      <c r="I578" s="114"/>
      <c r="J578" s="114"/>
      <c r="K578" s="114"/>
      <c r="L578" s="114"/>
      <c r="M578" s="113"/>
      <c r="N578" s="114"/>
      <c r="O578" s="113"/>
      <c r="P578" s="113"/>
      <c r="Q578" s="114"/>
      <c r="R578" s="113"/>
      <c r="S578" s="113"/>
      <c r="T578" s="113"/>
      <c r="U578" s="113"/>
      <c r="V578" s="113"/>
      <c r="W578" s="113"/>
      <c r="X578" s="113"/>
      <c r="Y578" s="113"/>
      <c r="Z578" s="113"/>
    </row>
    <row r="579" spans="1:26" x14ac:dyDescent="0.25">
      <c r="A579" s="89"/>
      <c r="B579" s="89"/>
      <c r="C579" s="89"/>
      <c r="D579" s="114"/>
      <c r="E579" s="114"/>
      <c r="F579" s="114"/>
      <c r="G579" s="114"/>
      <c r="I579" s="114"/>
      <c r="J579" s="114"/>
      <c r="K579" s="114"/>
      <c r="L579" s="114"/>
      <c r="M579" s="113"/>
      <c r="N579" s="114"/>
      <c r="O579" s="113"/>
      <c r="P579" s="113"/>
      <c r="Q579" s="114"/>
      <c r="R579" s="113"/>
      <c r="S579" s="113"/>
      <c r="T579" s="113"/>
      <c r="U579" s="113"/>
      <c r="V579" s="113"/>
      <c r="W579" s="113"/>
      <c r="X579" s="113"/>
      <c r="Y579" s="113"/>
      <c r="Z579" s="113"/>
    </row>
    <row r="580" spans="1:26" x14ac:dyDescent="0.25">
      <c r="A580" s="89"/>
      <c r="B580" s="89"/>
      <c r="C580" s="89"/>
      <c r="D580" s="114"/>
      <c r="E580" s="114"/>
      <c r="F580" s="114"/>
      <c r="G580" s="114"/>
      <c r="I580" s="114"/>
      <c r="J580" s="114"/>
      <c r="K580" s="114"/>
      <c r="L580" s="114"/>
      <c r="M580" s="113"/>
      <c r="N580" s="114"/>
      <c r="O580" s="113"/>
      <c r="P580" s="113"/>
      <c r="Q580" s="114"/>
      <c r="R580" s="113"/>
      <c r="S580" s="113"/>
      <c r="T580" s="113"/>
      <c r="U580" s="113"/>
      <c r="V580" s="113"/>
      <c r="W580" s="113"/>
      <c r="X580" s="113"/>
      <c r="Y580" s="113"/>
      <c r="Z580" s="113"/>
    </row>
    <row r="581" spans="1:26" x14ac:dyDescent="0.25">
      <c r="A581" s="89"/>
      <c r="B581" s="89"/>
      <c r="C581" s="89"/>
      <c r="D581" s="114"/>
      <c r="E581" s="114"/>
      <c r="F581" s="114"/>
      <c r="G581" s="114"/>
      <c r="I581" s="114"/>
      <c r="J581" s="114"/>
      <c r="K581" s="114"/>
      <c r="L581" s="114"/>
      <c r="M581" s="113"/>
      <c r="N581" s="114"/>
      <c r="O581" s="113"/>
      <c r="P581" s="113"/>
      <c r="Q581" s="114"/>
      <c r="R581" s="113"/>
      <c r="S581" s="113"/>
      <c r="T581" s="113"/>
      <c r="U581" s="113"/>
      <c r="V581" s="113"/>
      <c r="W581" s="113"/>
      <c r="X581" s="113"/>
      <c r="Y581" s="113"/>
      <c r="Z581" s="113"/>
    </row>
    <row r="582" spans="1:26" x14ac:dyDescent="0.25">
      <c r="A582" s="89"/>
      <c r="B582" s="89"/>
      <c r="C582" s="89"/>
      <c r="D582" s="114"/>
      <c r="E582" s="114"/>
      <c r="F582" s="114"/>
      <c r="G582" s="114"/>
      <c r="I582" s="114"/>
      <c r="J582" s="114"/>
      <c r="K582" s="114"/>
      <c r="L582" s="114"/>
      <c r="M582" s="113"/>
      <c r="N582" s="114"/>
      <c r="O582" s="113"/>
      <c r="P582" s="113"/>
      <c r="Q582" s="114"/>
      <c r="R582" s="113"/>
      <c r="S582" s="113"/>
      <c r="T582" s="113"/>
      <c r="U582" s="113"/>
      <c r="V582" s="113"/>
      <c r="W582" s="113"/>
      <c r="X582" s="113"/>
      <c r="Y582" s="113"/>
      <c r="Z582" s="113"/>
    </row>
    <row r="583" spans="1:26" x14ac:dyDescent="0.25">
      <c r="A583" s="89"/>
      <c r="B583" s="89"/>
      <c r="C583" s="89"/>
      <c r="D583" s="114"/>
      <c r="E583" s="114"/>
      <c r="F583" s="114"/>
      <c r="G583" s="114"/>
      <c r="I583" s="114"/>
      <c r="J583" s="114"/>
      <c r="K583" s="114"/>
      <c r="L583" s="114"/>
      <c r="M583" s="113"/>
      <c r="N583" s="114"/>
      <c r="O583" s="113"/>
      <c r="P583" s="113"/>
      <c r="Q583" s="114"/>
      <c r="R583" s="113"/>
      <c r="S583" s="113"/>
      <c r="T583" s="113"/>
      <c r="U583" s="113"/>
      <c r="V583" s="113"/>
      <c r="W583" s="113"/>
      <c r="X583" s="113"/>
      <c r="Y583" s="113"/>
      <c r="Z583" s="113"/>
    </row>
    <row r="584" spans="1:26" x14ac:dyDescent="0.25">
      <c r="A584" s="89"/>
      <c r="B584" s="89"/>
      <c r="C584" s="89"/>
      <c r="D584" s="114"/>
      <c r="E584" s="114"/>
      <c r="F584" s="114"/>
      <c r="G584" s="114"/>
      <c r="I584" s="114"/>
      <c r="J584" s="114"/>
      <c r="K584" s="114"/>
      <c r="L584" s="114"/>
      <c r="M584" s="113"/>
      <c r="N584" s="114"/>
      <c r="O584" s="113"/>
      <c r="P584" s="113"/>
      <c r="Q584" s="114"/>
      <c r="R584" s="113"/>
      <c r="S584" s="113"/>
      <c r="T584" s="113"/>
      <c r="U584" s="113"/>
      <c r="V584" s="113"/>
      <c r="W584" s="113"/>
      <c r="X584" s="113"/>
      <c r="Y584" s="113"/>
      <c r="Z584" s="113"/>
    </row>
    <row r="585" spans="1:26" x14ac:dyDescent="0.25">
      <c r="A585" s="89"/>
      <c r="B585" s="89"/>
      <c r="C585" s="89"/>
      <c r="D585" s="114"/>
      <c r="E585" s="114"/>
      <c r="F585" s="114"/>
      <c r="G585" s="114"/>
      <c r="I585" s="114"/>
      <c r="J585" s="114"/>
      <c r="K585" s="114"/>
      <c r="L585" s="114"/>
      <c r="M585" s="113"/>
      <c r="N585" s="114"/>
      <c r="O585" s="113"/>
      <c r="P585" s="113"/>
      <c r="Q585" s="114"/>
      <c r="R585" s="113"/>
      <c r="S585" s="113"/>
      <c r="T585" s="113"/>
      <c r="U585" s="113"/>
      <c r="V585" s="113"/>
      <c r="W585" s="113"/>
      <c r="X585" s="113"/>
      <c r="Y585" s="113"/>
      <c r="Z585" s="113"/>
    </row>
    <row r="586" spans="1:26" x14ac:dyDescent="0.25">
      <c r="A586" s="89"/>
      <c r="B586" s="89"/>
      <c r="C586" s="89"/>
      <c r="D586" s="114"/>
      <c r="E586" s="114"/>
      <c r="F586" s="114"/>
      <c r="G586" s="114"/>
      <c r="I586" s="114"/>
      <c r="J586" s="114"/>
      <c r="K586" s="114"/>
      <c r="L586" s="114"/>
      <c r="M586" s="113"/>
      <c r="N586" s="114"/>
      <c r="O586" s="113"/>
      <c r="P586" s="113"/>
      <c r="Q586" s="114"/>
      <c r="R586" s="113"/>
      <c r="S586" s="113"/>
      <c r="T586" s="113"/>
      <c r="U586" s="113"/>
      <c r="V586" s="113"/>
      <c r="W586" s="113"/>
      <c r="X586" s="113"/>
      <c r="Y586" s="113"/>
      <c r="Z586" s="113"/>
    </row>
    <row r="587" spans="1:26" x14ac:dyDescent="0.25">
      <c r="A587" s="89"/>
      <c r="B587" s="89"/>
      <c r="C587" s="89"/>
      <c r="D587" s="114"/>
      <c r="E587" s="114"/>
      <c r="F587" s="114"/>
      <c r="G587" s="114"/>
      <c r="I587" s="114"/>
      <c r="J587" s="114"/>
      <c r="K587" s="114"/>
      <c r="L587" s="114"/>
      <c r="M587" s="113"/>
      <c r="N587" s="114"/>
      <c r="O587" s="113"/>
      <c r="P587" s="113"/>
      <c r="Q587" s="114"/>
      <c r="R587" s="113"/>
      <c r="S587" s="113"/>
      <c r="T587" s="113"/>
      <c r="U587" s="113"/>
      <c r="V587" s="113"/>
      <c r="W587" s="113"/>
      <c r="X587" s="113"/>
      <c r="Y587" s="113"/>
      <c r="Z587" s="113"/>
    </row>
    <row r="588" spans="1:26" x14ac:dyDescent="0.25">
      <c r="A588" s="89"/>
      <c r="B588" s="89"/>
      <c r="C588" s="89"/>
      <c r="D588" s="114"/>
      <c r="E588" s="114"/>
      <c r="F588" s="114"/>
      <c r="G588" s="114"/>
      <c r="I588" s="114"/>
      <c r="J588" s="114"/>
      <c r="K588" s="114"/>
      <c r="L588" s="114"/>
      <c r="M588" s="113"/>
      <c r="N588" s="114"/>
      <c r="O588" s="113"/>
      <c r="P588" s="113"/>
      <c r="Q588" s="114"/>
      <c r="R588" s="113"/>
      <c r="S588" s="113"/>
      <c r="T588" s="113"/>
      <c r="U588" s="113"/>
      <c r="V588" s="113"/>
      <c r="W588" s="113"/>
      <c r="X588" s="113"/>
      <c r="Y588" s="113"/>
      <c r="Z588" s="113"/>
    </row>
    <row r="589" spans="1:26" x14ac:dyDescent="0.25">
      <c r="A589" s="89"/>
      <c r="B589" s="89"/>
      <c r="C589" s="89"/>
      <c r="D589" s="114"/>
      <c r="E589" s="114"/>
      <c r="F589" s="114"/>
      <c r="G589" s="114"/>
      <c r="I589" s="114"/>
      <c r="J589" s="114"/>
      <c r="K589" s="114"/>
      <c r="L589" s="114"/>
      <c r="M589" s="113"/>
      <c r="N589" s="114"/>
      <c r="O589" s="113"/>
      <c r="P589" s="113"/>
      <c r="Q589" s="114"/>
      <c r="R589" s="113"/>
      <c r="S589" s="113"/>
      <c r="T589" s="113"/>
      <c r="U589" s="113"/>
      <c r="V589" s="113"/>
      <c r="W589" s="113"/>
      <c r="X589" s="113"/>
      <c r="Y589" s="113"/>
      <c r="Z589" s="113"/>
    </row>
    <row r="590" spans="1:26" x14ac:dyDescent="0.25">
      <c r="A590" s="89"/>
      <c r="B590" s="89"/>
      <c r="C590" s="89"/>
      <c r="D590" s="114"/>
      <c r="E590" s="114"/>
      <c r="F590" s="114"/>
      <c r="G590" s="114"/>
      <c r="I590" s="114"/>
      <c r="J590" s="114"/>
      <c r="K590" s="114"/>
      <c r="L590" s="114"/>
      <c r="M590" s="113"/>
      <c r="N590" s="114"/>
      <c r="O590" s="113"/>
      <c r="P590" s="113"/>
      <c r="Q590" s="114"/>
      <c r="R590" s="113"/>
      <c r="S590" s="113"/>
      <c r="T590" s="113"/>
      <c r="U590" s="113"/>
      <c r="V590" s="113"/>
      <c r="W590" s="113"/>
      <c r="X590" s="113"/>
      <c r="Y590" s="113"/>
      <c r="Z590" s="113"/>
    </row>
    <row r="591" spans="1:26" x14ac:dyDescent="0.25">
      <c r="A591" s="89"/>
      <c r="B591" s="89"/>
      <c r="C591" s="89"/>
      <c r="D591" s="114"/>
      <c r="E591" s="114"/>
      <c r="F591" s="114"/>
      <c r="G591" s="114"/>
      <c r="I591" s="114"/>
      <c r="J591" s="114"/>
      <c r="K591" s="114"/>
      <c r="L591" s="114"/>
      <c r="M591" s="113"/>
      <c r="N591" s="114"/>
      <c r="O591" s="113"/>
      <c r="P591" s="113"/>
      <c r="Q591" s="114"/>
      <c r="R591" s="113"/>
      <c r="S591" s="113"/>
      <c r="T591" s="113"/>
      <c r="U591" s="113"/>
      <c r="V591" s="113"/>
      <c r="W591" s="113"/>
      <c r="X591" s="113"/>
      <c r="Y591" s="113"/>
      <c r="Z591" s="113"/>
    </row>
    <row r="592" spans="1:26" x14ac:dyDescent="0.25">
      <c r="A592" s="89"/>
      <c r="B592" s="89"/>
      <c r="C592" s="89"/>
      <c r="D592" s="114"/>
      <c r="E592" s="114"/>
      <c r="F592" s="114"/>
      <c r="G592" s="114"/>
      <c r="I592" s="114"/>
      <c r="J592" s="114"/>
      <c r="K592" s="114"/>
      <c r="L592" s="114"/>
      <c r="M592" s="113"/>
      <c r="N592" s="114"/>
      <c r="O592" s="113"/>
      <c r="P592" s="113"/>
      <c r="Q592" s="114"/>
      <c r="R592" s="113"/>
      <c r="S592" s="113"/>
      <c r="T592" s="113"/>
      <c r="U592" s="113"/>
      <c r="V592" s="113"/>
      <c r="W592" s="113"/>
      <c r="X592" s="113"/>
      <c r="Y592" s="113"/>
      <c r="Z592" s="113"/>
    </row>
    <row r="593" spans="1:26" x14ac:dyDescent="0.25">
      <c r="A593" s="89"/>
      <c r="B593" s="89"/>
      <c r="C593" s="89"/>
      <c r="D593" s="114"/>
      <c r="E593" s="114"/>
      <c r="F593" s="114"/>
      <c r="G593" s="114"/>
      <c r="I593" s="114"/>
      <c r="J593" s="114"/>
      <c r="K593" s="114"/>
      <c r="L593" s="114"/>
      <c r="M593" s="113"/>
      <c r="N593" s="114"/>
      <c r="O593" s="113"/>
      <c r="P593" s="113"/>
      <c r="Q593" s="114"/>
      <c r="R593" s="113"/>
      <c r="S593" s="113"/>
      <c r="T593" s="113"/>
      <c r="U593" s="113"/>
      <c r="V593" s="113"/>
      <c r="W593" s="113"/>
      <c r="X593" s="113"/>
      <c r="Y593" s="113"/>
      <c r="Z593" s="113"/>
    </row>
    <row r="594" spans="1:26" x14ac:dyDescent="0.25">
      <c r="A594" s="89"/>
      <c r="B594" s="89"/>
      <c r="C594" s="89"/>
      <c r="D594" s="114"/>
      <c r="E594" s="114"/>
      <c r="F594" s="114"/>
      <c r="G594" s="114"/>
      <c r="I594" s="114"/>
      <c r="J594" s="114"/>
      <c r="K594" s="114"/>
      <c r="L594" s="114"/>
      <c r="M594" s="113"/>
      <c r="N594" s="114"/>
      <c r="O594" s="113"/>
      <c r="P594" s="113"/>
      <c r="Q594" s="114"/>
      <c r="R594" s="113"/>
      <c r="S594" s="113"/>
      <c r="T594" s="113"/>
      <c r="U594" s="113"/>
      <c r="V594" s="113"/>
      <c r="W594" s="113"/>
      <c r="X594" s="113"/>
      <c r="Y594" s="113"/>
      <c r="Z594" s="113"/>
    </row>
    <row r="595" spans="1:26" x14ac:dyDescent="0.25">
      <c r="A595" s="89"/>
      <c r="B595" s="89"/>
      <c r="C595" s="89"/>
      <c r="D595" s="114"/>
      <c r="E595" s="114"/>
      <c r="F595" s="114"/>
      <c r="G595" s="114"/>
      <c r="I595" s="114"/>
      <c r="J595" s="114"/>
      <c r="K595" s="114"/>
      <c r="L595" s="114"/>
      <c r="M595" s="113"/>
      <c r="N595" s="114"/>
      <c r="O595" s="113"/>
      <c r="P595" s="113"/>
      <c r="Q595" s="114"/>
      <c r="R595" s="113"/>
      <c r="S595" s="113"/>
      <c r="T595" s="113"/>
      <c r="U595" s="113"/>
      <c r="V595" s="113"/>
      <c r="W595" s="113"/>
      <c r="X595" s="113"/>
      <c r="Y595" s="113"/>
      <c r="Z595" s="113"/>
    </row>
    <row r="596" spans="1:26" x14ac:dyDescent="0.25">
      <c r="A596" s="89"/>
      <c r="B596" s="89"/>
      <c r="C596" s="89"/>
      <c r="D596" s="114"/>
      <c r="E596" s="114"/>
      <c r="F596" s="114"/>
      <c r="G596" s="114"/>
      <c r="I596" s="114"/>
      <c r="J596" s="114"/>
      <c r="K596" s="114"/>
      <c r="L596" s="114"/>
      <c r="M596" s="113"/>
      <c r="N596" s="114"/>
      <c r="O596" s="113"/>
      <c r="P596" s="113"/>
      <c r="Q596" s="114"/>
      <c r="R596" s="113"/>
      <c r="S596" s="113"/>
      <c r="T596" s="113"/>
      <c r="U596" s="113"/>
      <c r="V596" s="113"/>
      <c r="W596" s="113"/>
      <c r="X596" s="113"/>
      <c r="Y596" s="113"/>
      <c r="Z596" s="113"/>
    </row>
    <row r="597" spans="1:26" x14ac:dyDescent="0.25">
      <c r="A597" s="89"/>
      <c r="B597" s="89"/>
      <c r="C597" s="89"/>
      <c r="D597" s="114"/>
      <c r="E597" s="114"/>
      <c r="F597" s="114"/>
      <c r="G597" s="114"/>
      <c r="I597" s="114"/>
      <c r="J597" s="114"/>
      <c r="K597" s="114"/>
      <c r="L597" s="114"/>
      <c r="M597" s="113"/>
      <c r="N597" s="114"/>
      <c r="O597" s="113"/>
      <c r="P597" s="113"/>
      <c r="Q597" s="114"/>
      <c r="R597" s="113"/>
      <c r="S597" s="113"/>
      <c r="T597" s="113"/>
      <c r="U597" s="113"/>
      <c r="V597" s="113"/>
      <c r="W597" s="113"/>
      <c r="X597" s="113"/>
      <c r="Y597" s="113"/>
      <c r="Z597" s="113"/>
    </row>
    <row r="598" spans="1:26" x14ac:dyDescent="0.25">
      <c r="A598" s="89"/>
      <c r="B598" s="89"/>
      <c r="C598" s="89"/>
      <c r="D598" s="114"/>
      <c r="E598" s="114"/>
      <c r="F598" s="114"/>
      <c r="G598" s="114"/>
      <c r="I598" s="114"/>
      <c r="J598" s="114"/>
      <c r="K598" s="114"/>
      <c r="L598" s="114"/>
      <c r="M598" s="113"/>
      <c r="N598" s="114"/>
      <c r="O598" s="113"/>
      <c r="P598" s="113"/>
      <c r="Q598" s="114"/>
      <c r="R598" s="113"/>
      <c r="S598" s="113"/>
      <c r="T598" s="113"/>
      <c r="U598" s="113"/>
      <c r="V598" s="113"/>
      <c r="W598" s="113"/>
      <c r="X598" s="113"/>
      <c r="Y598" s="113"/>
      <c r="Z598" s="113"/>
    </row>
    <row r="599" spans="1:26" x14ac:dyDescent="0.25">
      <c r="A599" s="89"/>
      <c r="B599" s="89"/>
      <c r="C599" s="89"/>
      <c r="D599" s="114"/>
      <c r="E599" s="114"/>
      <c r="F599" s="114"/>
      <c r="G599" s="114"/>
      <c r="I599" s="114"/>
      <c r="J599" s="114"/>
      <c r="K599" s="114"/>
      <c r="L599" s="114"/>
      <c r="M599" s="113"/>
      <c r="N599" s="114"/>
      <c r="O599" s="113"/>
      <c r="P599" s="113"/>
      <c r="Q599" s="114"/>
      <c r="R599" s="113"/>
      <c r="S599" s="113"/>
      <c r="T599" s="113"/>
      <c r="U599" s="113"/>
      <c r="V599" s="113"/>
      <c r="W599" s="113"/>
      <c r="X599" s="113"/>
      <c r="Y599" s="113"/>
      <c r="Z599" s="113"/>
    </row>
    <row r="600" spans="1:26" x14ac:dyDescent="0.25">
      <c r="A600" s="89"/>
      <c r="B600" s="89"/>
      <c r="C600" s="89"/>
      <c r="D600" s="114"/>
      <c r="E600" s="114"/>
      <c r="F600" s="114"/>
      <c r="G600" s="114"/>
      <c r="I600" s="114"/>
      <c r="J600" s="114"/>
      <c r="K600" s="114"/>
      <c r="L600" s="114"/>
      <c r="M600" s="113"/>
      <c r="N600" s="114"/>
      <c r="O600" s="113"/>
      <c r="P600" s="113"/>
      <c r="Q600" s="114"/>
      <c r="R600" s="113"/>
      <c r="S600" s="113"/>
      <c r="T600" s="113"/>
      <c r="U600" s="113"/>
      <c r="V600" s="113"/>
      <c r="W600" s="113"/>
      <c r="X600" s="113"/>
      <c r="Y600" s="113"/>
      <c r="Z600" s="113"/>
    </row>
    <row r="601" spans="1:26" x14ac:dyDescent="0.25">
      <c r="A601" s="89"/>
      <c r="B601" s="89"/>
      <c r="C601" s="89"/>
      <c r="D601" s="114"/>
      <c r="E601" s="114"/>
      <c r="F601" s="114"/>
      <c r="G601" s="114"/>
      <c r="I601" s="114"/>
      <c r="J601" s="114"/>
      <c r="K601" s="114"/>
      <c r="L601" s="114"/>
      <c r="M601" s="113"/>
      <c r="N601" s="114"/>
      <c r="O601" s="113"/>
      <c r="P601" s="113"/>
      <c r="Q601" s="114"/>
      <c r="R601" s="113"/>
      <c r="S601" s="113"/>
      <c r="T601" s="113"/>
      <c r="U601" s="113"/>
      <c r="V601" s="113"/>
      <c r="W601" s="113"/>
      <c r="X601" s="113"/>
      <c r="Y601" s="113"/>
      <c r="Z601" s="113"/>
    </row>
    <row r="602" spans="1:26" x14ac:dyDescent="0.25">
      <c r="A602" s="89"/>
      <c r="B602" s="89"/>
      <c r="C602" s="89"/>
      <c r="D602" s="114"/>
      <c r="E602" s="114"/>
      <c r="F602" s="114"/>
      <c r="G602" s="114"/>
      <c r="I602" s="114"/>
      <c r="J602" s="114"/>
      <c r="K602" s="114"/>
      <c r="L602" s="114"/>
      <c r="M602" s="113"/>
      <c r="N602" s="114"/>
      <c r="O602" s="113"/>
      <c r="P602" s="113"/>
      <c r="Q602" s="114"/>
      <c r="R602" s="113"/>
      <c r="S602" s="113"/>
      <c r="T602" s="113"/>
      <c r="U602" s="113"/>
      <c r="V602" s="113"/>
      <c r="W602" s="113"/>
      <c r="X602" s="113"/>
      <c r="Y602" s="113"/>
      <c r="Z602" s="113"/>
    </row>
    <row r="603" spans="1:26" x14ac:dyDescent="0.25">
      <c r="A603" s="89"/>
      <c r="B603" s="89"/>
      <c r="C603" s="89"/>
      <c r="D603" s="114"/>
      <c r="E603" s="114"/>
      <c r="F603" s="114"/>
      <c r="G603" s="114"/>
      <c r="I603" s="114"/>
      <c r="J603" s="114"/>
      <c r="K603" s="114"/>
      <c r="L603" s="114"/>
      <c r="M603" s="113"/>
      <c r="N603" s="114"/>
      <c r="O603" s="113"/>
      <c r="P603" s="113"/>
      <c r="Q603" s="114"/>
      <c r="R603" s="113"/>
      <c r="S603" s="113"/>
      <c r="T603" s="113"/>
      <c r="U603" s="113"/>
      <c r="V603" s="113"/>
      <c r="W603" s="113"/>
      <c r="X603" s="113"/>
      <c r="Y603" s="113"/>
      <c r="Z603" s="113"/>
    </row>
    <row r="604" spans="1:26" x14ac:dyDescent="0.25">
      <c r="A604" s="89"/>
      <c r="B604" s="89"/>
      <c r="C604" s="89"/>
      <c r="D604" s="114"/>
      <c r="E604" s="114"/>
      <c r="F604" s="114"/>
      <c r="G604" s="114"/>
      <c r="I604" s="114"/>
      <c r="J604" s="114"/>
      <c r="K604" s="114"/>
      <c r="L604" s="114"/>
      <c r="M604" s="113"/>
      <c r="N604" s="114"/>
      <c r="O604" s="113"/>
      <c r="P604" s="113"/>
      <c r="Q604" s="114"/>
      <c r="R604" s="113"/>
      <c r="S604" s="113"/>
      <c r="T604" s="113"/>
      <c r="U604" s="113"/>
      <c r="V604" s="113"/>
      <c r="W604" s="113"/>
      <c r="X604" s="113"/>
      <c r="Y604" s="113"/>
      <c r="Z604" s="113"/>
    </row>
    <row r="605" spans="1:26" x14ac:dyDescent="0.25">
      <c r="A605" s="89"/>
      <c r="B605" s="89"/>
      <c r="C605" s="89"/>
      <c r="D605" s="114"/>
      <c r="E605" s="114"/>
      <c r="F605" s="114"/>
      <c r="G605" s="114"/>
      <c r="I605" s="114"/>
      <c r="J605" s="114"/>
      <c r="K605" s="114"/>
      <c r="L605" s="114"/>
      <c r="M605" s="113"/>
      <c r="N605" s="114"/>
      <c r="O605" s="113"/>
      <c r="P605" s="113"/>
      <c r="Q605" s="114"/>
      <c r="R605" s="113"/>
      <c r="S605" s="113"/>
      <c r="T605" s="113"/>
      <c r="U605" s="113"/>
      <c r="V605" s="113"/>
      <c r="W605" s="113"/>
      <c r="X605" s="113"/>
      <c r="Y605" s="113"/>
      <c r="Z605" s="113"/>
    </row>
    <row r="606" spans="1:26" x14ac:dyDescent="0.25">
      <c r="A606" s="89"/>
      <c r="B606" s="89"/>
      <c r="C606" s="89"/>
      <c r="D606" s="114"/>
      <c r="E606" s="114"/>
      <c r="F606" s="114"/>
      <c r="G606" s="114"/>
      <c r="I606" s="114"/>
      <c r="J606" s="114"/>
      <c r="K606" s="114"/>
      <c r="L606" s="114"/>
      <c r="M606" s="113"/>
      <c r="N606" s="114"/>
      <c r="O606" s="113"/>
      <c r="P606" s="113"/>
      <c r="Q606" s="114"/>
      <c r="R606" s="113"/>
      <c r="S606" s="113"/>
      <c r="T606" s="113"/>
      <c r="U606" s="113"/>
      <c r="V606" s="113"/>
      <c r="W606" s="113"/>
      <c r="X606" s="113"/>
      <c r="Y606" s="113"/>
      <c r="Z606" s="113"/>
    </row>
    <row r="607" spans="1:26" x14ac:dyDescent="0.25">
      <c r="A607" s="89"/>
      <c r="B607" s="89"/>
      <c r="C607" s="89"/>
      <c r="D607" s="114"/>
      <c r="E607" s="114"/>
      <c r="F607" s="114"/>
      <c r="G607" s="114"/>
      <c r="I607" s="114"/>
      <c r="J607" s="114"/>
      <c r="K607" s="114"/>
      <c r="L607" s="114"/>
      <c r="M607" s="113"/>
      <c r="N607" s="114"/>
      <c r="O607" s="113"/>
      <c r="P607" s="113"/>
      <c r="Q607" s="114"/>
      <c r="R607" s="113"/>
      <c r="S607" s="113"/>
      <c r="T607" s="113"/>
      <c r="U607" s="113"/>
      <c r="V607" s="113"/>
      <c r="W607" s="113"/>
      <c r="X607" s="113"/>
      <c r="Y607" s="113"/>
      <c r="Z607" s="113"/>
    </row>
    <row r="608" spans="1:26" x14ac:dyDescent="0.25">
      <c r="A608" s="89"/>
      <c r="B608" s="89"/>
      <c r="C608" s="89"/>
      <c r="D608" s="114"/>
      <c r="E608" s="114"/>
      <c r="F608" s="114"/>
      <c r="G608" s="114"/>
      <c r="I608" s="114"/>
      <c r="J608" s="114"/>
      <c r="K608" s="114"/>
      <c r="L608" s="114"/>
      <c r="M608" s="113"/>
      <c r="N608" s="114"/>
      <c r="O608" s="113"/>
      <c r="P608" s="113"/>
      <c r="Q608" s="114"/>
      <c r="R608" s="113"/>
      <c r="S608" s="113"/>
      <c r="T608" s="113"/>
      <c r="U608" s="113"/>
      <c r="V608" s="113"/>
      <c r="W608" s="113"/>
      <c r="X608" s="113"/>
      <c r="Y608" s="113"/>
      <c r="Z608" s="113"/>
    </row>
    <row r="609" spans="1:26" x14ac:dyDescent="0.25">
      <c r="A609" s="89"/>
      <c r="B609" s="89"/>
      <c r="C609" s="89"/>
      <c r="D609" s="114"/>
      <c r="E609" s="114"/>
      <c r="F609" s="114"/>
      <c r="G609" s="114"/>
      <c r="I609" s="114"/>
      <c r="J609" s="114"/>
      <c r="K609" s="114"/>
      <c r="L609" s="114"/>
      <c r="M609" s="113"/>
      <c r="N609" s="114"/>
      <c r="O609" s="113"/>
      <c r="P609" s="113"/>
      <c r="Q609" s="114"/>
      <c r="R609" s="113"/>
      <c r="S609" s="113"/>
      <c r="T609" s="113"/>
      <c r="U609" s="113"/>
      <c r="V609" s="113"/>
      <c r="W609" s="113"/>
      <c r="X609" s="113"/>
      <c r="Y609" s="113"/>
      <c r="Z609" s="113"/>
    </row>
    <row r="610" spans="1:26" x14ac:dyDescent="0.25">
      <c r="A610" s="89"/>
      <c r="B610" s="89"/>
      <c r="C610" s="89"/>
      <c r="D610" s="114"/>
      <c r="E610" s="114"/>
      <c r="F610" s="114"/>
      <c r="G610" s="114"/>
      <c r="I610" s="114"/>
      <c r="J610" s="114"/>
      <c r="K610" s="114"/>
      <c r="L610" s="114"/>
      <c r="M610" s="113"/>
      <c r="N610" s="114"/>
      <c r="O610" s="113"/>
      <c r="P610" s="113"/>
      <c r="Q610" s="114"/>
      <c r="R610" s="113"/>
      <c r="S610" s="113"/>
      <c r="T610" s="113"/>
      <c r="U610" s="113"/>
      <c r="V610" s="113"/>
      <c r="W610" s="113"/>
      <c r="X610" s="113"/>
      <c r="Y610" s="113"/>
      <c r="Z610" s="113"/>
    </row>
    <row r="611" spans="1:26" x14ac:dyDescent="0.25">
      <c r="A611" s="89"/>
      <c r="B611" s="89"/>
      <c r="C611" s="89"/>
      <c r="D611" s="114"/>
      <c r="E611" s="114"/>
      <c r="F611" s="114"/>
      <c r="G611" s="114"/>
      <c r="I611" s="114"/>
      <c r="J611" s="114"/>
      <c r="K611" s="114"/>
      <c r="L611" s="114"/>
      <c r="M611" s="113"/>
      <c r="N611" s="114"/>
      <c r="O611" s="113"/>
      <c r="P611" s="113"/>
      <c r="Q611" s="114"/>
      <c r="R611" s="113"/>
      <c r="S611" s="113"/>
      <c r="T611" s="113"/>
      <c r="U611" s="113"/>
      <c r="V611" s="113"/>
      <c r="W611" s="113"/>
      <c r="X611" s="113"/>
      <c r="Y611" s="113"/>
      <c r="Z611" s="113"/>
    </row>
    <row r="612" spans="1:26" x14ac:dyDescent="0.25">
      <c r="A612" s="89"/>
      <c r="B612" s="89"/>
      <c r="C612" s="89"/>
      <c r="D612" s="114"/>
      <c r="E612" s="114"/>
      <c r="F612" s="114"/>
      <c r="G612" s="114"/>
      <c r="I612" s="114"/>
      <c r="J612" s="114"/>
      <c r="K612" s="114"/>
      <c r="L612" s="114"/>
      <c r="M612" s="113"/>
      <c r="N612" s="114"/>
      <c r="O612" s="113"/>
      <c r="P612" s="113"/>
      <c r="Q612" s="114"/>
      <c r="R612" s="113"/>
      <c r="S612" s="113"/>
      <c r="T612" s="113"/>
      <c r="U612" s="113"/>
      <c r="V612" s="113"/>
      <c r="W612" s="113"/>
      <c r="X612" s="113"/>
      <c r="Y612" s="113"/>
      <c r="Z612" s="113"/>
    </row>
    <row r="613" spans="1:26" x14ac:dyDescent="0.25">
      <c r="A613" s="89"/>
      <c r="B613" s="89"/>
      <c r="C613" s="89"/>
      <c r="D613" s="114"/>
      <c r="E613" s="114"/>
      <c r="F613" s="114"/>
      <c r="G613" s="114"/>
      <c r="I613" s="114"/>
      <c r="J613" s="114"/>
      <c r="K613" s="114"/>
      <c r="L613" s="114"/>
      <c r="M613" s="113"/>
      <c r="N613" s="114"/>
      <c r="O613" s="113"/>
      <c r="P613" s="113"/>
      <c r="Q613" s="114"/>
      <c r="R613" s="113"/>
      <c r="S613" s="113"/>
      <c r="T613" s="113"/>
      <c r="U613" s="113"/>
      <c r="V613" s="113"/>
      <c r="W613" s="113"/>
      <c r="X613" s="113"/>
      <c r="Y613" s="113"/>
      <c r="Z613" s="113"/>
    </row>
    <row r="614" spans="1:26" x14ac:dyDescent="0.25">
      <c r="A614" s="89"/>
      <c r="B614" s="89"/>
      <c r="C614" s="89"/>
      <c r="D614" s="114"/>
      <c r="E614" s="114"/>
      <c r="F614" s="114"/>
      <c r="G614" s="114"/>
      <c r="I614" s="114"/>
      <c r="J614" s="114"/>
      <c r="K614" s="114"/>
      <c r="L614" s="114"/>
      <c r="M614" s="113"/>
      <c r="N614" s="114"/>
      <c r="O614" s="113"/>
      <c r="P614" s="113"/>
      <c r="Q614" s="114"/>
      <c r="R614" s="113"/>
      <c r="S614" s="113"/>
      <c r="T614" s="113"/>
      <c r="U614" s="113"/>
      <c r="V614" s="113"/>
      <c r="W614" s="113"/>
      <c r="X614" s="113"/>
      <c r="Y614" s="113"/>
      <c r="Z614" s="113"/>
    </row>
    <row r="615" spans="1:26" x14ac:dyDescent="0.25">
      <c r="A615" s="89"/>
      <c r="B615" s="89"/>
      <c r="C615" s="89"/>
      <c r="D615" s="114"/>
      <c r="E615" s="114"/>
      <c r="F615" s="114"/>
      <c r="G615" s="114"/>
      <c r="I615" s="114"/>
      <c r="J615" s="114"/>
      <c r="K615" s="114"/>
      <c r="L615" s="114"/>
      <c r="M615" s="113"/>
      <c r="N615" s="114"/>
      <c r="O615" s="113"/>
      <c r="P615" s="113"/>
      <c r="Q615" s="114"/>
      <c r="R615" s="113"/>
      <c r="S615" s="113"/>
      <c r="T615" s="113"/>
      <c r="U615" s="113"/>
      <c r="V615" s="113"/>
      <c r="W615" s="113"/>
      <c r="X615" s="113"/>
      <c r="Y615" s="113"/>
      <c r="Z615" s="113"/>
    </row>
    <row r="616" spans="1:26" x14ac:dyDescent="0.25">
      <c r="A616" s="89"/>
      <c r="B616" s="89"/>
      <c r="C616" s="89"/>
      <c r="D616" s="114"/>
      <c r="E616" s="114"/>
      <c r="F616" s="114"/>
      <c r="G616" s="114"/>
      <c r="I616" s="114"/>
      <c r="J616" s="114"/>
      <c r="K616" s="114"/>
      <c r="L616" s="114"/>
      <c r="M616" s="113"/>
      <c r="N616" s="114"/>
      <c r="O616" s="113"/>
      <c r="P616" s="113"/>
      <c r="Q616" s="114"/>
      <c r="R616" s="113"/>
      <c r="S616" s="113"/>
      <c r="T616" s="113"/>
      <c r="U616" s="113"/>
      <c r="V616" s="113"/>
      <c r="W616" s="113"/>
      <c r="X616" s="113"/>
      <c r="Y616" s="113"/>
      <c r="Z616" s="113"/>
    </row>
    <row r="617" spans="1:26" x14ac:dyDescent="0.25">
      <c r="A617" s="89"/>
      <c r="B617" s="89"/>
      <c r="C617" s="89"/>
      <c r="D617" s="114"/>
      <c r="E617" s="114"/>
      <c r="F617" s="114"/>
      <c r="G617" s="114"/>
      <c r="I617" s="114"/>
      <c r="J617" s="114"/>
      <c r="K617" s="114"/>
      <c r="L617" s="114"/>
      <c r="M617" s="113"/>
      <c r="N617" s="114"/>
      <c r="O617" s="113"/>
      <c r="P617" s="113"/>
      <c r="Q617" s="114"/>
      <c r="R617" s="113"/>
      <c r="S617" s="113"/>
      <c r="T617" s="113"/>
      <c r="U617" s="113"/>
      <c r="V617" s="113"/>
      <c r="W617" s="113"/>
      <c r="X617" s="113"/>
      <c r="Y617" s="113"/>
      <c r="Z617" s="113"/>
    </row>
    <row r="618" spans="1:26" x14ac:dyDescent="0.25">
      <c r="A618" s="89"/>
      <c r="B618" s="89"/>
      <c r="C618" s="89"/>
      <c r="D618" s="114"/>
      <c r="E618" s="114"/>
      <c r="F618" s="114"/>
      <c r="G618" s="114"/>
      <c r="I618" s="114"/>
      <c r="J618" s="114"/>
      <c r="K618" s="114"/>
      <c r="L618" s="114"/>
      <c r="M618" s="113"/>
      <c r="N618" s="114"/>
      <c r="O618" s="113"/>
      <c r="P618" s="113"/>
      <c r="Q618" s="114"/>
      <c r="R618" s="113"/>
      <c r="S618" s="113"/>
      <c r="T618" s="113"/>
      <c r="U618" s="113"/>
      <c r="V618" s="113"/>
      <c r="W618" s="113"/>
      <c r="X618" s="113"/>
      <c r="Y618" s="113"/>
      <c r="Z618" s="113"/>
    </row>
    <row r="619" spans="1:26" x14ac:dyDescent="0.25">
      <c r="A619" s="89"/>
      <c r="B619" s="89"/>
      <c r="C619" s="89"/>
      <c r="D619" s="114"/>
      <c r="E619" s="114"/>
      <c r="F619" s="114"/>
      <c r="G619" s="114"/>
      <c r="I619" s="114"/>
      <c r="J619" s="114"/>
      <c r="K619" s="114"/>
      <c r="L619" s="114"/>
      <c r="M619" s="113"/>
      <c r="N619" s="114"/>
      <c r="O619" s="113"/>
      <c r="P619" s="113"/>
      <c r="Q619" s="114"/>
      <c r="R619" s="113"/>
      <c r="S619" s="113"/>
      <c r="T619" s="113"/>
      <c r="U619" s="113"/>
      <c r="V619" s="113"/>
      <c r="W619" s="113"/>
      <c r="X619" s="113"/>
      <c r="Y619" s="113"/>
      <c r="Z619" s="113"/>
    </row>
    <row r="620" spans="1:26" x14ac:dyDescent="0.25">
      <c r="A620" s="89"/>
      <c r="B620" s="89"/>
      <c r="C620" s="89"/>
      <c r="D620" s="114"/>
      <c r="E620" s="114"/>
      <c r="F620" s="114"/>
      <c r="G620" s="114"/>
      <c r="I620" s="114"/>
      <c r="J620" s="114"/>
      <c r="K620" s="114"/>
      <c r="L620" s="114"/>
      <c r="M620" s="113"/>
      <c r="N620" s="114"/>
      <c r="O620" s="113"/>
      <c r="P620" s="113"/>
      <c r="Q620" s="114"/>
      <c r="R620" s="113"/>
      <c r="S620" s="113"/>
      <c r="T620" s="113"/>
      <c r="U620" s="113"/>
      <c r="V620" s="113"/>
      <c r="W620" s="113"/>
      <c r="X620" s="113"/>
      <c r="Y620" s="113"/>
      <c r="Z620" s="113"/>
    </row>
    <row r="621" spans="1:26" x14ac:dyDescent="0.25">
      <c r="A621" s="89"/>
      <c r="B621" s="89"/>
      <c r="C621" s="89"/>
      <c r="D621" s="114"/>
      <c r="E621" s="114"/>
      <c r="F621" s="114"/>
      <c r="G621" s="114"/>
      <c r="I621" s="114"/>
      <c r="J621" s="114"/>
      <c r="K621" s="114"/>
      <c r="L621" s="114"/>
      <c r="M621" s="113"/>
      <c r="N621" s="114"/>
      <c r="O621" s="113"/>
      <c r="P621" s="113"/>
      <c r="Q621" s="114"/>
      <c r="R621" s="113"/>
      <c r="S621" s="113"/>
      <c r="T621" s="113"/>
      <c r="U621" s="113"/>
      <c r="V621" s="113"/>
      <c r="W621" s="113"/>
      <c r="X621" s="113"/>
      <c r="Y621" s="113"/>
      <c r="Z621" s="113"/>
    </row>
    <row r="622" spans="1:26" x14ac:dyDescent="0.25">
      <c r="A622" s="89"/>
      <c r="B622" s="89"/>
      <c r="C622" s="89"/>
      <c r="D622" s="114"/>
      <c r="E622" s="114"/>
      <c r="F622" s="114"/>
      <c r="G622" s="114"/>
      <c r="I622" s="114"/>
      <c r="J622" s="114"/>
      <c r="K622" s="114"/>
      <c r="L622" s="114"/>
      <c r="M622" s="113"/>
      <c r="N622" s="114"/>
      <c r="O622" s="113"/>
      <c r="P622" s="113"/>
      <c r="Q622" s="114"/>
      <c r="R622" s="113"/>
      <c r="S622" s="113"/>
      <c r="T622" s="113"/>
      <c r="U622" s="113"/>
      <c r="V622" s="113"/>
      <c r="W622" s="113"/>
      <c r="X622" s="113"/>
      <c r="Y622" s="113"/>
      <c r="Z622" s="113"/>
    </row>
    <row r="623" spans="1:26" x14ac:dyDescent="0.25">
      <c r="A623" s="89"/>
      <c r="B623" s="89"/>
      <c r="C623" s="89"/>
      <c r="D623" s="114"/>
      <c r="E623" s="114"/>
      <c r="F623" s="114"/>
      <c r="G623" s="114"/>
      <c r="I623" s="114"/>
      <c r="J623" s="114"/>
      <c r="K623" s="114"/>
      <c r="L623" s="114"/>
      <c r="M623" s="113"/>
      <c r="N623" s="114"/>
      <c r="O623" s="113"/>
      <c r="P623" s="113"/>
      <c r="Q623" s="114"/>
      <c r="R623" s="113"/>
      <c r="S623" s="113"/>
      <c r="T623" s="113"/>
      <c r="U623" s="113"/>
      <c r="V623" s="113"/>
      <c r="W623" s="113"/>
      <c r="X623" s="113"/>
      <c r="Y623" s="113"/>
      <c r="Z623" s="113"/>
    </row>
    <row r="624" spans="1:26" x14ac:dyDescent="0.25">
      <c r="A624" s="89"/>
      <c r="B624" s="89"/>
      <c r="C624" s="89"/>
      <c r="D624" s="114"/>
      <c r="E624" s="114"/>
      <c r="F624" s="114"/>
      <c r="G624" s="114"/>
      <c r="I624" s="114"/>
      <c r="J624" s="114"/>
      <c r="K624" s="114"/>
      <c r="L624" s="114"/>
      <c r="M624" s="113"/>
      <c r="N624" s="114"/>
      <c r="O624" s="113"/>
      <c r="P624" s="113"/>
      <c r="Q624" s="114"/>
      <c r="R624" s="113"/>
      <c r="S624" s="113"/>
      <c r="T624" s="113"/>
      <c r="U624" s="113"/>
      <c r="V624" s="113"/>
      <c r="W624" s="113"/>
      <c r="X624" s="113"/>
      <c r="Y624" s="113"/>
      <c r="Z624" s="113"/>
    </row>
    <row r="625" spans="1:26" x14ac:dyDescent="0.25">
      <c r="A625" s="89"/>
      <c r="B625" s="89"/>
      <c r="C625" s="89"/>
      <c r="D625" s="114"/>
      <c r="E625" s="114"/>
      <c r="F625" s="114"/>
      <c r="G625" s="114"/>
      <c r="I625" s="114"/>
      <c r="J625" s="114"/>
      <c r="K625" s="114"/>
      <c r="L625" s="114"/>
      <c r="M625" s="113"/>
      <c r="N625" s="114"/>
      <c r="O625" s="113"/>
      <c r="P625" s="113"/>
      <c r="Q625" s="114"/>
      <c r="R625" s="113"/>
      <c r="S625" s="113"/>
      <c r="T625" s="113"/>
      <c r="U625" s="113"/>
      <c r="V625" s="113"/>
      <c r="W625" s="113"/>
      <c r="X625" s="113"/>
      <c r="Y625" s="113"/>
      <c r="Z625" s="113"/>
    </row>
    <row r="626" spans="1:26" x14ac:dyDescent="0.25">
      <c r="A626" s="89"/>
      <c r="B626" s="89"/>
      <c r="C626" s="89"/>
      <c r="D626" s="114"/>
      <c r="E626" s="114"/>
      <c r="F626" s="114"/>
      <c r="G626" s="114"/>
      <c r="I626" s="114"/>
      <c r="J626" s="114"/>
      <c r="K626" s="114"/>
      <c r="L626" s="114"/>
      <c r="M626" s="113"/>
      <c r="N626" s="114"/>
      <c r="O626" s="113"/>
      <c r="P626" s="113"/>
      <c r="Q626" s="114"/>
      <c r="R626" s="113"/>
      <c r="S626" s="113"/>
      <c r="T626" s="113"/>
      <c r="U626" s="113"/>
      <c r="V626" s="113"/>
      <c r="W626" s="113"/>
      <c r="X626" s="113"/>
      <c r="Y626" s="113"/>
      <c r="Z626" s="113"/>
    </row>
    <row r="627" spans="1:26" x14ac:dyDescent="0.25">
      <c r="A627" s="89"/>
      <c r="B627" s="89"/>
      <c r="C627" s="89"/>
      <c r="D627" s="114"/>
      <c r="E627" s="114"/>
      <c r="F627" s="114"/>
      <c r="G627" s="114"/>
      <c r="I627" s="114"/>
      <c r="J627" s="114"/>
      <c r="K627" s="114"/>
      <c r="L627" s="114"/>
      <c r="M627" s="113"/>
      <c r="N627" s="114"/>
      <c r="O627" s="113"/>
      <c r="P627" s="113"/>
      <c r="Q627" s="114"/>
      <c r="R627" s="113"/>
      <c r="S627" s="113"/>
      <c r="T627" s="113"/>
      <c r="U627" s="113"/>
      <c r="V627" s="113"/>
      <c r="W627" s="113"/>
      <c r="X627" s="113"/>
      <c r="Y627" s="113"/>
      <c r="Z627" s="113"/>
    </row>
    <row r="628" spans="1:26" x14ac:dyDescent="0.25">
      <c r="A628" s="89"/>
      <c r="B628" s="89"/>
      <c r="C628" s="89"/>
      <c r="D628" s="114"/>
      <c r="E628" s="114"/>
      <c r="F628" s="114"/>
      <c r="G628" s="114"/>
      <c r="I628" s="114"/>
      <c r="J628" s="114"/>
      <c r="K628" s="114"/>
      <c r="L628" s="114"/>
      <c r="M628" s="113"/>
      <c r="N628" s="114"/>
      <c r="O628" s="113"/>
      <c r="P628" s="113"/>
      <c r="Q628" s="114"/>
      <c r="R628" s="113"/>
      <c r="S628" s="113"/>
      <c r="T628" s="113"/>
      <c r="U628" s="113"/>
      <c r="V628" s="113"/>
      <c r="W628" s="113"/>
      <c r="X628" s="113"/>
      <c r="Y628" s="113"/>
      <c r="Z628" s="113"/>
    </row>
    <row r="629" spans="1:26" x14ac:dyDescent="0.25">
      <c r="A629" s="89"/>
      <c r="B629" s="89"/>
      <c r="C629" s="89"/>
      <c r="D629" s="114"/>
      <c r="E629" s="114"/>
      <c r="F629" s="114"/>
      <c r="G629" s="114"/>
      <c r="I629" s="114"/>
      <c r="J629" s="114"/>
      <c r="K629" s="114"/>
      <c r="L629" s="114"/>
      <c r="M629" s="113"/>
      <c r="N629" s="114"/>
      <c r="O629" s="113"/>
      <c r="P629" s="113"/>
      <c r="Q629" s="114"/>
      <c r="R629" s="113"/>
      <c r="S629" s="113"/>
      <c r="T629" s="113"/>
      <c r="U629" s="113"/>
      <c r="V629" s="113"/>
      <c r="W629" s="113"/>
      <c r="X629" s="113"/>
      <c r="Y629" s="113"/>
      <c r="Z629" s="113"/>
    </row>
    <row r="630" spans="1:26" x14ac:dyDescent="0.25">
      <c r="A630" s="89"/>
      <c r="B630" s="89"/>
      <c r="C630" s="89"/>
      <c r="D630" s="114"/>
      <c r="E630" s="114"/>
      <c r="F630" s="114"/>
      <c r="G630" s="114"/>
      <c r="I630" s="114"/>
      <c r="J630" s="114"/>
      <c r="K630" s="114"/>
      <c r="L630" s="114"/>
      <c r="M630" s="113"/>
      <c r="N630" s="114"/>
      <c r="O630" s="113"/>
      <c r="P630" s="113"/>
      <c r="Q630" s="114"/>
      <c r="R630" s="113"/>
      <c r="S630" s="113"/>
      <c r="T630" s="113"/>
      <c r="U630" s="113"/>
      <c r="V630" s="113"/>
      <c r="W630" s="113"/>
      <c r="X630" s="113"/>
      <c r="Y630" s="113"/>
      <c r="Z630" s="113"/>
    </row>
    <row r="631" spans="1:26" x14ac:dyDescent="0.25">
      <c r="A631" s="89"/>
      <c r="B631" s="89"/>
      <c r="C631" s="89"/>
      <c r="D631" s="114"/>
      <c r="E631" s="114"/>
      <c r="F631" s="114"/>
      <c r="G631" s="114"/>
      <c r="I631" s="114"/>
      <c r="J631" s="114"/>
      <c r="K631" s="114"/>
      <c r="L631" s="114"/>
      <c r="M631" s="113"/>
      <c r="N631" s="114"/>
      <c r="O631" s="113"/>
      <c r="P631" s="113"/>
      <c r="Q631" s="114"/>
      <c r="R631" s="113"/>
      <c r="S631" s="113"/>
      <c r="T631" s="113"/>
      <c r="U631" s="113"/>
      <c r="V631" s="113"/>
      <c r="W631" s="113"/>
      <c r="X631" s="113"/>
      <c r="Y631" s="113"/>
      <c r="Z631" s="113"/>
    </row>
    <row r="632" spans="1:26" x14ac:dyDescent="0.25">
      <c r="A632" s="89"/>
      <c r="B632" s="89"/>
      <c r="C632" s="89"/>
      <c r="D632" s="114"/>
      <c r="E632" s="114"/>
      <c r="F632" s="114"/>
      <c r="G632" s="114"/>
      <c r="I632" s="114"/>
      <c r="J632" s="114"/>
      <c r="K632" s="114"/>
      <c r="L632" s="114"/>
      <c r="M632" s="113"/>
      <c r="N632" s="114"/>
      <c r="O632" s="113"/>
      <c r="P632" s="113"/>
      <c r="Q632" s="114"/>
      <c r="R632" s="113"/>
      <c r="S632" s="113"/>
      <c r="T632" s="113"/>
      <c r="U632" s="113"/>
      <c r="V632" s="113"/>
      <c r="W632" s="113"/>
      <c r="X632" s="113"/>
      <c r="Y632" s="113"/>
      <c r="Z632" s="113"/>
    </row>
    <row r="633" spans="1:26" x14ac:dyDescent="0.25">
      <c r="A633" s="89"/>
      <c r="B633" s="89"/>
      <c r="C633" s="89"/>
      <c r="D633" s="114"/>
      <c r="E633" s="114"/>
      <c r="F633" s="114"/>
      <c r="G633" s="114"/>
      <c r="I633" s="114"/>
      <c r="J633" s="114"/>
      <c r="K633" s="114"/>
      <c r="L633" s="114"/>
      <c r="M633" s="113"/>
      <c r="N633" s="114"/>
      <c r="O633" s="113"/>
      <c r="P633" s="113"/>
      <c r="Q633" s="114"/>
      <c r="R633" s="113"/>
      <c r="S633" s="113"/>
      <c r="T633" s="113"/>
      <c r="U633" s="113"/>
      <c r="V633" s="113"/>
      <c r="W633" s="113"/>
      <c r="X633" s="113"/>
      <c r="Y633" s="113"/>
      <c r="Z633" s="113"/>
    </row>
    <row r="634" spans="1:26" x14ac:dyDescent="0.25">
      <c r="A634" s="89"/>
      <c r="B634" s="89"/>
      <c r="C634" s="89"/>
      <c r="D634" s="114"/>
      <c r="E634" s="114"/>
      <c r="F634" s="114"/>
      <c r="G634" s="114"/>
      <c r="I634" s="114"/>
      <c r="J634" s="114"/>
      <c r="K634" s="114"/>
      <c r="L634" s="114"/>
      <c r="M634" s="113"/>
      <c r="N634" s="114"/>
      <c r="O634" s="113"/>
      <c r="P634" s="113"/>
      <c r="Q634" s="114"/>
      <c r="R634" s="113"/>
      <c r="S634" s="113"/>
      <c r="T634" s="113"/>
      <c r="U634" s="113"/>
      <c r="V634" s="113"/>
      <c r="W634" s="113"/>
      <c r="X634" s="113"/>
      <c r="Y634" s="113"/>
      <c r="Z634" s="113"/>
    </row>
    <row r="635" spans="1:26" x14ac:dyDescent="0.25">
      <c r="A635" s="89"/>
      <c r="B635" s="89"/>
      <c r="C635" s="89"/>
      <c r="D635" s="114"/>
      <c r="E635" s="114"/>
      <c r="F635" s="114"/>
      <c r="G635" s="114"/>
      <c r="I635" s="114"/>
      <c r="J635" s="114"/>
      <c r="K635" s="114"/>
      <c r="L635" s="114"/>
      <c r="M635" s="113"/>
      <c r="N635" s="114"/>
      <c r="O635" s="113"/>
      <c r="P635" s="113"/>
      <c r="Q635" s="114"/>
      <c r="R635" s="113"/>
      <c r="S635" s="113"/>
      <c r="T635" s="113"/>
      <c r="U635" s="113"/>
      <c r="V635" s="113"/>
      <c r="W635" s="113"/>
      <c r="X635" s="113"/>
      <c r="Y635" s="113"/>
      <c r="Z635" s="113"/>
    </row>
    <row r="636" spans="1:26" x14ac:dyDescent="0.25">
      <c r="A636" s="89"/>
      <c r="B636" s="89"/>
      <c r="C636" s="89"/>
      <c r="D636" s="114"/>
      <c r="E636" s="114"/>
      <c r="F636" s="114"/>
      <c r="G636" s="114"/>
      <c r="I636" s="114"/>
      <c r="J636" s="114"/>
      <c r="K636" s="114"/>
      <c r="L636" s="114"/>
      <c r="M636" s="113"/>
      <c r="N636" s="114"/>
      <c r="O636" s="113"/>
      <c r="P636" s="113"/>
      <c r="Q636" s="114"/>
      <c r="R636" s="113"/>
      <c r="S636" s="113"/>
      <c r="T636" s="113"/>
      <c r="U636" s="113"/>
      <c r="V636" s="113"/>
      <c r="W636" s="113"/>
      <c r="X636" s="113"/>
      <c r="Y636" s="113"/>
      <c r="Z636" s="113"/>
    </row>
    <row r="637" spans="1:26" x14ac:dyDescent="0.25">
      <c r="A637" s="89"/>
      <c r="B637" s="89"/>
      <c r="C637" s="89"/>
      <c r="D637" s="114"/>
      <c r="E637" s="114"/>
      <c r="F637" s="114"/>
      <c r="G637" s="114"/>
      <c r="I637" s="114"/>
      <c r="J637" s="114"/>
      <c r="K637" s="114"/>
      <c r="L637" s="114"/>
      <c r="M637" s="113"/>
      <c r="N637" s="114"/>
      <c r="O637" s="113"/>
      <c r="P637" s="113"/>
      <c r="Q637" s="114"/>
      <c r="R637" s="113"/>
      <c r="S637" s="113"/>
      <c r="T637" s="113"/>
      <c r="U637" s="113"/>
      <c r="V637" s="113"/>
      <c r="W637" s="113"/>
      <c r="X637" s="113"/>
      <c r="Y637" s="113"/>
      <c r="Z637" s="113"/>
    </row>
    <row r="638" spans="1:26" x14ac:dyDescent="0.25">
      <c r="A638" s="89"/>
      <c r="B638" s="89"/>
      <c r="C638" s="89"/>
      <c r="D638" s="114"/>
      <c r="E638" s="114"/>
      <c r="F638" s="114"/>
      <c r="G638" s="114"/>
      <c r="I638" s="114"/>
      <c r="J638" s="114"/>
      <c r="K638" s="114"/>
      <c r="L638" s="114"/>
      <c r="M638" s="113"/>
      <c r="N638" s="114"/>
      <c r="O638" s="113"/>
      <c r="P638" s="113"/>
      <c r="Q638" s="114"/>
      <c r="R638" s="113"/>
      <c r="S638" s="113"/>
      <c r="T638" s="113"/>
      <c r="U638" s="113"/>
      <c r="V638" s="113"/>
      <c r="W638" s="113"/>
      <c r="X638" s="113"/>
      <c r="Y638" s="113"/>
      <c r="Z638" s="113"/>
    </row>
    <row r="639" spans="1:26" x14ac:dyDescent="0.25">
      <c r="A639" s="89"/>
      <c r="B639" s="89"/>
      <c r="C639" s="89"/>
      <c r="D639" s="114"/>
      <c r="E639" s="114"/>
      <c r="F639" s="114"/>
      <c r="G639" s="114"/>
      <c r="I639" s="114"/>
      <c r="J639" s="114"/>
      <c r="K639" s="114"/>
      <c r="L639" s="114"/>
      <c r="M639" s="113"/>
      <c r="N639" s="114"/>
      <c r="O639" s="113"/>
      <c r="P639" s="113"/>
      <c r="Q639" s="114"/>
      <c r="R639" s="113"/>
      <c r="S639" s="113"/>
      <c r="T639" s="113"/>
      <c r="U639" s="113"/>
      <c r="V639" s="113"/>
      <c r="W639" s="113"/>
      <c r="X639" s="113"/>
      <c r="Y639" s="113"/>
      <c r="Z639" s="113"/>
    </row>
    <row r="640" spans="1:26" x14ac:dyDescent="0.25">
      <c r="A640" s="89"/>
      <c r="B640" s="89"/>
      <c r="C640" s="89"/>
      <c r="D640" s="114"/>
      <c r="E640" s="114"/>
      <c r="F640" s="114"/>
      <c r="G640" s="114"/>
      <c r="I640" s="114"/>
      <c r="J640" s="114"/>
      <c r="K640" s="114"/>
      <c r="L640" s="114"/>
      <c r="M640" s="113"/>
      <c r="N640" s="114"/>
      <c r="O640" s="113"/>
      <c r="P640" s="113"/>
      <c r="Q640" s="114"/>
      <c r="R640" s="113"/>
      <c r="S640" s="113"/>
      <c r="T640" s="113"/>
      <c r="U640" s="113"/>
      <c r="V640" s="113"/>
      <c r="W640" s="113"/>
      <c r="X640" s="113"/>
      <c r="Y640" s="113"/>
      <c r="Z640" s="113"/>
    </row>
    <row r="641" spans="1:26" x14ac:dyDescent="0.25">
      <c r="A641" s="89"/>
      <c r="B641" s="89"/>
      <c r="C641" s="89"/>
      <c r="D641" s="114"/>
      <c r="E641" s="114"/>
      <c r="F641" s="114"/>
      <c r="G641" s="114"/>
      <c r="I641" s="114"/>
      <c r="J641" s="114"/>
      <c r="K641" s="114"/>
      <c r="L641" s="114"/>
      <c r="M641" s="113"/>
      <c r="N641" s="114"/>
      <c r="O641" s="113"/>
      <c r="P641" s="113"/>
      <c r="Q641" s="114"/>
      <c r="R641" s="113"/>
      <c r="S641" s="113"/>
      <c r="T641" s="113"/>
      <c r="U641" s="113"/>
      <c r="V641" s="113"/>
      <c r="W641" s="113"/>
      <c r="X641" s="113"/>
      <c r="Y641" s="113"/>
      <c r="Z641" s="113"/>
    </row>
    <row r="642" spans="1:26" x14ac:dyDescent="0.25">
      <c r="A642" s="89"/>
      <c r="B642" s="89"/>
      <c r="C642" s="89"/>
      <c r="D642" s="114"/>
      <c r="E642" s="114"/>
      <c r="F642" s="114"/>
      <c r="G642" s="114"/>
      <c r="I642" s="114"/>
      <c r="J642" s="114"/>
      <c r="K642" s="114"/>
      <c r="L642" s="114"/>
      <c r="M642" s="113"/>
      <c r="N642" s="114"/>
      <c r="O642" s="113"/>
      <c r="P642" s="113"/>
      <c r="Q642" s="114"/>
      <c r="R642" s="113"/>
      <c r="S642" s="113"/>
      <c r="T642" s="113"/>
      <c r="U642" s="113"/>
      <c r="V642" s="113"/>
      <c r="W642" s="113"/>
      <c r="X642" s="113"/>
      <c r="Y642" s="113"/>
      <c r="Z642" s="113"/>
    </row>
    <row r="643" spans="1:26" x14ac:dyDescent="0.25">
      <c r="A643" s="89"/>
      <c r="B643" s="89"/>
      <c r="C643" s="89"/>
      <c r="D643" s="114"/>
      <c r="E643" s="114"/>
      <c r="F643" s="114"/>
      <c r="G643" s="114"/>
      <c r="I643" s="114"/>
      <c r="J643" s="114"/>
      <c r="K643" s="114"/>
      <c r="L643" s="114"/>
      <c r="M643" s="113"/>
      <c r="N643" s="114"/>
      <c r="O643" s="113"/>
      <c r="P643" s="113"/>
      <c r="Q643" s="114"/>
      <c r="R643" s="113"/>
      <c r="S643" s="113"/>
      <c r="T643" s="113"/>
      <c r="U643" s="113"/>
      <c r="V643" s="113"/>
      <c r="W643" s="113"/>
      <c r="X643" s="113"/>
      <c r="Y643" s="113"/>
      <c r="Z643" s="113"/>
    </row>
    <row r="644" spans="1:26" x14ac:dyDescent="0.25">
      <c r="A644" s="89"/>
      <c r="B644" s="89"/>
      <c r="C644" s="89"/>
      <c r="D644" s="114"/>
      <c r="E644" s="114"/>
      <c r="F644" s="114"/>
      <c r="G644" s="114"/>
      <c r="I644" s="114"/>
      <c r="J644" s="114"/>
      <c r="K644" s="114"/>
      <c r="L644" s="114"/>
      <c r="M644" s="113"/>
      <c r="N644" s="114"/>
      <c r="O644" s="113"/>
      <c r="P644" s="113"/>
      <c r="Q644" s="114"/>
      <c r="R644" s="113"/>
      <c r="S644" s="113"/>
      <c r="T644" s="113"/>
      <c r="U644" s="113"/>
      <c r="V644" s="113"/>
      <c r="W644" s="113"/>
      <c r="X644" s="113"/>
      <c r="Y644" s="113"/>
      <c r="Z644" s="113"/>
    </row>
    <row r="645" spans="1:26" x14ac:dyDescent="0.25">
      <c r="A645" s="89"/>
      <c r="B645" s="89"/>
      <c r="C645" s="89"/>
      <c r="D645" s="114"/>
      <c r="E645" s="114"/>
      <c r="F645" s="114"/>
      <c r="G645" s="114"/>
      <c r="I645" s="114"/>
      <c r="J645" s="114"/>
      <c r="K645" s="114"/>
      <c r="L645" s="114"/>
      <c r="M645" s="113"/>
      <c r="N645" s="114"/>
      <c r="O645" s="113"/>
      <c r="P645" s="113"/>
      <c r="Q645" s="114"/>
      <c r="R645" s="113"/>
      <c r="S645" s="113"/>
      <c r="T645" s="113"/>
      <c r="U645" s="113"/>
      <c r="V645" s="113"/>
      <c r="W645" s="113"/>
      <c r="X645" s="113"/>
      <c r="Y645" s="113"/>
      <c r="Z645" s="113"/>
    </row>
    <row r="646" spans="1:26" x14ac:dyDescent="0.25">
      <c r="A646" s="89"/>
      <c r="B646" s="89"/>
      <c r="C646" s="89"/>
      <c r="D646" s="114"/>
      <c r="E646" s="114"/>
      <c r="F646" s="114"/>
      <c r="G646" s="114"/>
      <c r="I646" s="114"/>
      <c r="J646" s="114"/>
      <c r="K646" s="114"/>
      <c r="L646" s="114"/>
      <c r="M646" s="113"/>
      <c r="N646" s="114"/>
      <c r="O646" s="113"/>
      <c r="P646" s="113"/>
      <c r="Q646" s="114"/>
      <c r="R646" s="113"/>
      <c r="S646" s="113"/>
      <c r="T646" s="113"/>
      <c r="U646" s="113"/>
      <c r="V646" s="113"/>
      <c r="W646" s="113"/>
      <c r="X646" s="113"/>
      <c r="Y646" s="113"/>
      <c r="Z646" s="113"/>
    </row>
    <row r="647" spans="1:26" x14ac:dyDescent="0.25">
      <c r="A647" s="89"/>
      <c r="B647" s="89"/>
      <c r="C647" s="89"/>
      <c r="D647" s="114"/>
      <c r="E647" s="114"/>
      <c r="F647" s="114"/>
      <c r="G647" s="114"/>
      <c r="I647" s="114"/>
      <c r="J647" s="114"/>
      <c r="K647" s="114"/>
      <c r="L647" s="114"/>
      <c r="M647" s="113"/>
      <c r="N647" s="114"/>
      <c r="O647" s="113"/>
      <c r="P647" s="113"/>
      <c r="Q647" s="114"/>
      <c r="R647" s="113"/>
      <c r="S647" s="113"/>
      <c r="T647" s="113"/>
      <c r="U647" s="113"/>
      <c r="V647" s="113"/>
      <c r="W647" s="113"/>
      <c r="X647" s="113"/>
      <c r="Y647" s="113"/>
      <c r="Z647" s="113"/>
    </row>
    <row r="648" spans="1:26" x14ac:dyDescent="0.25">
      <c r="A648" s="89"/>
      <c r="B648" s="89"/>
      <c r="C648" s="89"/>
      <c r="D648" s="114"/>
      <c r="E648" s="114"/>
      <c r="F648" s="114"/>
      <c r="G648" s="114"/>
      <c r="I648" s="114"/>
      <c r="J648" s="114"/>
      <c r="K648" s="114"/>
      <c r="L648" s="114"/>
      <c r="M648" s="113"/>
      <c r="N648" s="114"/>
      <c r="O648" s="113"/>
      <c r="P648" s="113"/>
      <c r="Q648" s="114"/>
      <c r="R648" s="113"/>
      <c r="S648" s="113"/>
      <c r="T648" s="113"/>
      <c r="U648" s="113"/>
      <c r="V648" s="113"/>
      <c r="W648" s="113"/>
      <c r="X648" s="113"/>
      <c r="Y648" s="113"/>
      <c r="Z648" s="113"/>
    </row>
    <row r="649" spans="1:26" x14ac:dyDescent="0.25">
      <c r="A649" s="89"/>
      <c r="B649" s="89"/>
      <c r="C649" s="89"/>
      <c r="D649" s="114"/>
      <c r="E649" s="114"/>
      <c r="F649" s="114"/>
      <c r="G649" s="114"/>
      <c r="I649" s="114"/>
      <c r="J649" s="114"/>
      <c r="K649" s="114"/>
      <c r="L649" s="114"/>
      <c r="M649" s="113"/>
      <c r="N649" s="114"/>
      <c r="O649" s="113"/>
      <c r="P649" s="113"/>
      <c r="Q649" s="114"/>
      <c r="R649" s="113"/>
      <c r="S649" s="113"/>
      <c r="T649" s="113"/>
      <c r="U649" s="113"/>
      <c r="V649" s="113"/>
      <c r="W649" s="113"/>
      <c r="X649" s="113"/>
      <c r="Y649" s="113"/>
      <c r="Z649" s="113"/>
    </row>
    <row r="650" spans="1:26" x14ac:dyDescent="0.25">
      <c r="A650" s="89"/>
      <c r="B650" s="89"/>
      <c r="C650" s="89"/>
      <c r="D650" s="114"/>
      <c r="E650" s="114"/>
      <c r="F650" s="114"/>
      <c r="G650" s="114"/>
      <c r="I650" s="114"/>
      <c r="J650" s="114"/>
      <c r="K650" s="114"/>
      <c r="L650" s="114"/>
      <c r="M650" s="113"/>
      <c r="N650" s="114"/>
      <c r="O650" s="113"/>
      <c r="P650" s="113"/>
      <c r="Q650" s="114"/>
      <c r="R650" s="113"/>
      <c r="S650" s="113"/>
      <c r="T650" s="113"/>
      <c r="U650" s="113"/>
      <c r="V650" s="113"/>
      <c r="W650" s="113"/>
      <c r="X650" s="113"/>
      <c r="Y650" s="113"/>
      <c r="Z650" s="113"/>
    </row>
    <row r="651" spans="1:26" x14ac:dyDescent="0.25">
      <c r="A651" s="89"/>
      <c r="B651" s="89"/>
      <c r="C651" s="89"/>
      <c r="D651" s="114"/>
      <c r="E651" s="114"/>
      <c r="F651" s="114"/>
      <c r="G651" s="114"/>
      <c r="I651" s="114"/>
      <c r="J651" s="114"/>
      <c r="K651" s="114"/>
      <c r="L651" s="114"/>
      <c r="M651" s="113"/>
      <c r="N651" s="114"/>
      <c r="O651" s="113"/>
      <c r="P651" s="113"/>
      <c r="Q651" s="114"/>
      <c r="R651" s="113"/>
      <c r="S651" s="113"/>
      <c r="T651" s="113"/>
      <c r="U651" s="113"/>
      <c r="V651" s="113"/>
      <c r="W651" s="113"/>
      <c r="X651" s="113"/>
      <c r="Y651" s="113"/>
      <c r="Z651" s="113"/>
    </row>
    <row r="652" spans="1:26" x14ac:dyDescent="0.25">
      <c r="A652" s="89"/>
      <c r="B652" s="89"/>
      <c r="C652" s="89"/>
      <c r="D652" s="114"/>
      <c r="E652" s="114"/>
      <c r="F652" s="114"/>
      <c r="G652" s="114"/>
      <c r="I652" s="114"/>
      <c r="J652" s="114"/>
      <c r="K652" s="114"/>
      <c r="L652" s="114"/>
      <c r="M652" s="113"/>
      <c r="N652" s="114"/>
      <c r="O652" s="113"/>
      <c r="P652" s="113"/>
      <c r="Q652" s="114"/>
      <c r="R652" s="113"/>
      <c r="S652" s="113"/>
      <c r="T652" s="113"/>
      <c r="U652" s="113"/>
      <c r="V652" s="113"/>
      <c r="W652" s="113"/>
      <c r="X652" s="113"/>
      <c r="Y652" s="113"/>
      <c r="Z652" s="113"/>
    </row>
    <row r="653" spans="1:26" x14ac:dyDescent="0.25">
      <c r="A653" s="89"/>
      <c r="B653" s="89"/>
      <c r="C653" s="89"/>
      <c r="D653" s="114"/>
      <c r="E653" s="114"/>
      <c r="F653" s="114"/>
      <c r="G653" s="114"/>
      <c r="I653" s="114"/>
      <c r="J653" s="114"/>
      <c r="K653" s="114"/>
      <c r="L653" s="114"/>
      <c r="M653" s="113"/>
      <c r="N653" s="114"/>
      <c r="O653" s="113"/>
      <c r="P653" s="113"/>
      <c r="Q653" s="114"/>
      <c r="R653" s="113"/>
      <c r="S653" s="113"/>
      <c r="T653" s="113"/>
      <c r="U653" s="113"/>
      <c r="V653" s="113"/>
      <c r="W653" s="113"/>
      <c r="X653" s="113"/>
      <c r="Y653" s="113"/>
      <c r="Z653" s="113"/>
    </row>
    <row r="654" spans="1:26" x14ac:dyDescent="0.25">
      <c r="A654" s="89"/>
      <c r="B654" s="89"/>
      <c r="C654" s="89"/>
      <c r="D654" s="114"/>
      <c r="E654" s="114"/>
      <c r="F654" s="114"/>
      <c r="G654" s="114"/>
      <c r="I654" s="114"/>
      <c r="J654" s="114"/>
      <c r="K654" s="114"/>
      <c r="L654" s="114"/>
      <c r="M654" s="113"/>
      <c r="N654" s="114"/>
      <c r="O654" s="113"/>
      <c r="P654" s="113"/>
      <c r="Q654" s="114"/>
      <c r="R654" s="113"/>
      <c r="S654" s="113"/>
      <c r="T654" s="113"/>
      <c r="U654" s="113"/>
      <c r="V654" s="113"/>
      <c r="W654" s="113"/>
      <c r="X654" s="113"/>
      <c r="Y654" s="113"/>
      <c r="Z654" s="113"/>
    </row>
    <row r="655" spans="1:26" x14ac:dyDescent="0.25">
      <c r="A655" s="89"/>
      <c r="B655" s="89"/>
      <c r="C655" s="89"/>
      <c r="D655" s="114"/>
      <c r="E655" s="114"/>
      <c r="F655" s="114"/>
      <c r="G655" s="114"/>
      <c r="I655" s="114"/>
      <c r="J655" s="114"/>
      <c r="K655" s="114"/>
      <c r="L655" s="114"/>
      <c r="M655" s="113"/>
      <c r="N655" s="114"/>
      <c r="O655" s="113"/>
      <c r="P655" s="113"/>
      <c r="Q655" s="114"/>
      <c r="R655" s="113"/>
      <c r="S655" s="113"/>
      <c r="T655" s="113"/>
      <c r="U655" s="113"/>
      <c r="V655" s="113"/>
      <c r="W655" s="113"/>
      <c r="X655" s="113"/>
      <c r="Y655" s="113"/>
      <c r="Z655" s="113"/>
    </row>
    <row r="656" spans="1:26" x14ac:dyDescent="0.25">
      <c r="A656" s="89"/>
      <c r="B656" s="89"/>
      <c r="C656" s="89"/>
      <c r="D656" s="114"/>
      <c r="E656" s="114"/>
      <c r="F656" s="114"/>
      <c r="G656" s="114"/>
      <c r="I656" s="114"/>
      <c r="J656" s="114"/>
      <c r="K656" s="114"/>
      <c r="L656" s="114"/>
      <c r="M656" s="113"/>
      <c r="N656" s="114"/>
      <c r="O656" s="113"/>
      <c r="P656" s="113"/>
      <c r="Q656" s="114"/>
      <c r="R656" s="113"/>
      <c r="S656" s="113"/>
      <c r="T656" s="113"/>
      <c r="U656" s="113"/>
      <c r="V656" s="113"/>
      <c r="W656" s="113"/>
      <c r="X656" s="113"/>
      <c r="Y656" s="113"/>
      <c r="Z656" s="113"/>
    </row>
    <row r="657" spans="1:26" x14ac:dyDescent="0.25">
      <c r="A657" s="89"/>
      <c r="B657" s="89"/>
      <c r="C657" s="89"/>
      <c r="D657" s="114"/>
      <c r="E657" s="114"/>
      <c r="F657" s="114"/>
      <c r="G657" s="114"/>
      <c r="I657" s="114"/>
      <c r="J657" s="114"/>
      <c r="K657" s="114"/>
      <c r="L657" s="114"/>
      <c r="M657" s="113"/>
      <c r="N657" s="114"/>
      <c r="O657" s="113"/>
      <c r="P657" s="113"/>
      <c r="Q657" s="114"/>
      <c r="R657" s="113"/>
      <c r="S657" s="113"/>
      <c r="T657" s="113"/>
      <c r="U657" s="113"/>
      <c r="V657" s="113"/>
      <c r="W657" s="113"/>
      <c r="X657" s="113"/>
      <c r="Y657" s="113"/>
      <c r="Z657" s="113"/>
    </row>
    <row r="658" spans="1:26" x14ac:dyDescent="0.25">
      <c r="A658" s="89"/>
      <c r="B658" s="89"/>
      <c r="C658" s="89"/>
      <c r="D658" s="114"/>
      <c r="E658" s="114"/>
      <c r="F658" s="114"/>
      <c r="G658" s="114"/>
      <c r="I658" s="114"/>
      <c r="J658" s="114"/>
      <c r="K658" s="114"/>
      <c r="L658" s="114"/>
      <c r="M658" s="113"/>
      <c r="N658" s="114"/>
      <c r="O658" s="113"/>
      <c r="P658" s="113"/>
      <c r="Q658" s="114"/>
      <c r="R658" s="113"/>
      <c r="S658" s="113"/>
      <c r="T658" s="113"/>
      <c r="U658" s="113"/>
      <c r="V658" s="113"/>
      <c r="W658" s="113"/>
      <c r="X658" s="113"/>
      <c r="Y658" s="113"/>
      <c r="Z658" s="113"/>
    </row>
    <row r="659" spans="1:26" x14ac:dyDescent="0.25">
      <c r="A659" s="89"/>
      <c r="B659" s="89"/>
      <c r="C659" s="89"/>
      <c r="D659" s="114"/>
      <c r="E659" s="114"/>
      <c r="F659" s="114"/>
      <c r="G659" s="114"/>
      <c r="I659" s="114"/>
      <c r="J659" s="114"/>
      <c r="K659" s="114"/>
      <c r="L659" s="114"/>
      <c r="M659" s="113"/>
      <c r="N659" s="114"/>
      <c r="O659" s="113"/>
      <c r="P659" s="113"/>
      <c r="Q659" s="114"/>
      <c r="R659" s="113"/>
      <c r="S659" s="113"/>
      <c r="T659" s="113"/>
      <c r="U659" s="113"/>
      <c r="V659" s="113"/>
      <c r="W659" s="113"/>
      <c r="X659" s="113"/>
      <c r="Y659" s="113"/>
      <c r="Z659" s="113"/>
    </row>
    <row r="660" spans="1:26" x14ac:dyDescent="0.25">
      <c r="A660" s="89"/>
      <c r="B660" s="89"/>
      <c r="C660" s="89"/>
      <c r="D660" s="114"/>
      <c r="E660" s="114"/>
      <c r="F660" s="114"/>
      <c r="G660" s="114"/>
      <c r="I660" s="114"/>
      <c r="J660" s="114"/>
      <c r="K660" s="114"/>
      <c r="L660" s="114"/>
      <c r="M660" s="113"/>
      <c r="N660" s="114"/>
      <c r="O660" s="113"/>
      <c r="P660" s="113"/>
      <c r="Q660" s="114"/>
      <c r="R660" s="113"/>
      <c r="S660" s="113"/>
      <c r="T660" s="113"/>
      <c r="U660" s="113"/>
      <c r="V660" s="113"/>
      <c r="W660" s="113"/>
      <c r="X660" s="113"/>
      <c r="Y660" s="113"/>
      <c r="Z660" s="113"/>
    </row>
    <row r="661" spans="1:26" x14ac:dyDescent="0.25">
      <c r="A661" s="89"/>
      <c r="B661" s="89"/>
      <c r="C661" s="89"/>
      <c r="D661" s="114"/>
      <c r="E661" s="114"/>
      <c r="F661" s="114"/>
      <c r="G661" s="114"/>
      <c r="I661" s="114"/>
      <c r="J661" s="114"/>
      <c r="K661" s="114"/>
      <c r="L661" s="114"/>
      <c r="M661" s="113"/>
      <c r="N661" s="114"/>
      <c r="O661" s="113"/>
      <c r="P661" s="113"/>
      <c r="Q661" s="114"/>
      <c r="R661" s="113"/>
      <c r="S661" s="113"/>
      <c r="T661" s="113"/>
      <c r="U661" s="113"/>
      <c r="V661" s="113"/>
      <c r="W661" s="113"/>
      <c r="X661" s="113"/>
      <c r="Y661" s="113"/>
      <c r="Z661" s="113"/>
    </row>
    <row r="662" spans="1:26" x14ac:dyDescent="0.25">
      <c r="A662" s="89"/>
      <c r="B662" s="89"/>
      <c r="C662" s="89"/>
      <c r="D662" s="114"/>
      <c r="E662" s="114"/>
      <c r="F662" s="114"/>
      <c r="G662" s="114"/>
      <c r="I662" s="114"/>
      <c r="J662" s="114"/>
      <c r="K662" s="114"/>
      <c r="L662" s="114"/>
      <c r="M662" s="113"/>
      <c r="N662" s="114"/>
      <c r="O662" s="113"/>
      <c r="P662" s="113"/>
      <c r="Q662" s="114"/>
      <c r="R662" s="113"/>
      <c r="S662" s="113"/>
      <c r="T662" s="113"/>
      <c r="U662" s="113"/>
      <c r="V662" s="113"/>
      <c r="W662" s="113"/>
      <c r="X662" s="113"/>
      <c r="Y662" s="113"/>
      <c r="Z662" s="113"/>
    </row>
    <row r="663" spans="1:26" x14ac:dyDescent="0.25">
      <c r="A663" s="89"/>
      <c r="B663" s="89"/>
      <c r="C663" s="89"/>
      <c r="D663" s="114"/>
      <c r="E663" s="114"/>
      <c r="F663" s="114"/>
      <c r="G663" s="114"/>
      <c r="I663" s="114"/>
      <c r="J663" s="114"/>
      <c r="K663" s="114"/>
      <c r="L663" s="114"/>
      <c r="M663" s="113"/>
      <c r="N663" s="114"/>
      <c r="O663" s="113"/>
      <c r="P663" s="113"/>
      <c r="Q663" s="114"/>
      <c r="R663" s="113"/>
      <c r="S663" s="113"/>
      <c r="T663" s="113"/>
      <c r="U663" s="113"/>
      <c r="V663" s="113"/>
      <c r="W663" s="113"/>
      <c r="X663" s="113"/>
      <c r="Y663" s="113"/>
      <c r="Z663" s="113"/>
    </row>
    <row r="664" spans="1:26" x14ac:dyDescent="0.25">
      <c r="A664" s="89"/>
      <c r="B664" s="89"/>
      <c r="C664" s="89"/>
      <c r="D664" s="114"/>
      <c r="E664" s="114"/>
      <c r="F664" s="114"/>
      <c r="G664" s="114"/>
      <c r="I664" s="114"/>
      <c r="J664" s="114"/>
      <c r="K664" s="114"/>
      <c r="L664" s="114"/>
      <c r="M664" s="113"/>
      <c r="N664" s="114"/>
      <c r="O664" s="113"/>
      <c r="P664" s="113"/>
      <c r="Q664" s="114"/>
      <c r="R664" s="113"/>
      <c r="S664" s="113"/>
      <c r="T664" s="113"/>
      <c r="U664" s="113"/>
      <c r="V664" s="113"/>
      <c r="W664" s="113"/>
      <c r="X664" s="113"/>
      <c r="Y664" s="113"/>
      <c r="Z664" s="113"/>
    </row>
    <row r="665" spans="1:26" x14ac:dyDescent="0.25">
      <c r="A665" s="89"/>
      <c r="B665" s="89"/>
      <c r="C665" s="89"/>
      <c r="D665" s="114"/>
      <c r="E665" s="114"/>
      <c r="F665" s="114"/>
      <c r="G665" s="114"/>
      <c r="I665" s="114"/>
      <c r="J665" s="114"/>
      <c r="K665" s="114"/>
      <c r="L665" s="114"/>
      <c r="M665" s="113"/>
      <c r="N665" s="114"/>
      <c r="O665" s="113"/>
      <c r="P665" s="113"/>
      <c r="Q665" s="114"/>
      <c r="R665" s="113"/>
      <c r="S665" s="113"/>
      <c r="T665" s="113"/>
      <c r="U665" s="113"/>
      <c r="V665" s="113"/>
      <c r="W665" s="113"/>
      <c r="X665" s="113"/>
      <c r="Y665" s="113"/>
      <c r="Z665" s="113"/>
    </row>
    <row r="666" spans="1:26" x14ac:dyDescent="0.25">
      <c r="A666" s="89"/>
      <c r="B666" s="89"/>
      <c r="C666" s="89"/>
      <c r="D666" s="114"/>
      <c r="E666" s="114"/>
      <c r="F666" s="114"/>
      <c r="G666" s="114"/>
      <c r="I666" s="114"/>
      <c r="J666" s="114"/>
      <c r="K666" s="114"/>
      <c r="L666" s="114"/>
      <c r="M666" s="113"/>
      <c r="N666" s="114"/>
      <c r="O666" s="113"/>
      <c r="P666" s="113"/>
      <c r="Q666" s="114"/>
      <c r="R666" s="113"/>
      <c r="S666" s="113"/>
      <c r="T666" s="113"/>
      <c r="U666" s="113"/>
      <c r="V666" s="113"/>
      <c r="W666" s="113"/>
      <c r="X666" s="113"/>
      <c r="Y666" s="113"/>
      <c r="Z666" s="113"/>
    </row>
    <row r="667" spans="1:26" x14ac:dyDescent="0.25">
      <c r="A667" s="89"/>
      <c r="B667" s="89"/>
      <c r="C667" s="89"/>
      <c r="D667" s="114"/>
      <c r="E667" s="114"/>
      <c r="F667" s="114"/>
      <c r="G667" s="114"/>
      <c r="I667" s="114"/>
      <c r="J667" s="114"/>
      <c r="K667" s="114"/>
      <c r="L667" s="114"/>
      <c r="M667" s="113"/>
      <c r="N667" s="114"/>
      <c r="O667" s="113"/>
      <c r="P667" s="113"/>
      <c r="Q667" s="114"/>
      <c r="R667" s="113"/>
      <c r="S667" s="113"/>
      <c r="T667" s="113"/>
      <c r="U667" s="113"/>
      <c r="V667" s="113"/>
      <c r="W667" s="113"/>
      <c r="X667" s="113"/>
      <c r="Y667" s="113"/>
      <c r="Z667" s="113"/>
    </row>
    <row r="668" spans="1:26" x14ac:dyDescent="0.25">
      <c r="A668" s="89"/>
      <c r="B668" s="89"/>
      <c r="C668" s="89"/>
      <c r="D668" s="114"/>
      <c r="E668" s="114"/>
      <c r="F668" s="114"/>
      <c r="G668" s="114"/>
      <c r="I668" s="114"/>
      <c r="J668" s="114"/>
      <c r="K668" s="114"/>
      <c r="L668" s="114"/>
      <c r="M668" s="113"/>
      <c r="N668" s="114"/>
      <c r="O668" s="113"/>
      <c r="P668" s="113"/>
      <c r="Q668" s="114"/>
      <c r="R668" s="113"/>
      <c r="S668" s="113"/>
      <c r="T668" s="113"/>
      <c r="U668" s="113"/>
      <c r="V668" s="113"/>
      <c r="W668" s="113"/>
      <c r="X668" s="113"/>
      <c r="Y668" s="113"/>
      <c r="Z668" s="113"/>
    </row>
    <row r="669" spans="1:26" x14ac:dyDescent="0.25">
      <c r="A669" s="89"/>
      <c r="B669" s="89"/>
      <c r="C669" s="89"/>
      <c r="D669" s="114"/>
      <c r="E669" s="114"/>
      <c r="F669" s="114"/>
      <c r="G669" s="114"/>
      <c r="I669" s="114"/>
      <c r="J669" s="114"/>
      <c r="K669" s="114"/>
      <c r="L669" s="114"/>
      <c r="M669" s="113"/>
      <c r="N669" s="114"/>
      <c r="O669" s="113"/>
      <c r="P669" s="113"/>
      <c r="Q669" s="114"/>
      <c r="R669" s="113"/>
      <c r="S669" s="113"/>
      <c r="T669" s="113"/>
      <c r="U669" s="113"/>
      <c r="V669" s="113"/>
      <c r="W669" s="113"/>
      <c r="X669" s="113"/>
      <c r="Y669" s="113"/>
      <c r="Z669" s="113"/>
    </row>
    <row r="670" spans="1:26" x14ac:dyDescent="0.25">
      <c r="A670" s="89"/>
      <c r="B670" s="89"/>
      <c r="C670" s="89"/>
      <c r="D670" s="114"/>
      <c r="E670" s="114"/>
      <c r="F670" s="114"/>
      <c r="G670" s="114"/>
      <c r="I670" s="114"/>
      <c r="J670" s="114"/>
      <c r="K670" s="114"/>
      <c r="L670" s="114"/>
      <c r="M670" s="113"/>
      <c r="N670" s="114"/>
      <c r="O670" s="113"/>
      <c r="P670" s="113"/>
      <c r="Q670" s="114"/>
      <c r="R670" s="113"/>
      <c r="S670" s="113"/>
      <c r="T670" s="113"/>
      <c r="U670" s="113"/>
      <c r="V670" s="113"/>
      <c r="W670" s="113"/>
      <c r="X670" s="113"/>
      <c r="Y670" s="113"/>
      <c r="Z670" s="113"/>
    </row>
    <row r="671" spans="1:26" x14ac:dyDescent="0.25">
      <c r="A671" s="89"/>
      <c r="B671" s="89"/>
      <c r="C671" s="89"/>
      <c r="D671" s="114"/>
      <c r="E671" s="114"/>
      <c r="F671" s="114"/>
      <c r="G671" s="114"/>
      <c r="I671" s="114"/>
      <c r="J671" s="114"/>
      <c r="K671" s="114"/>
      <c r="L671" s="114"/>
      <c r="M671" s="113"/>
      <c r="N671" s="114"/>
      <c r="O671" s="113"/>
      <c r="P671" s="113"/>
      <c r="Q671" s="114"/>
      <c r="R671" s="113"/>
      <c r="S671" s="113"/>
      <c r="T671" s="113"/>
      <c r="U671" s="113"/>
      <c r="V671" s="113"/>
      <c r="W671" s="113"/>
      <c r="X671" s="113"/>
      <c r="Y671" s="113"/>
      <c r="Z671" s="113"/>
    </row>
    <row r="672" spans="1:26" x14ac:dyDescent="0.25">
      <c r="A672" s="89"/>
      <c r="B672" s="89"/>
      <c r="C672" s="89"/>
      <c r="D672" s="114"/>
      <c r="E672" s="114"/>
      <c r="F672" s="114"/>
      <c r="G672" s="114"/>
      <c r="I672" s="114"/>
      <c r="J672" s="114"/>
      <c r="K672" s="114"/>
      <c r="L672" s="114"/>
      <c r="M672" s="113"/>
      <c r="N672" s="114"/>
      <c r="O672" s="113"/>
      <c r="P672" s="113"/>
      <c r="Q672" s="114"/>
      <c r="R672" s="113"/>
      <c r="S672" s="113"/>
      <c r="T672" s="113"/>
      <c r="U672" s="113"/>
      <c r="V672" s="113"/>
      <c r="W672" s="113"/>
      <c r="X672" s="113"/>
      <c r="Y672" s="113"/>
      <c r="Z672" s="113"/>
    </row>
    <row r="673" spans="1:26" x14ac:dyDescent="0.25">
      <c r="A673" s="89"/>
      <c r="B673" s="89"/>
      <c r="C673" s="89"/>
      <c r="D673" s="114"/>
      <c r="E673" s="114"/>
      <c r="F673" s="114"/>
      <c r="G673" s="114"/>
      <c r="I673" s="114"/>
      <c r="J673" s="114"/>
      <c r="K673" s="114"/>
      <c r="L673" s="114"/>
      <c r="M673" s="113"/>
      <c r="N673" s="114"/>
      <c r="O673" s="113"/>
      <c r="P673" s="113"/>
      <c r="Q673" s="114"/>
      <c r="R673" s="113"/>
      <c r="S673" s="113"/>
      <c r="T673" s="113"/>
      <c r="U673" s="113"/>
      <c r="V673" s="113"/>
      <c r="W673" s="113"/>
      <c r="X673" s="113"/>
      <c r="Y673" s="113"/>
      <c r="Z673" s="113"/>
    </row>
    <row r="674" spans="1:26" x14ac:dyDescent="0.25">
      <c r="A674" s="89"/>
      <c r="B674" s="89"/>
      <c r="C674" s="89"/>
      <c r="D674" s="114"/>
      <c r="E674" s="114"/>
      <c r="F674" s="114"/>
      <c r="G674" s="114"/>
      <c r="I674" s="114"/>
      <c r="J674" s="114"/>
      <c r="K674" s="114"/>
      <c r="L674" s="114"/>
      <c r="M674" s="113"/>
      <c r="N674" s="114"/>
      <c r="O674" s="113"/>
      <c r="P674" s="113"/>
      <c r="Q674" s="114"/>
      <c r="R674" s="113"/>
      <c r="S674" s="113"/>
      <c r="T674" s="113"/>
      <c r="U674" s="113"/>
      <c r="V674" s="113"/>
      <c r="W674" s="113"/>
      <c r="X674" s="113"/>
      <c r="Y674" s="113"/>
      <c r="Z674" s="113"/>
    </row>
    <row r="675" spans="1:26" x14ac:dyDescent="0.25">
      <c r="A675" s="89"/>
      <c r="B675" s="89"/>
      <c r="C675" s="89"/>
      <c r="D675" s="114"/>
      <c r="E675" s="114"/>
      <c r="F675" s="114"/>
      <c r="G675" s="114"/>
      <c r="I675" s="114"/>
      <c r="J675" s="114"/>
      <c r="K675" s="114"/>
      <c r="L675" s="114"/>
      <c r="M675" s="113"/>
      <c r="N675" s="114"/>
      <c r="O675" s="113"/>
      <c r="P675" s="113"/>
      <c r="Q675" s="114"/>
      <c r="R675" s="113"/>
      <c r="S675" s="113"/>
      <c r="T675" s="113"/>
      <c r="U675" s="113"/>
      <c r="V675" s="113"/>
      <c r="W675" s="113"/>
      <c r="X675" s="113"/>
      <c r="Y675" s="113"/>
      <c r="Z675" s="113"/>
    </row>
    <row r="676" spans="1:26" x14ac:dyDescent="0.25">
      <c r="A676" s="89"/>
      <c r="B676" s="89"/>
      <c r="C676" s="89"/>
      <c r="D676" s="114"/>
      <c r="E676" s="114"/>
      <c r="F676" s="114"/>
      <c r="G676" s="114"/>
      <c r="I676" s="114"/>
      <c r="J676" s="114"/>
      <c r="K676" s="114"/>
      <c r="L676" s="114"/>
      <c r="M676" s="113"/>
      <c r="N676" s="114"/>
      <c r="O676" s="113"/>
      <c r="P676" s="113"/>
      <c r="Q676" s="114"/>
      <c r="R676" s="113"/>
      <c r="S676" s="113"/>
      <c r="T676" s="113"/>
      <c r="U676" s="113"/>
      <c r="V676" s="113"/>
      <c r="W676" s="113"/>
      <c r="X676" s="113"/>
      <c r="Y676" s="113"/>
      <c r="Z676" s="113"/>
    </row>
    <row r="677" spans="1:26" x14ac:dyDescent="0.25">
      <c r="A677" s="89"/>
      <c r="B677" s="89"/>
      <c r="C677" s="89"/>
      <c r="D677" s="114"/>
      <c r="E677" s="114"/>
      <c r="F677" s="114"/>
      <c r="G677" s="114"/>
      <c r="I677" s="114"/>
      <c r="J677" s="114"/>
      <c r="K677" s="114"/>
      <c r="L677" s="114"/>
      <c r="M677" s="113"/>
      <c r="N677" s="114"/>
      <c r="O677" s="113"/>
      <c r="P677" s="113"/>
      <c r="Q677" s="114"/>
      <c r="R677" s="113"/>
      <c r="S677" s="113"/>
      <c r="T677" s="113"/>
      <c r="U677" s="113"/>
      <c r="V677" s="113"/>
      <c r="W677" s="113"/>
      <c r="X677" s="113"/>
      <c r="Y677" s="113"/>
      <c r="Z677" s="113"/>
    </row>
    <row r="678" spans="1:26" x14ac:dyDescent="0.25">
      <c r="A678" s="89"/>
      <c r="B678" s="89"/>
      <c r="C678" s="89"/>
      <c r="D678" s="114"/>
      <c r="E678" s="114"/>
      <c r="F678" s="114"/>
      <c r="G678" s="114"/>
      <c r="I678" s="114"/>
      <c r="J678" s="114"/>
      <c r="K678" s="114"/>
      <c r="L678" s="114"/>
      <c r="M678" s="113"/>
      <c r="N678" s="114"/>
      <c r="O678" s="113"/>
      <c r="P678" s="113"/>
      <c r="Q678" s="114"/>
      <c r="R678" s="113"/>
      <c r="S678" s="113"/>
      <c r="T678" s="113"/>
      <c r="U678" s="113"/>
      <c r="V678" s="113"/>
      <c r="W678" s="113"/>
      <c r="X678" s="113"/>
      <c r="Y678" s="113"/>
      <c r="Z678" s="113"/>
    </row>
    <row r="679" spans="1:26" x14ac:dyDescent="0.25">
      <c r="A679" s="89"/>
      <c r="B679" s="89"/>
      <c r="C679" s="89"/>
      <c r="D679" s="114"/>
      <c r="E679" s="114"/>
      <c r="F679" s="114"/>
      <c r="G679" s="114"/>
      <c r="I679" s="114"/>
      <c r="J679" s="114"/>
      <c r="K679" s="114"/>
      <c r="L679" s="114"/>
      <c r="M679" s="113"/>
      <c r="N679" s="114"/>
      <c r="O679" s="113"/>
      <c r="P679" s="113"/>
      <c r="Q679" s="114"/>
      <c r="R679" s="113"/>
      <c r="S679" s="113"/>
      <c r="T679" s="113"/>
      <c r="U679" s="113"/>
      <c r="V679" s="113"/>
      <c r="W679" s="113"/>
      <c r="X679" s="113"/>
      <c r="Y679" s="113"/>
      <c r="Z679" s="113"/>
    </row>
    <row r="680" spans="1:26" x14ac:dyDescent="0.25">
      <c r="A680" s="89"/>
      <c r="B680" s="89"/>
      <c r="C680" s="89"/>
      <c r="D680" s="114"/>
      <c r="E680" s="114"/>
      <c r="F680" s="114"/>
      <c r="G680" s="114"/>
      <c r="I680" s="114"/>
      <c r="J680" s="114"/>
      <c r="K680" s="114"/>
      <c r="L680" s="114"/>
      <c r="M680" s="113"/>
      <c r="N680" s="114"/>
      <c r="O680" s="113"/>
      <c r="P680" s="113"/>
      <c r="Q680" s="114"/>
      <c r="R680" s="113"/>
      <c r="S680" s="113"/>
      <c r="T680" s="113"/>
      <c r="U680" s="113"/>
      <c r="V680" s="113"/>
      <c r="W680" s="113"/>
      <c r="X680" s="113"/>
      <c r="Y680" s="113"/>
      <c r="Z680" s="113"/>
    </row>
    <row r="681" spans="1:26" x14ac:dyDescent="0.25">
      <c r="A681" s="89"/>
      <c r="B681" s="89"/>
      <c r="C681" s="89"/>
      <c r="D681" s="114"/>
      <c r="E681" s="114"/>
      <c r="F681" s="114"/>
      <c r="G681" s="114"/>
      <c r="I681" s="114"/>
      <c r="J681" s="114"/>
      <c r="K681" s="114"/>
      <c r="L681" s="114"/>
      <c r="M681" s="113"/>
      <c r="N681" s="114"/>
      <c r="O681" s="113"/>
      <c r="P681" s="113"/>
      <c r="Q681" s="114"/>
      <c r="R681" s="113"/>
      <c r="S681" s="113"/>
      <c r="T681" s="113"/>
      <c r="U681" s="113"/>
      <c r="V681" s="113"/>
      <c r="W681" s="113"/>
      <c r="X681" s="113"/>
      <c r="Y681" s="113"/>
      <c r="Z681" s="113"/>
    </row>
    <row r="682" spans="1:26" x14ac:dyDescent="0.25">
      <c r="A682" s="89"/>
      <c r="B682" s="89"/>
      <c r="C682" s="89"/>
      <c r="D682" s="114"/>
      <c r="E682" s="114"/>
      <c r="F682" s="114"/>
      <c r="G682" s="114"/>
      <c r="I682" s="114"/>
      <c r="J682" s="114"/>
      <c r="K682" s="114"/>
      <c r="L682" s="114"/>
      <c r="M682" s="113"/>
      <c r="N682" s="114"/>
      <c r="O682" s="113"/>
      <c r="P682" s="113"/>
      <c r="Q682" s="114"/>
      <c r="R682" s="113"/>
      <c r="S682" s="113"/>
      <c r="T682" s="113"/>
      <c r="U682" s="113"/>
      <c r="V682" s="113"/>
      <c r="W682" s="113"/>
      <c r="X682" s="113"/>
      <c r="Y682" s="113"/>
      <c r="Z682" s="113"/>
    </row>
    <row r="683" spans="1:26" x14ac:dyDescent="0.25">
      <c r="A683" s="89"/>
      <c r="B683" s="89"/>
      <c r="C683" s="89"/>
      <c r="D683" s="114"/>
      <c r="E683" s="114"/>
      <c r="F683" s="114"/>
      <c r="G683" s="114"/>
      <c r="I683" s="114"/>
      <c r="J683" s="114"/>
      <c r="K683" s="114"/>
      <c r="L683" s="114"/>
      <c r="M683" s="113"/>
      <c r="N683" s="114"/>
      <c r="O683" s="113"/>
      <c r="P683" s="113"/>
      <c r="Q683" s="114"/>
      <c r="R683" s="113"/>
      <c r="S683" s="113"/>
      <c r="T683" s="113"/>
      <c r="U683" s="113"/>
      <c r="V683" s="113"/>
      <c r="W683" s="113"/>
      <c r="X683" s="113"/>
      <c r="Y683" s="113"/>
      <c r="Z683" s="113"/>
    </row>
    <row r="684" spans="1:26" x14ac:dyDescent="0.25">
      <c r="A684" s="89"/>
      <c r="B684" s="89"/>
      <c r="C684" s="89"/>
      <c r="D684" s="114"/>
      <c r="E684" s="114"/>
      <c r="F684" s="114"/>
      <c r="G684" s="114"/>
      <c r="I684" s="114"/>
      <c r="J684" s="114"/>
      <c r="K684" s="114"/>
      <c r="L684" s="114"/>
      <c r="M684" s="113"/>
      <c r="N684" s="114"/>
      <c r="O684" s="113"/>
      <c r="P684" s="113"/>
      <c r="Q684" s="114"/>
      <c r="R684" s="113"/>
      <c r="S684" s="113"/>
      <c r="T684" s="113"/>
      <c r="U684" s="113"/>
      <c r="V684" s="113"/>
      <c r="W684" s="113"/>
      <c r="X684" s="113"/>
      <c r="Y684" s="113"/>
      <c r="Z684" s="113"/>
    </row>
    <row r="685" spans="1:26" x14ac:dyDescent="0.25">
      <c r="A685" s="89"/>
      <c r="B685" s="89"/>
      <c r="C685" s="89"/>
      <c r="D685" s="114"/>
      <c r="E685" s="114"/>
      <c r="F685" s="114"/>
      <c r="G685" s="114"/>
      <c r="I685" s="114"/>
      <c r="J685" s="114"/>
      <c r="K685" s="114"/>
      <c r="L685" s="114"/>
      <c r="M685" s="113"/>
      <c r="N685" s="114"/>
      <c r="O685" s="113"/>
      <c r="P685" s="113"/>
      <c r="Q685" s="114"/>
      <c r="R685" s="113"/>
      <c r="S685" s="113"/>
      <c r="T685" s="113"/>
      <c r="U685" s="113"/>
      <c r="V685" s="113"/>
      <c r="W685" s="113"/>
      <c r="X685" s="113"/>
      <c r="Y685" s="113"/>
      <c r="Z685" s="113"/>
    </row>
    <row r="686" spans="1:26" x14ac:dyDescent="0.25">
      <c r="A686" s="89"/>
      <c r="B686" s="89"/>
      <c r="C686" s="89"/>
      <c r="D686" s="114"/>
      <c r="E686" s="114"/>
      <c r="F686" s="114"/>
      <c r="G686" s="114"/>
      <c r="I686" s="114"/>
      <c r="J686" s="114"/>
      <c r="K686" s="114"/>
      <c r="L686" s="114"/>
      <c r="M686" s="113"/>
      <c r="N686" s="114"/>
      <c r="O686" s="113"/>
      <c r="P686" s="113"/>
      <c r="Q686" s="114"/>
      <c r="R686" s="113"/>
      <c r="S686" s="113"/>
      <c r="T686" s="113"/>
      <c r="U686" s="113"/>
      <c r="V686" s="113"/>
      <c r="W686" s="113"/>
      <c r="X686" s="113"/>
      <c r="Y686" s="113"/>
      <c r="Z686" s="113"/>
    </row>
    <row r="687" spans="1:26" x14ac:dyDescent="0.25">
      <c r="A687" s="89"/>
      <c r="B687" s="89"/>
      <c r="C687" s="89"/>
      <c r="D687" s="114"/>
      <c r="E687" s="114"/>
      <c r="F687" s="114"/>
      <c r="G687" s="114"/>
      <c r="I687" s="114"/>
      <c r="J687" s="114"/>
      <c r="K687" s="114"/>
      <c r="L687" s="114"/>
      <c r="M687" s="113"/>
      <c r="N687" s="114"/>
      <c r="O687" s="113"/>
      <c r="P687" s="113"/>
      <c r="Q687" s="114"/>
      <c r="R687" s="113"/>
      <c r="S687" s="113"/>
      <c r="T687" s="113"/>
      <c r="U687" s="113"/>
      <c r="V687" s="113"/>
      <c r="W687" s="113"/>
      <c r="X687" s="113"/>
      <c r="Y687" s="113"/>
      <c r="Z687" s="113"/>
    </row>
    <row r="688" spans="1:26" x14ac:dyDescent="0.25">
      <c r="A688" s="89"/>
      <c r="B688" s="89"/>
      <c r="C688" s="89"/>
      <c r="D688" s="114"/>
      <c r="E688" s="114"/>
      <c r="F688" s="114"/>
      <c r="G688" s="114"/>
      <c r="I688" s="114"/>
      <c r="J688" s="114"/>
      <c r="K688" s="114"/>
      <c r="L688" s="114"/>
      <c r="M688" s="113"/>
      <c r="N688" s="114"/>
      <c r="O688" s="113"/>
      <c r="P688" s="113"/>
      <c r="Q688" s="114"/>
      <c r="R688" s="113"/>
      <c r="S688" s="113"/>
      <c r="T688" s="113"/>
      <c r="U688" s="113"/>
      <c r="V688" s="113"/>
      <c r="W688" s="113"/>
      <c r="X688" s="113"/>
      <c r="Y688" s="113"/>
      <c r="Z688" s="113"/>
    </row>
    <row r="689" spans="1:26" x14ac:dyDescent="0.25">
      <c r="A689" s="89"/>
      <c r="B689" s="89"/>
      <c r="C689" s="89"/>
      <c r="D689" s="114"/>
      <c r="E689" s="114"/>
      <c r="F689" s="114"/>
      <c r="G689" s="114"/>
      <c r="I689" s="114"/>
      <c r="J689" s="114"/>
      <c r="K689" s="114"/>
      <c r="L689" s="114"/>
      <c r="M689" s="113"/>
      <c r="N689" s="114"/>
      <c r="O689" s="113"/>
      <c r="P689" s="113"/>
      <c r="Q689" s="114"/>
      <c r="R689" s="113"/>
      <c r="S689" s="113"/>
      <c r="T689" s="113"/>
      <c r="U689" s="113"/>
      <c r="V689" s="113"/>
      <c r="W689" s="113"/>
      <c r="X689" s="113"/>
      <c r="Y689" s="113"/>
      <c r="Z689" s="113"/>
    </row>
    <row r="690" spans="1:26" x14ac:dyDescent="0.25">
      <c r="A690" s="89"/>
      <c r="B690" s="89"/>
      <c r="C690" s="89"/>
      <c r="D690" s="114"/>
      <c r="E690" s="114"/>
      <c r="F690" s="114"/>
      <c r="G690" s="114"/>
      <c r="I690" s="114"/>
      <c r="J690" s="114"/>
      <c r="K690" s="114"/>
      <c r="L690" s="114"/>
      <c r="M690" s="113"/>
      <c r="N690" s="114"/>
      <c r="O690" s="113"/>
      <c r="P690" s="113"/>
      <c r="Q690" s="114"/>
      <c r="R690" s="113"/>
      <c r="S690" s="113"/>
      <c r="T690" s="113"/>
      <c r="U690" s="113"/>
      <c r="V690" s="113"/>
      <c r="W690" s="113"/>
      <c r="X690" s="113"/>
      <c r="Y690" s="113"/>
      <c r="Z690" s="113"/>
    </row>
    <row r="691" spans="1:26" x14ac:dyDescent="0.25">
      <c r="A691" s="89"/>
      <c r="B691" s="89"/>
      <c r="C691" s="89"/>
      <c r="D691" s="114"/>
      <c r="E691" s="114"/>
      <c r="F691" s="114"/>
      <c r="G691" s="114"/>
      <c r="I691" s="114"/>
      <c r="J691" s="114"/>
      <c r="K691" s="114"/>
      <c r="L691" s="114"/>
      <c r="M691" s="113"/>
      <c r="N691" s="114"/>
      <c r="O691" s="113"/>
      <c r="P691" s="113"/>
      <c r="Q691" s="114"/>
      <c r="R691" s="113"/>
      <c r="S691" s="113"/>
      <c r="T691" s="113"/>
      <c r="U691" s="113"/>
      <c r="V691" s="113"/>
      <c r="W691" s="113"/>
      <c r="X691" s="113"/>
      <c r="Y691" s="113"/>
      <c r="Z691" s="113"/>
    </row>
    <row r="692" spans="1:26" x14ac:dyDescent="0.25">
      <c r="A692" s="89"/>
      <c r="B692" s="89"/>
      <c r="C692" s="89"/>
      <c r="D692" s="114"/>
      <c r="E692" s="114"/>
      <c r="F692" s="114"/>
      <c r="G692" s="114"/>
      <c r="I692" s="114"/>
      <c r="J692" s="114"/>
      <c r="K692" s="114"/>
      <c r="L692" s="114"/>
      <c r="M692" s="113"/>
      <c r="N692" s="114"/>
      <c r="O692" s="113"/>
      <c r="P692" s="113"/>
      <c r="Q692" s="114"/>
      <c r="R692" s="113"/>
      <c r="S692" s="113"/>
      <c r="T692" s="113"/>
      <c r="U692" s="113"/>
      <c r="V692" s="113"/>
      <c r="W692" s="113"/>
      <c r="X692" s="113"/>
      <c r="Y692" s="113"/>
      <c r="Z692" s="113"/>
    </row>
    <row r="693" spans="1:26" x14ac:dyDescent="0.25">
      <c r="A693" s="89"/>
      <c r="B693" s="89"/>
      <c r="C693" s="89"/>
      <c r="D693" s="114"/>
      <c r="E693" s="114"/>
      <c r="F693" s="114"/>
      <c r="G693" s="114"/>
      <c r="I693" s="114"/>
      <c r="J693" s="114"/>
      <c r="K693" s="114"/>
      <c r="L693" s="114"/>
      <c r="M693" s="113"/>
      <c r="N693" s="114"/>
      <c r="O693" s="113"/>
      <c r="P693" s="113"/>
      <c r="Q693" s="114"/>
      <c r="R693" s="113"/>
      <c r="S693" s="113"/>
      <c r="T693" s="113"/>
      <c r="U693" s="113"/>
      <c r="V693" s="113"/>
      <c r="W693" s="113"/>
      <c r="X693" s="113"/>
      <c r="Y693" s="113"/>
      <c r="Z693" s="113"/>
    </row>
    <row r="694" spans="1:26" x14ac:dyDescent="0.25">
      <c r="A694" s="89"/>
      <c r="B694" s="89"/>
      <c r="C694" s="89"/>
      <c r="D694" s="114"/>
      <c r="E694" s="114"/>
      <c r="F694" s="114"/>
      <c r="G694" s="114"/>
      <c r="I694" s="114"/>
      <c r="J694" s="114"/>
      <c r="K694" s="114"/>
      <c r="L694" s="114"/>
      <c r="M694" s="113"/>
      <c r="N694" s="114"/>
      <c r="O694" s="113"/>
      <c r="P694" s="113"/>
      <c r="Q694" s="114"/>
      <c r="R694" s="113"/>
      <c r="S694" s="113"/>
      <c r="T694" s="113"/>
      <c r="U694" s="113"/>
      <c r="V694" s="113"/>
      <c r="W694" s="113"/>
      <c r="X694" s="113"/>
      <c r="Y694" s="113"/>
      <c r="Z694" s="113"/>
    </row>
    <row r="695" spans="1:26" x14ac:dyDescent="0.25">
      <c r="A695" s="89"/>
      <c r="B695" s="89"/>
      <c r="C695" s="89"/>
      <c r="D695" s="114"/>
      <c r="E695" s="114"/>
      <c r="F695" s="114"/>
      <c r="G695" s="114"/>
      <c r="I695" s="114"/>
      <c r="J695" s="114"/>
      <c r="K695" s="114"/>
      <c r="L695" s="114"/>
      <c r="M695" s="113"/>
      <c r="N695" s="114"/>
      <c r="O695" s="113"/>
      <c r="P695" s="113"/>
      <c r="Q695" s="114"/>
      <c r="R695" s="113"/>
      <c r="S695" s="113"/>
      <c r="T695" s="113"/>
      <c r="U695" s="113"/>
      <c r="V695" s="113"/>
      <c r="W695" s="113"/>
      <c r="X695" s="113"/>
      <c r="Y695" s="113"/>
      <c r="Z695" s="113"/>
    </row>
    <row r="696" spans="1:26" x14ac:dyDescent="0.25">
      <c r="A696" s="89"/>
      <c r="B696" s="89"/>
      <c r="C696" s="89"/>
      <c r="D696" s="114"/>
      <c r="E696" s="114"/>
      <c r="F696" s="114"/>
      <c r="G696" s="114"/>
      <c r="I696" s="114"/>
      <c r="J696" s="114"/>
      <c r="K696" s="114"/>
      <c r="L696" s="114"/>
      <c r="M696" s="113"/>
      <c r="N696" s="114"/>
      <c r="O696" s="113"/>
      <c r="P696" s="113"/>
      <c r="Q696" s="114"/>
      <c r="R696" s="113"/>
      <c r="S696" s="113"/>
      <c r="T696" s="113"/>
      <c r="U696" s="113"/>
      <c r="V696" s="113"/>
      <c r="W696" s="113"/>
      <c r="X696" s="113"/>
      <c r="Y696" s="113"/>
      <c r="Z696" s="113"/>
    </row>
    <row r="697" spans="1:26" x14ac:dyDescent="0.25">
      <c r="A697" s="89"/>
      <c r="B697" s="89"/>
      <c r="C697" s="89"/>
      <c r="D697" s="114"/>
      <c r="E697" s="114"/>
      <c r="F697" s="114"/>
      <c r="G697" s="114"/>
      <c r="I697" s="114"/>
      <c r="J697" s="114"/>
      <c r="K697" s="114"/>
      <c r="L697" s="114"/>
      <c r="M697" s="113"/>
      <c r="N697" s="114"/>
      <c r="O697" s="113"/>
      <c r="P697" s="113"/>
      <c r="Q697" s="114"/>
      <c r="R697" s="113"/>
      <c r="S697" s="113"/>
      <c r="T697" s="113"/>
      <c r="U697" s="113"/>
      <c r="V697" s="113"/>
      <c r="W697" s="113"/>
      <c r="X697" s="113"/>
      <c r="Y697" s="113"/>
      <c r="Z697" s="113"/>
    </row>
    <row r="698" spans="1:26" x14ac:dyDescent="0.25">
      <c r="A698" s="89"/>
      <c r="B698" s="89"/>
      <c r="C698" s="89"/>
      <c r="D698" s="114"/>
      <c r="E698" s="114"/>
      <c r="F698" s="114"/>
      <c r="G698" s="114"/>
      <c r="I698" s="114"/>
      <c r="J698" s="114"/>
      <c r="K698" s="114"/>
      <c r="L698" s="114"/>
      <c r="M698" s="113"/>
      <c r="N698" s="114"/>
      <c r="O698" s="113"/>
      <c r="P698" s="113"/>
      <c r="Q698" s="114"/>
      <c r="R698" s="113"/>
      <c r="S698" s="113"/>
      <c r="T698" s="113"/>
      <c r="U698" s="113"/>
      <c r="V698" s="113"/>
      <c r="W698" s="113"/>
      <c r="X698" s="113"/>
      <c r="Y698" s="113"/>
      <c r="Z698" s="113"/>
    </row>
    <row r="699" spans="1:26" x14ac:dyDescent="0.25">
      <c r="A699" s="89"/>
      <c r="B699" s="89"/>
      <c r="C699" s="89"/>
      <c r="D699" s="114"/>
      <c r="E699" s="114"/>
      <c r="F699" s="114"/>
      <c r="G699" s="114"/>
      <c r="I699" s="114"/>
      <c r="J699" s="114"/>
      <c r="K699" s="114"/>
      <c r="L699" s="114"/>
      <c r="M699" s="113"/>
      <c r="N699" s="114"/>
      <c r="O699" s="113"/>
      <c r="P699" s="113"/>
      <c r="Q699" s="114"/>
      <c r="R699" s="113"/>
      <c r="S699" s="113"/>
      <c r="T699" s="113"/>
      <c r="U699" s="113"/>
      <c r="V699" s="113"/>
      <c r="W699" s="113"/>
      <c r="X699" s="113"/>
      <c r="Y699" s="113"/>
      <c r="Z699" s="113"/>
    </row>
    <row r="700" spans="1:26" x14ac:dyDescent="0.25">
      <c r="A700" s="89"/>
      <c r="B700" s="89"/>
      <c r="C700" s="89"/>
      <c r="D700" s="114"/>
      <c r="E700" s="114"/>
      <c r="F700" s="114"/>
      <c r="G700" s="114"/>
      <c r="I700" s="114"/>
      <c r="J700" s="114"/>
      <c r="K700" s="114"/>
      <c r="L700" s="114"/>
      <c r="M700" s="113"/>
      <c r="N700" s="114"/>
      <c r="O700" s="113"/>
      <c r="P700" s="113"/>
      <c r="Q700" s="114"/>
      <c r="R700" s="113"/>
      <c r="S700" s="113"/>
      <c r="T700" s="113"/>
      <c r="U700" s="113"/>
      <c r="V700" s="113"/>
      <c r="W700" s="113"/>
      <c r="X700" s="113"/>
      <c r="Y700" s="113"/>
      <c r="Z700" s="113"/>
    </row>
    <row r="701" spans="1:26" x14ac:dyDescent="0.25">
      <c r="A701" s="89"/>
      <c r="B701" s="89"/>
      <c r="C701" s="89"/>
      <c r="D701" s="114"/>
      <c r="E701" s="114"/>
      <c r="F701" s="114"/>
      <c r="G701" s="114"/>
      <c r="I701" s="114"/>
      <c r="J701" s="114"/>
      <c r="K701" s="114"/>
      <c r="L701" s="114"/>
      <c r="M701" s="113"/>
      <c r="N701" s="114"/>
      <c r="O701" s="113"/>
      <c r="P701" s="113"/>
      <c r="Q701" s="114"/>
      <c r="R701" s="113"/>
      <c r="S701" s="113"/>
      <c r="T701" s="113"/>
      <c r="U701" s="113"/>
      <c r="V701" s="113"/>
      <c r="W701" s="113"/>
      <c r="X701" s="113"/>
      <c r="Y701" s="113"/>
      <c r="Z701" s="113"/>
    </row>
    <row r="702" spans="1:26" x14ac:dyDescent="0.25">
      <c r="A702" s="89"/>
      <c r="B702" s="89"/>
      <c r="C702" s="89"/>
      <c r="D702" s="114"/>
      <c r="E702" s="114"/>
      <c r="F702" s="114"/>
      <c r="G702" s="114"/>
      <c r="I702" s="114"/>
      <c r="J702" s="114"/>
      <c r="K702" s="114"/>
      <c r="L702" s="114"/>
      <c r="M702" s="113"/>
      <c r="N702" s="114"/>
      <c r="O702" s="113"/>
      <c r="P702" s="113"/>
      <c r="Q702" s="114"/>
      <c r="R702" s="113"/>
      <c r="S702" s="113"/>
      <c r="T702" s="113"/>
      <c r="U702" s="113"/>
      <c r="V702" s="113"/>
      <c r="W702" s="113"/>
      <c r="X702" s="113"/>
      <c r="Y702" s="113"/>
      <c r="Z702" s="113"/>
    </row>
    <row r="703" spans="1:26" x14ac:dyDescent="0.25">
      <c r="A703" s="89"/>
      <c r="B703" s="89"/>
      <c r="C703" s="89"/>
      <c r="D703" s="114"/>
      <c r="E703" s="114"/>
      <c r="F703" s="114"/>
      <c r="G703" s="114"/>
      <c r="I703" s="114"/>
      <c r="J703" s="114"/>
      <c r="K703" s="114"/>
      <c r="L703" s="114"/>
      <c r="M703" s="113"/>
      <c r="N703" s="114"/>
      <c r="O703" s="113"/>
      <c r="P703" s="113"/>
      <c r="Q703" s="114"/>
      <c r="R703" s="113"/>
      <c r="S703" s="113"/>
      <c r="T703" s="113"/>
      <c r="U703" s="113"/>
      <c r="V703" s="113"/>
      <c r="W703" s="113"/>
      <c r="X703" s="113"/>
      <c r="Y703" s="113"/>
      <c r="Z703" s="113"/>
    </row>
    <row r="704" spans="1:26" x14ac:dyDescent="0.25">
      <c r="A704" s="89"/>
      <c r="B704" s="89"/>
      <c r="C704" s="89"/>
      <c r="D704" s="114"/>
      <c r="E704" s="114"/>
      <c r="F704" s="114"/>
      <c r="G704" s="114"/>
      <c r="I704" s="114"/>
      <c r="J704" s="114"/>
      <c r="K704" s="114"/>
      <c r="L704" s="114"/>
      <c r="M704" s="113"/>
      <c r="N704" s="114"/>
      <c r="O704" s="113"/>
      <c r="P704" s="113"/>
      <c r="Q704" s="114"/>
      <c r="R704" s="113"/>
      <c r="S704" s="113"/>
      <c r="T704" s="113"/>
      <c r="U704" s="113"/>
      <c r="V704" s="113"/>
      <c r="W704" s="113"/>
      <c r="X704" s="113"/>
      <c r="Y704" s="113"/>
      <c r="Z704" s="113"/>
    </row>
    <row r="705" spans="1:26" x14ac:dyDescent="0.25">
      <c r="A705" s="89"/>
      <c r="B705" s="89"/>
      <c r="C705" s="89"/>
      <c r="D705" s="114"/>
      <c r="E705" s="114"/>
      <c r="F705" s="114"/>
      <c r="G705" s="114"/>
      <c r="I705" s="114"/>
      <c r="J705" s="114"/>
      <c r="K705" s="114"/>
      <c r="L705" s="114"/>
      <c r="M705" s="113"/>
      <c r="N705" s="114"/>
      <c r="O705" s="113"/>
      <c r="P705" s="113"/>
      <c r="Q705" s="114"/>
      <c r="R705" s="113"/>
      <c r="S705" s="113"/>
      <c r="T705" s="113"/>
      <c r="U705" s="113"/>
      <c r="V705" s="113"/>
      <c r="W705" s="113"/>
      <c r="X705" s="113"/>
      <c r="Y705" s="113"/>
      <c r="Z705" s="113"/>
    </row>
    <row r="706" spans="1:26" x14ac:dyDescent="0.25">
      <c r="A706" s="89"/>
      <c r="B706" s="89"/>
      <c r="C706" s="89"/>
      <c r="D706" s="114"/>
      <c r="E706" s="114"/>
      <c r="F706" s="114"/>
      <c r="G706" s="114"/>
      <c r="I706" s="114"/>
      <c r="J706" s="114"/>
      <c r="K706" s="114"/>
      <c r="L706" s="114"/>
      <c r="M706" s="113"/>
      <c r="N706" s="114"/>
      <c r="O706" s="113"/>
      <c r="P706" s="113"/>
      <c r="Q706" s="114"/>
      <c r="R706" s="113"/>
      <c r="S706" s="113"/>
      <c r="T706" s="113"/>
      <c r="U706" s="113"/>
      <c r="V706" s="113"/>
      <c r="W706" s="113"/>
      <c r="X706" s="113"/>
      <c r="Y706" s="113"/>
      <c r="Z706" s="113"/>
    </row>
    <row r="707" spans="1:26" x14ac:dyDescent="0.25">
      <c r="A707" s="89"/>
      <c r="B707" s="89"/>
      <c r="C707" s="89"/>
      <c r="D707" s="114"/>
      <c r="E707" s="114"/>
      <c r="F707" s="114"/>
      <c r="G707" s="114"/>
      <c r="I707" s="114"/>
      <c r="J707" s="114"/>
      <c r="K707" s="114"/>
      <c r="L707" s="114"/>
      <c r="M707" s="113"/>
      <c r="N707" s="114"/>
      <c r="O707" s="113"/>
      <c r="P707" s="113"/>
      <c r="Q707" s="114"/>
      <c r="R707" s="113"/>
      <c r="S707" s="113"/>
      <c r="T707" s="113"/>
      <c r="U707" s="113"/>
      <c r="V707" s="113"/>
      <c r="W707" s="113"/>
      <c r="X707" s="113"/>
      <c r="Y707" s="113"/>
      <c r="Z707" s="113"/>
    </row>
    <row r="708" spans="1:26" x14ac:dyDescent="0.25">
      <c r="A708" s="89"/>
      <c r="B708" s="89"/>
      <c r="C708" s="89"/>
      <c r="D708" s="114"/>
      <c r="E708" s="114"/>
      <c r="F708" s="114"/>
      <c r="G708" s="114"/>
      <c r="I708" s="114"/>
      <c r="J708" s="114"/>
      <c r="K708" s="114"/>
      <c r="L708" s="114"/>
      <c r="M708" s="113"/>
      <c r="N708" s="114"/>
      <c r="O708" s="113"/>
      <c r="P708" s="113"/>
      <c r="Q708" s="114"/>
      <c r="R708" s="113"/>
      <c r="S708" s="113"/>
      <c r="T708" s="113"/>
      <c r="U708" s="113"/>
      <c r="V708" s="113"/>
      <c r="W708" s="113"/>
      <c r="X708" s="113"/>
      <c r="Y708" s="113"/>
      <c r="Z708" s="113"/>
    </row>
    <row r="709" spans="1:26" x14ac:dyDescent="0.25">
      <c r="A709" s="89"/>
      <c r="B709" s="89"/>
      <c r="C709" s="89"/>
      <c r="D709" s="114"/>
      <c r="E709" s="114"/>
      <c r="F709" s="114"/>
      <c r="G709" s="114"/>
      <c r="I709" s="114"/>
      <c r="J709" s="114"/>
      <c r="K709" s="114"/>
      <c r="L709" s="114"/>
      <c r="M709" s="113"/>
      <c r="N709" s="114"/>
      <c r="O709" s="113"/>
      <c r="P709" s="113"/>
      <c r="Q709" s="114"/>
      <c r="R709" s="113"/>
      <c r="S709" s="113"/>
      <c r="T709" s="113"/>
      <c r="U709" s="113"/>
      <c r="V709" s="113"/>
      <c r="W709" s="113"/>
      <c r="X709" s="113"/>
      <c r="Y709" s="113"/>
      <c r="Z709" s="113"/>
    </row>
    <row r="710" spans="1:26" x14ac:dyDescent="0.25">
      <c r="A710" s="89"/>
      <c r="B710" s="89"/>
      <c r="C710" s="89"/>
      <c r="D710" s="114"/>
      <c r="E710" s="114"/>
      <c r="F710" s="114"/>
      <c r="G710" s="114"/>
      <c r="I710" s="114"/>
      <c r="J710" s="114"/>
      <c r="K710" s="114"/>
      <c r="L710" s="114"/>
      <c r="M710" s="113"/>
      <c r="N710" s="114"/>
      <c r="O710" s="113"/>
      <c r="P710" s="113"/>
      <c r="Q710" s="114"/>
      <c r="R710" s="113"/>
      <c r="S710" s="113"/>
      <c r="T710" s="113"/>
      <c r="U710" s="113"/>
      <c r="V710" s="113"/>
      <c r="W710" s="113"/>
      <c r="X710" s="113"/>
      <c r="Y710" s="113"/>
      <c r="Z710" s="113"/>
    </row>
    <row r="711" spans="1:26" x14ac:dyDescent="0.25">
      <c r="A711" s="89"/>
      <c r="B711" s="89"/>
      <c r="C711" s="89"/>
      <c r="D711" s="114"/>
      <c r="E711" s="114"/>
      <c r="F711" s="114"/>
      <c r="G711" s="114"/>
      <c r="I711" s="114"/>
      <c r="J711" s="114"/>
      <c r="K711" s="114"/>
      <c r="L711" s="114"/>
      <c r="M711" s="113"/>
      <c r="N711" s="114"/>
      <c r="O711" s="113"/>
      <c r="P711" s="113"/>
      <c r="Q711" s="114"/>
      <c r="R711" s="113"/>
      <c r="S711" s="113"/>
      <c r="T711" s="113"/>
      <c r="U711" s="113"/>
      <c r="V711" s="113"/>
      <c r="W711" s="113"/>
      <c r="X711" s="113"/>
      <c r="Y711" s="113"/>
      <c r="Z711" s="113"/>
    </row>
    <row r="712" spans="1:26" x14ac:dyDescent="0.25">
      <c r="A712" s="89"/>
      <c r="B712" s="89"/>
      <c r="C712" s="89"/>
      <c r="D712" s="114"/>
      <c r="E712" s="114"/>
      <c r="F712" s="114"/>
      <c r="G712" s="114"/>
      <c r="I712" s="114"/>
      <c r="J712" s="114"/>
      <c r="K712" s="114"/>
      <c r="L712" s="114"/>
      <c r="M712" s="113"/>
      <c r="N712" s="114"/>
      <c r="O712" s="113"/>
      <c r="P712" s="113"/>
      <c r="Q712" s="114"/>
      <c r="R712" s="113"/>
      <c r="S712" s="113"/>
      <c r="T712" s="113"/>
      <c r="U712" s="113"/>
      <c r="V712" s="113"/>
      <c r="W712" s="113"/>
      <c r="X712" s="113"/>
      <c r="Y712" s="113"/>
      <c r="Z712" s="113"/>
    </row>
    <row r="713" spans="1:26" x14ac:dyDescent="0.25">
      <c r="A713" s="89"/>
      <c r="B713" s="89"/>
      <c r="C713" s="89"/>
      <c r="D713" s="114"/>
      <c r="E713" s="114"/>
      <c r="F713" s="114"/>
      <c r="G713" s="114"/>
      <c r="I713" s="114"/>
      <c r="J713" s="114"/>
      <c r="K713" s="114"/>
      <c r="L713" s="114"/>
      <c r="M713" s="113"/>
      <c r="N713" s="114"/>
      <c r="O713" s="113"/>
      <c r="P713" s="113"/>
      <c r="Q713" s="114"/>
      <c r="R713" s="113"/>
      <c r="S713" s="113"/>
      <c r="T713" s="113"/>
      <c r="U713" s="113"/>
      <c r="V713" s="113"/>
      <c r="W713" s="113"/>
      <c r="X713" s="113"/>
      <c r="Y713" s="113"/>
      <c r="Z713" s="113"/>
    </row>
    <row r="714" spans="1:26" x14ac:dyDescent="0.25">
      <c r="A714" s="89"/>
      <c r="B714" s="89"/>
      <c r="C714" s="89"/>
      <c r="D714" s="114"/>
      <c r="E714" s="114"/>
      <c r="F714" s="114"/>
      <c r="G714" s="114"/>
      <c r="I714" s="114"/>
      <c r="J714" s="114"/>
      <c r="K714" s="114"/>
      <c r="L714" s="114"/>
      <c r="M714" s="113"/>
      <c r="N714" s="114"/>
      <c r="O714" s="113"/>
      <c r="P714" s="113"/>
      <c r="Q714" s="114"/>
      <c r="R714" s="113"/>
      <c r="S714" s="113"/>
      <c r="T714" s="113"/>
      <c r="U714" s="113"/>
      <c r="V714" s="113"/>
      <c r="W714" s="113"/>
      <c r="X714" s="113"/>
      <c r="Y714" s="113"/>
      <c r="Z714" s="113"/>
    </row>
    <row r="715" spans="1:26" x14ac:dyDescent="0.25">
      <c r="A715" s="89"/>
      <c r="B715" s="89"/>
      <c r="C715" s="89"/>
      <c r="D715" s="114"/>
      <c r="E715" s="114"/>
      <c r="F715" s="114"/>
      <c r="G715" s="114"/>
      <c r="I715" s="114"/>
      <c r="J715" s="114"/>
      <c r="K715" s="114"/>
      <c r="L715" s="114"/>
      <c r="M715" s="113"/>
      <c r="N715" s="114"/>
      <c r="O715" s="113"/>
      <c r="P715" s="113"/>
      <c r="Q715" s="114"/>
      <c r="R715" s="113"/>
      <c r="S715" s="113"/>
      <c r="T715" s="113"/>
      <c r="U715" s="113"/>
      <c r="V715" s="113"/>
      <c r="W715" s="113"/>
      <c r="X715" s="113"/>
      <c r="Y715" s="113"/>
      <c r="Z715" s="113"/>
    </row>
    <row r="716" spans="1:26" x14ac:dyDescent="0.25">
      <c r="A716" s="89"/>
      <c r="B716" s="89"/>
      <c r="C716" s="89"/>
      <c r="D716" s="114"/>
      <c r="E716" s="114"/>
      <c r="F716" s="114"/>
      <c r="G716" s="114"/>
      <c r="I716" s="114"/>
      <c r="J716" s="114"/>
      <c r="K716" s="114"/>
      <c r="L716" s="114"/>
      <c r="M716" s="113"/>
      <c r="N716" s="114"/>
      <c r="O716" s="113"/>
      <c r="P716" s="113"/>
      <c r="Q716" s="114"/>
      <c r="R716" s="113"/>
      <c r="S716" s="113"/>
      <c r="T716" s="113"/>
      <c r="U716" s="113"/>
      <c r="V716" s="113"/>
      <c r="W716" s="113"/>
      <c r="X716" s="113"/>
      <c r="Y716" s="113"/>
      <c r="Z716" s="113"/>
    </row>
    <row r="717" spans="1:26" x14ac:dyDescent="0.25">
      <c r="A717" s="89"/>
      <c r="B717" s="89"/>
      <c r="C717" s="89"/>
      <c r="D717" s="114"/>
      <c r="E717" s="114"/>
      <c r="F717" s="114"/>
      <c r="G717" s="114"/>
      <c r="I717" s="114"/>
      <c r="J717" s="114"/>
      <c r="K717" s="114"/>
      <c r="L717" s="114"/>
      <c r="M717" s="113"/>
      <c r="N717" s="114"/>
      <c r="O717" s="113"/>
      <c r="P717" s="113"/>
      <c r="Q717" s="114"/>
      <c r="R717" s="113"/>
      <c r="S717" s="113"/>
      <c r="T717" s="113"/>
      <c r="U717" s="113"/>
      <c r="V717" s="113"/>
      <c r="W717" s="113"/>
      <c r="X717" s="113"/>
      <c r="Y717" s="113"/>
      <c r="Z717" s="113"/>
    </row>
    <row r="718" spans="1:26" x14ac:dyDescent="0.25">
      <c r="A718" s="89"/>
      <c r="B718" s="89"/>
      <c r="C718" s="89"/>
      <c r="D718" s="114"/>
      <c r="E718" s="114"/>
      <c r="F718" s="114"/>
      <c r="G718" s="114"/>
      <c r="I718" s="114"/>
      <c r="J718" s="114"/>
      <c r="K718" s="114"/>
      <c r="L718" s="114"/>
      <c r="M718" s="113"/>
      <c r="N718" s="114"/>
      <c r="O718" s="113"/>
      <c r="P718" s="113"/>
      <c r="Q718" s="114"/>
      <c r="R718" s="113"/>
      <c r="S718" s="113"/>
      <c r="T718" s="113"/>
      <c r="U718" s="113"/>
      <c r="V718" s="113"/>
      <c r="W718" s="113"/>
      <c r="X718" s="113"/>
      <c r="Y718" s="113"/>
      <c r="Z718" s="113"/>
    </row>
    <row r="719" spans="1:26" x14ac:dyDescent="0.25">
      <c r="A719" s="89"/>
      <c r="B719" s="89"/>
      <c r="C719" s="89"/>
      <c r="D719" s="114"/>
      <c r="E719" s="114"/>
      <c r="F719" s="114"/>
      <c r="G719" s="114"/>
      <c r="I719" s="114"/>
      <c r="J719" s="114"/>
      <c r="K719" s="114"/>
      <c r="L719" s="114"/>
      <c r="M719" s="113"/>
      <c r="N719" s="114"/>
      <c r="O719" s="113"/>
      <c r="P719" s="113"/>
      <c r="Q719" s="114"/>
      <c r="R719" s="113"/>
      <c r="S719" s="113"/>
      <c r="T719" s="113"/>
      <c r="U719" s="113"/>
      <c r="V719" s="113"/>
      <c r="W719" s="113"/>
      <c r="X719" s="113"/>
      <c r="Y719" s="113"/>
      <c r="Z719" s="113"/>
    </row>
    <row r="720" spans="1:26" x14ac:dyDescent="0.25">
      <c r="A720" s="89"/>
      <c r="B720" s="89"/>
      <c r="C720" s="89"/>
      <c r="D720" s="114"/>
      <c r="E720" s="114"/>
      <c r="F720" s="114"/>
      <c r="G720" s="114"/>
      <c r="I720" s="114"/>
      <c r="J720" s="114"/>
      <c r="K720" s="114"/>
      <c r="L720" s="114"/>
      <c r="M720" s="113"/>
      <c r="N720" s="114"/>
      <c r="O720" s="113"/>
      <c r="P720" s="113"/>
      <c r="Q720" s="114"/>
      <c r="R720" s="113"/>
      <c r="S720" s="113"/>
      <c r="T720" s="113"/>
      <c r="U720" s="113"/>
      <c r="V720" s="113"/>
      <c r="W720" s="113"/>
      <c r="X720" s="113"/>
      <c r="Y720" s="113"/>
      <c r="Z720" s="113"/>
    </row>
    <row r="721" spans="1:26" x14ac:dyDescent="0.25">
      <c r="A721" s="89"/>
      <c r="B721" s="89"/>
      <c r="C721" s="89"/>
      <c r="D721" s="114"/>
      <c r="E721" s="114"/>
      <c r="F721" s="114"/>
      <c r="G721" s="114"/>
      <c r="I721" s="114"/>
      <c r="J721" s="114"/>
      <c r="K721" s="114"/>
      <c r="L721" s="114"/>
      <c r="M721" s="113"/>
      <c r="N721" s="114"/>
      <c r="O721" s="113"/>
      <c r="P721" s="113"/>
      <c r="Q721" s="114"/>
      <c r="R721" s="113"/>
      <c r="S721" s="113"/>
      <c r="T721" s="113"/>
      <c r="U721" s="113"/>
      <c r="V721" s="113"/>
      <c r="W721" s="113"/>
      <c r="X721" s="113"/>
      <c r="Y721" s="113"/>
      <c r="Z721" s="113"/>
    </row>
    <row r="722" spans="1:26" x14ac:dyDescent="0.25">
      <c r="A722" s="89"/>
      <c r="B722" s="89"/>
      <c r="C722" s="89"/>
      <c r="D722" s="114"/>
      <c r="E722" s="114"/>
      <c r="F722" s="114"/>
      <c r="G722" s="114"/>
      <c r="I722" s="114"/>
      <c r="J722" s="114"/>
      <c r="K722" s="114"/>
      <c r="L722" s="114"/>
      <c r="M722" s="113"/>
      <c r="N722" s="114"/>
      <c r="O722" s="113"/>
      <c r="P722" s="113"/>
      <c r="Q722" s="114"/>
      <c r="R722" s="113"/>
      <c r="S722" s="113"/>
      <c r="T722" s="113"/>
      <c r="U722" s="113"/>
      <c r="V722" s="113"/>
      <c r="W722" s="113"/>
      <c r="X722" s="113"/>
      <c r="Y722" s="113"/>
      <c r="Z722" s="113"/>
    </row>
    <row r="723" spans="1:26" x14ac:dyDescent="0.25">
      <c r="A723" s="89"/>
      <c r="B723" s="89"/>
      <c r="C723" s="89"/>
      <c r="D723" s="114"/>
      <c r="E723" s="114"/>
      <c r="F723" s="114"/>
      <c r="G723" s="114"/>
      <c r="I723" s="114"/>
      <c r="J723" s="114"/>
      <c r="K723" s="114"/>
      <c r="L723" s="114"/>
      <c r="M723" s="113"/>
      <c r="N723" s="114"/>
      <c r="O723" s="113"/>
      <c r="P723" s="113"/>
      <c r="Q723" s="114"/>
      <c r="R723" s="113"/>
      <c r="S723" s="113"/>
      <c r="T723" s="113"/>
      <c r="U723" s="113"/>
      <c r="V723" s="113"/>
      <c r="W723" s="113"/>
      <c r="X723" s="113"/>
      <c r="Y723" s="113"/>
      <c r="Z723" s="113"/>
    </row>
    <row r="724" spans="1:26" x14ac:dyDescent="0.25">
      <c r="A724" s="89"/>
      <c r="B724" s="89"/>
      <c r="C724" s="89"/>
      <c r="D724" s="114"/>
      <c r="E724" s="114"/>
      <c r="F724" s="114"/>
      <c r="G724" s="114"/>
      <c r="I724" s="114"/>
      <c r="J724" s="114"/>
      <c r="K724" s="114"/>
      <c r="L724" s="114"/>
      <c r="M724" s="113"/>
      <c r="N724" s="114"/>
      <c r="O724" s="113"/>
      <c r="P724" s="113"/>
      <c r="Q724" s="114"/>
      <c r="R724" s="113"/>
      <c r="S724" s="113"/>
      <c r="T724" s="113"/>
      <c r="U724" s="113"/>
      <c r="V724" s="113"/>
      <c r="W724" s="113"/>
      <c r="X724" s="113"/>
      <c r="Y724" s="113"/>
      <c r="Z724" s="113"/>
    </row>
    <row r="725" spans="1:26" x14ac:dyDescent="0.25">
      <c r="A725" s="89"/>
      <c r="B725" s="89"/>
      <c r="C725" s="89"/>
      <c r="D725" s="114"/>
      <c r="E725" s="114"/>
      <c r="F725" s="114"/>
      <c r="G725" s="114"/>
      <c r="I725" s="114"/>
      <c r="J725" s="114"/>
      <c r="K725" s="114"/>
      <c r="L725" s="114"/>
      <c r="M725" s="113"/>
      <c r="N725" s="114"/>
      <c r="O725" s="113"/>
      <c r="P725" s="113"/>
      <c r="Q725" s="114"/>
      <c r="R725" s="113"/>
      <c r="S725" s="113"/>
      <c r="T725" s="113"/>
      <c r="U725" s="113"/>
      <c r="V725" s="113"/>
      <c r="W725" s="113"/>
      <c r="X725" s="113"/>
      <c r="Y725" s="113"/>
      <c r="Z725" s="113"/>
    </row>
    <row r="726" spans="1:26" x14ac:dyDescent="0.25">
      <c r="A726" s="89"/>
      <c r="B726" s="89"/>
      <c r="C726" s="89"/>
      <c r="D726" s="114"/>
      <c r="E726" s="114"/>
      <c r="F726" s="114"/>
      <c r="G726" s="114"/>
      <c r="I726" s="114"/>
      <c r="J726" s="114"/>
      <c r="K726" s="114"/>
      <c r="L726" s="114"/>
      <c r="M726" s="113"/>
      <c r="N726" s="114"/>
      <c r="O726" s="113"/>
      <c r="P726" s="113"/>
      <c r="Q726" s="114"/>
      <c r="R726" s="113"/>
      <c r="S726" s="113"/>
      <c r="T726" s="113"/>
      <c r="U726" s="113"/>
      <c r="V726" s="113"/>
      <c r="W726" s="113"/>
      <c r="X726" s="113"/>
      <c r="Y726" s="113"/>
      <c r="Z726" s="113"/>
    </row>
    <row r="727" spans="1:26" x14ac:dyDescent="0.25">
      <c r="A727" s="89"/>
      <c r="B727" s="89"/>
      <c r="C727" s="89"/>
      <c r="D727" s="114"/>
      <c r="E727" s="114"/>
      <c r="F727" s="114"/>
      <c r="G727" s="114"/>
      <c r="I727" s="114"/>
      <c r="J727" s="114"/>
      <c r="K727" s="114"/>
      <c r="L727" s="114"/>
      <c r="M727" s="113"/>
      <c r="N727" s="114"/>
      <c r="O727" s="113"/>
      <c r="P727" s="113"/>
      <c r="Q727" s="114"/>
      <c r="R727" s="113"/>
      <c r="S727" s="113"/>
      <c r="T727" s="113"/>
      <c r="U727" s="113"/>
      <c r="V727" s="113"/>
      <c r="W727" s="113"/>
      <c r="X727" s="113"/>
      <c r="Y727" s="113"/>
      <c r="Z727" s="113"/>
    </row>
    <row r="728" spans="1:26" x14ac:dyDescent="0.25">
      <c r="A728" s="89"/>
      <c r="B728" s="89"/>
      <c r="C728" s="89"/>
      <c r="D728" s="114"/>
      <c r="E728" s="114"/>
      <c r="F728" s="114"/>
      <c r="G728" s="114"/>
      <c r="I728" s="114"/>
      <c r="J728" s="114"/>
      <c r="K728" s="114"/>
      <c r="L728" s="114"/>
      <c r="M728" s="113"/>
      <c r="N728" s="114"/>
      <c r="O728" s="113"/>
      <c r="P728" s="113"/>
      <c r="Q728" s="114"/>
      <c r="R728" s="113"/>
      <c r="S728" s="113"/>
      <c r="T728" s="113"/>
      <c r="U728" s="113"/>
      <c r="V728" s="113"/>
      <c r="W728" s="113"/>
      <c r="X728" s="113"/>
      <c r="Y728" s="113"/>
      <c r="Z728" s="113"/>
    </row>
    <row r="729" spans="1:26" x14ac:dyDescent="0.25">
      <c r="A729" s="89"/>
      <c r="B729" s="89"/>
      <c r="C729" s="89"/>
      <c r="D729" s="114"/>
      <c r="E729" s="114"/>
      <c r="F729" s="114"/>
      <c r="G729" s="114"/>
      <c r="I729" s="114"/>
      <c r="J729" s="114"/>
      <c r="K729" s="114"/>
      <c r="L729" s="114"/>
      <c r="M729" s="113"/>
      <c r="N729" s="114"/>
      <c r="O729" s="113"/>
      <c r="P729" s="113"/>
      <c r="Q729" s="114"/>
      <c r="R729" s="113"/>
      <c r="S729" s="113"/>
      <c r="T729" s="113"/>
      <c r="U729" s="113"/>
      <c r="V729" s="113"/>
      <c r="W729" s="113"/>
      <c r="X729" s="113"/>
      <c r="Y729" s="113"/>
      <c r="Z729" s="113"/>
    </row>
    <row r="730" spans="1:26" x14ac:dyDescent="0.25">
      <c r="A730" s="89"/>
      <c r="B730" s="89"/>
      <c r="C730" s="89"/>
      <c r="D730" s="114"/>
      <c r="E730" s="114"/>
      <c r="F730" s="114"/>
      <c r="G730" s="114"/>
      <c r="I730" s="114"/>
      <c r="J730" s="114"/>
      <c r="K730" s="114"/>
      <c r="L730" s="114"/>
      <c r="M730" s="113"/>
      <c r="N730" s="114"/>
      <c r="O730" s="113"/>
      <c r="P730" s="113"/>
      <c r="Q730" s="114"/>
      <c r="R730" s="113"/>
      <c r="S730" s="113"/>
      <c r="T730" s="113"/>
      <c r="U730" s="113"/>
      <c r="V730" s="113"/>
      <c r="W730" s="113"/>
      <c r="X730" s="113"/>
      <c r="Y730" s="113"/>
      <c r="Z730" s="113"/>
    </row>
    <row r="731" spans="1:26" x14ac:dyDescent="0.25">
      <c r="A731" s="89"/>
      <c r="B731" s="89"/>
      <c r="C731" s="89"/>
      <c r="D731" s="114"/>
      <c r="E731" s="114"/>
      <c r="F731" s="114"/>
      <c r="G731" s="114"/>
      <c r="I731" s="114"/>
      <c r="J731" s="114"/>
      <c r="K731" s="114"/>
      <c r="L731" s="114"/>
      <c r="M731" s="113"/>
      <c r="N731" s="114"/>
      <c r="O731" s="113"/>
      <c r="P731" s="113"/>
      <c r="Q731" s="114"/>
      <c r="R731" s="113"/>
      <c r="S731" s="113"/>
      <c r="T731" s="113"/>
      <c r="U731" s="113"/>
      <c r="V731" s="113"/>
      <c r="W731" s="113"/>
      <c r="X731" s="113"/>
      <c r="Y731" s="113"/>
      <c r="Z731" s="113"/>
    </row>
    <row r="732" spans="1:26" x14ac:dyDescent="0.25">
      <c r="A732" s="89"/>
      <c r="B732" s="89"/>
      <c r="C732" s="89"/>
      <c r="D732" s="114"/>
      <c r="E732" s="114"/>
      <c r="F732" s="114"/>
      <c r="G732" s="114"/>
      <c r="I732" s="114"/>
      <c r="J732" s="114"/>
      <c r="K732" s="114"/>
      <c r="L732" s="114"/>
      <c r="M732" s="113"/>
      <c r="N732" s="114"/>
      <c r="O732" s="113"/>
      <c r="P732" s="113"/>
      <c r="Q732" s="114"/>
      <c r="R732" s="113"/>
      <c r="S732" s="113"/>
      <c r="T732" s="113"/>
      <c r="U732" s="113"/>
      <c r="V732" s="113"/>
      <c r="W732" s="113"/>
      <c r="X732" s="113"/>
      <c r="Y732" s="113"/>
      <c r="Z732" s="113"/>
    </row>
    <row r="733" spans="1:26" x14ac:dyDescent="0.25">
      <c r="A733" s="89"/>
      <c r="B733" s="89"/>
      <c r="C733" s="89"/>
      <c r="D733" s="114"/>
      <c r="E733" s="114"/>
      <c r="F733" s="114"/>
      <c r="G733" s="114"/>
      <c r="I733" s="114"/>
      <c r="J733" s="114"/>
      <c r="K733" s="114"/>
      <c r="L733" s="114"/>
      <c r="M733" s="113"/>
      <c r="N733" s="114"/>
      <c r="O733" s="113"/>
      <c r="P733" s="113"/>
      <c r="Q733" s="114"/>
      <c r="R733" s="113"/>
      <c r="S733" s="113"/>
      <c r="T733" s="113"/>
      <c r="U733" s="113"/>
      <c r="V733" s="113"/>
      <c r="W733" s="113"/>
      <c r="X733" s="113"/>
      <c r="Y733" s="113"/>
      <c r="Z733" s="113"/>
    </row>
    <row r="734" spans="1:26" x14ac:dyDescent="0.25">
      <c r="A734" s="89"/>
      <c r="B734" s="89"/>
      <c r="C734" s="89"/>
      <c r="D734" s="114"/>
      <c r="E734" s="114"/>
      <c r="F734" s="114"/>
      <c r="G734" s="114"/>
      <c r="I734" s="114"/>
      <c r="J734" s="114"/>
      <c r="K734" s="114"/>
      <c r="L734" s="114"/>
      <c r="M734" s="113"/>
      <c r="N734" s="114"/>
      <c r="O734" s="113"/>
      <c r="P734" s="113"/>
      <c r="Q734" s="114"/>
      <c r="R734" s="113"/>
      <c r="S734" s="113"/>
      <c r="T734" s="113"/>
      <c r="U734" s="113"/>
      <c r="V734" s="113"/>
      <c r="W734" s="113"/>
      <c r="X734" s="113"/>
      <c r="Y734" s="113"/>
      <c r="Z734" s="113"/>
    </row>
    <row r="735" spans="1:26" x14ac:dyDescent="0.25">
      <c r="A735" s="89"/>
      <c r="B735" s="89"/>
      <c r="C735" s="89"/>
      <c r="D735" s="114"/>
      <c r="E735" s="114"/>
      <c r="F735" s="114"/>
      <c r="G735" s="114"/>
      <c r="I735" s="114"/>
      <c r="J735" s="114"/>
      <c r="K735" s="114"/>
      <c r="L735" s="114"/>
      <c r="M735" s="113"/>
      <c r="N735" s="114"/>
      <c r="O735" s="113"/>
      <c r="P735" s="113"/>
      <c r="Q735" s="114"/>
      <c r="R735" s="113"/>
      <c r="S735" s="113"/>
      <c r="T735" s="113"/>
      <c r="U735" s="113"/>
      <c r="V735" s="113"/>
      <c r="W735" s="113"/>
      <c r="X735" s="113"/>
      <c r="Y735" s="113"/>
      <c r="Z735" s="113"/>
    </row>
    <row r="736" spans="1:26" x14ac:dyDescent="0.25">
      <c r="A736" s="89"/>
      <c r="B736" s="89"/>
      <c r="C736" s="89"/>
      <c r="D736" s="114"/>
      <c r="E736" s="114"/>
      <c r="F736" s="114"/>
      <c r="G736" s="114"/>
      <c r="I736" s="114"/>
      <c r="J736" s="114"/>
      <c r="K736" s="114"/>
      <c r="L736" s="114"/>
      <c r="M736" s="113"/>
      <c r="N736" s="114"/>
      <c r="O736" s="113"/>
      <c r="P736" s="113"/>
      <c r="Q736" s="114"/>
      <c r="R736" s="113"/>
      <c r="S736" s="113"/>
      <c r="T736" s="113"/>
      <c r="U736" s="113"/>
      <c r="V736" s="113"/>
      <c r="W736" s="113"/>
      <c r="X736" s="113"/>
      <c r="Y736" s="113"/>
      <c r="Z736" s="113"/>
    </row>
    <row r="737" spans="1:26" x14ac:dyDescent="0.25">
      <c r="A737" s="89"/>
      <c r="B737" s="89"/>
      <c r="C737" s="89"/>
      <c r="D737" s="114"/>
      <c r="E737" s="114"/>
      <c r="F737" s="114"/>
      <c r="G737" s="114"/>
      <c r="I737" s="114"/>
      <c r="J737" s="114"/>
      <c r="K737" s="114"/>
      <c r="L737" s="114"/>
      <c r="M737" s="113"/>
      <c r="N737" s="114"/>
      <c r="O737" s="113"/>
      <c r="P737" s="113"/>
      <c r="Q737" s="114"/>
      <c r="R737" s="113"/>
      <c r="S737" s="113"/>
      <c r="T737" s="113"/>
      <c r="U737" s="113"/>
      <c r="V737" s="113"/>
      <c r="W737" s="113"/>
      <c r="X737" s="113"/>
      <c r="Y737" s="113"/>
      <c r="Z737" s="113"/>
    </row>
    <row r="738" spans="1:26" x14ac:dyDescent="0.25">
      <c r="A738" s="89"/>
      <c r="B738" s="89"/>
      <c r="C738" s="89"/>
      <c r="D738" s="114"/>
      <c r="E738" s="114"/>
      <c r="F738" s="114"/>
      <c r="G738" s="114"/>
      <c r="I738" s="114"/>
      <c r="J738" s="114"/>
      <c r="K738" s="114"/>
      <c r="L738" s="114"/>
      <c r="M738" s="113"/>
      <c r="N738" s="114"/>
      <c r="O738" s="113"/>
      <c r="P738" s="113"/>
      <c r="Q738" s="114"/>
      <c r="R738" s="113"/>
      <c r="S738" s="113"/>
      <c r="T738" s="113"/>
      <c r="U738" s="113"/>
      <c r="V738" s="113"/>
      <c r="W738" s="113"/>
      <c r="X738" s="113"/>
      <c r="Y738" s="113"/>
      <c r="Z738" s="113"/>
    </row>
    <row r="739" spans="1:26" x14ac:dyDescent="0.25">
      <c r="A739" s="89"/>
      <c r="B739" s="89"/>
      <c r="C739" s="89"/>
      <c r="D739" s="114"/>
      <c r="E739" s="114"/>
      <c r="F739" s="114"/>
      <c r="G739" s="114"/>
      <c r="I739" s="114"/>
      <c r="J739" s="114"/>
      <c r="K739" s="114"/>
      <c r="L739" s="114"/>
      <c r="M739" s="113"/>
      <c r="N739" s="114"/>
      <c r="O739" s="113"/>
      <c r="P739" s="113"/>
      <c r="Q739" s="114"/>
      <c r="R739" s="113"/>
      <c r="S739" s="113"/>
      <c r="T739" s="113"/>
      <c r="U739" s="113"/>
      <c r="V739" s="113"/>
      <c r="W739" s="113"/>
      <c r="X739" s="113"/>
      <c r="Y739" s="113"/>
      <c r="Z739" s="113"/>
    </row>
    <row r="740" spans="1:26" x14ac:dyDescent="0.25">
      <c r="A740" s="89"/>
      <c r="B740" s="89"/>
      <c r="C740" s="89"/>
      <c r="D740" s="114"/>
      <c r="E740" s="114"/>
      <c r="F740" s="114"/>
      <c r="G740" s="114"/>
      <c r="I740" s="114"/>
      <c r="J740" s="114"/>
      <c r="K740" s="114"/>
      <c r="L740" s="114"/>
      <c r="M740" s="113"/>
      <c r="N740" s="114"/>
      <c r="O740" s="113"/>
      <c r="P740" s="113"/>
      <c r="Q740" s="114"/>
      <c r="R740" s="113"/>
      <c r="S740" s="113"/>
      <c r="T740" s="113"/>
      <c r="U740" s="113"/>
      <c r="V740" s="113"/>
      <c r="W740" s="113"/>
      <c r="X740" s="113"/>
      <c r="Y740" s="113"/>
      <c r="Z740" s="113"/>
    </row>
    <row r="741" spans="1:26" x14ac:dyDescent="0.25">
      <c r="A741" s="89"/>
      <c r="B741" s="89"/>
      <c r="C741" s="89"/>
      <c r="D741" s="114"/>
      <c r="E741" s="114"/>
      <c r="F741" s="114"/>
      <c r="G741" s="114"/>
      <c r="I741" s="114"/>
      <c r="J741" s="114"/>
      <c r="K741" s="114"/>
      <c r="L741" s="114"/>
      <c r="M741" s="113"/>
      <c r="N741" s="114"/>
      <c r="O741" s="113"/>
      <c r="P741" s="113"/>
      <c r="Q741" s="114"/>
      <c r="R741" s="113"/>
      <c r="S741" s="113"/>
      <c r="T741" s="113"/>
      <c r="U741" s="113"/>
      <c r="V741" s="113"/>
      <c r="W741" s="113"/>
      <c r="X741" s="113"/>
      <c r="Y741" s="113"/>
      <c r="Z741" s="113"/>
    </row>
    <row r="742" spans="1:26" x14ac:dyDescent="0.25">
      <c r="A742" s="89"/>
      <c r="B742" s="89"/>
      <c r="C742" s="89"/>
      <c r="D742" s="114"/>
      <c r="E742" s="114"/>
      <c r="F742" s="114"/>
      <c r="G742" s="114"/>
      <c r="I742" s="114"/>
      <c r="J742" s="114"/>
      <c r="K742" s="114"/>
      <c r="L742" s="114"/>
      <c r="M742" s="113"/>
      <c r="N742" s="114"/>
      <c r="O742" s="113"/>
      <c r="P742" s="113"/>
      <c r="Q742" s="114"/>
      <c r="R742" s="113"/>
      <c r="S742" s="113"/>
      <c r="T742" s="113"/>
      <c r="U742" s="113"/>
      <c r="V742" s="113"/>
      <c r="W742" s="113"/>
      <c r="X742" s="113"/>
      <c r="Y742" s="113"/>
      <c r="Z742" s="113"/>
    </row>
    <row r="743" spans="1:26" x14ac:dyDescent="0.25">
      <c r="A743" s="89"/>
      <c r="B743" s="89"/>
      <c r="C743" s="89"/>
      <c r="D743" s="114"/>
      <c r="E743" s="114"/>
      <c r="F743" s="114"/>
      <c r="G743" s="114"/>
      <c r="I743" s="114"/>
      <c r="J743" s="114"/>
      <c r="K743" s="114"/>
      <c r="L743" s="114"/>
      <c r="M743" s="113"/>
      <c r="N743" s="114"/>
      <c r="O743" s="113"/>
      <c r="P743" s="113"/>
      <c r="Q743" s="114"/>
      <c r="R743" s="113"/>
      <c r="S743" s="113"/>
      <c r="T743" s="113"/>
      <c r="U743" s="113"/>
      <c r="V743" s="113"/>
      <c r="W743" s="113"/>
      <c r="X743" s="113"/>
      <c r="Y743" s="113"/>
      <c r="Z743" s="113"/>
    </row>
    <row r="744" spans="1:26" x14ac:dyDescent="0.25">
      <c r="A744" s="89"/>
      <c r="B744" s="89"/>
      <c r="C744" s="89"/>
      <c r="D744" s="114"/>
      <c r="E744" s="114"/>
      <c r="F744" s="114"/>
      <c r="G744" s="114"/>
      <c r="I744" s="114"/>
      <c r="J744" s="114"/>
      <c r="K744" s="114"/>
      <c r="L744" s="114"/>
      <c r="M744" s="113"/>
      <c r="N744" s="114"/>
      <c r="O744" s="113"/>
      <c r="P744" s="113"/>
      <c r="Q744" s="114"/>
      <c r="R744" s="113"/>
      <c r="S744" s="113"/>
      <c r="T744" s="113"/>
      <c r="U744" s="113"/>
      <c r="V744" s="113"/>
      <c r="W744" s="113"/>
      <c r="X744" s="113"/>
      <c r="Y744" s="113"/>
      <c r="Z744" s="113"/>
    </row>
    <row r="745" spans="1:26" x14ac:dyDescent="0.25">
      <c r="A745" s="89"/>
      <c r="B745" s="89"/>
      <c r="C745" s="89"/>
      <c r="D745" s="114"/>
      <c r="E745" s="114"/>
      <c r="F745" s="114"/>
      <c r="G745" s="114"/>
      <c r="I745" s="114"/>
      <c r="J745" s="114"/>
      <c r="K745" s="114"/>
      <c r="L745" s="114"/>
      <c r="M745" s="113"/>
      <c r="N745" s="114"/>
      <c r="O745" s="113"/>
      <c r="P745" s="113"/>
      <c r="Q745" s="114"/>
      <c r="R745" s="113"/>
      <c r="S745" s="113"/>
      <c r="T745" s="113"/>
      <c r="U745" s="113"/>
      <c r="V745" s="113"/>
      <c r="W745" s="113"/>
      <c r="X745" s="113"/>
      <c r="Y745" s="113"/>
      <c r="Z745" s="113"/>
    </row>
    <row r="746" spans="1:26" x14ac:dyDescent="0.25">
      <c r="A746" s="89"/>
      <c r="B746" s="89"/>
      <c r="C746" s="89"/>
      <c r="D746" s="114"/>
      <c r="E746" s="114"/>
      <c r="F746" s="114"/>
      <c r="G746" s="114"/>
      <c r="I746" s="114"/>
      <c r="J746" s="114"/>
      <c r="K746" s="114"/>
      <c r="L746" s="114"/>
      <c r="M746" s="113"/>
      <c r="N746" s="114"/>
      <c r="O746" s="113"/>
      <c r="P746" s="113"/>
      <c r="Q746" s="114"/>
      <c r="R746" s="113"/>
      <c r="S746" s="113"/>
      <c r="T746" s="113"/>
      <c r="U746" s="113"/>
      <c r="V746" s="113"/>
      <c r="W746" s="113"/>
      <c r="X746" s="113"/>
      <c r="Y746" s="113"/>
      <c r="Z746" s="113"/>
    </row>
    <row r="747" spans="1:26" x14ac:dyDescent="0.25">
      <c r="A747" s="89"/>
      <c r="B747" s="89"/>
      <c r="C747" s="89"/>
      <c r="D747" s="114"/>
      <c r="E747" s="114"/>
      <c r="F747" s="114"/>
      <c r="G747" s="114"/>
      <c r="I747" s="114"/>
      <c r="J747" s="114"/>
      <c r="K747" s="114"/>
      <c r="L747" s="114"/>
      <c r="M747" s="113"/>
      <c r="N747" s="114"/>
      <c r="O747" s="113"/>
      <c r="P747" s="113"/>
      <c r="Q747" s="114"/>
      <c r="R747" s="113"/>
      <c r="S747" s="113"/>
      <c r="T747" s="113"/>
      <c r="U747" s="113"/>
      <c r="V747" s="113"/>
      <c r="W747" s="113"/>
      <c r="X747" s="113"/>
      <c r="Y747" s="113"/>
      <c r="Z747" s="113"/>
    </row>
    <row r="748" spans="1:26" x14ac:dyDescent="0.25">
      <c r="A748" s="89"/>
      <c r="B748" s="89"/>
      <c r="C748" s="89"/>
      <c r="D748" s="114"/>
      <c r="E748" s="114"/>
      <c r="F748" s="114"/>
      <c r="G748" s="114"/>
      <c r="I748" s="114"/>
      <c r="J748" s="114"/>
      <c r="K748" s="114"/>
      <c r="L748" s="114"/>
      <c r="M748" s="113"/>
      <c r="N748" s="114"/>
      <c r="O748" s="113"/>
      <c r="P748" s="113"/>
      <c r="Q748" s="114"/>
      <c r="R748" s="113"/>
      <c r="S748" s="113"/>
      <c r="T748" s="113"/>
      <c r="U748" s="113"/>
      <c r="V748" s="113"/>
      <c r="W748" s="113"/>
      <c r="X748" s="113"/>
      <c r="Y748" s="113"/>
      <c r="Z748" s="113"/>
    </row>
    <row r="749" spans="1:26" x14ac:dyDescent="0.25">
      <c r="A749" s="89"/>
      <c r="B749" s="89"/>
      <c r="C749" s="89"/>
      <c r="D749" s="114"/>
      <c r="E749" s="114"/>
      <c r="F749" s="114"/>
      <c r="G749" s="114"/>
      <c r="I749" s="114"/>
      <c r="J749" s="114"/>
      <c r="K749" s="114"/>
      <c r="L749" s="114"/>
      <c r="M749" s="113"/>
      <c r="N749" s="114"/>
      <c r="O749" s="113"/>
      <c r="P749" s="113"/>
      <c r="Q749" s="114"/>
      <c r="R749" s="113"/>
      <c r="S749" s="113"/>
      <c r="T749" s="113"/>
      <c r="U749" s="113"/>
      <c r="V749" s="113"/>
      <c r="W749" s="113"/>
      <c r="X749" s="113"/>
      <c r="Y749" s="113"/>
      <c r="Z749" s="113"/>
    </row>
    <row r="750" spans="1:26" x14ac:dyDescent="0.25">
      <c r="A750" s="89"/>
      <c r="B750" s="89"/>
      <c r="C750" s="89"/>
      <c r="D750" s="114"/>
      <c r="E750" s="114"/>
      <c r="F750" s="114"/>
      <c r="G750" s="114"/>
      <c r="I750" s="114"/>
      <c r="J750" s="114"/>
      <c r="K750" s="114"/>
      <c r="L750" s="114"/>
      <c r="M750" s="113"/>
      <c r="N750" s="114"/>
      <c r="O750" s="113"/>
      <c r="P750" s="113"/>
      <c r="Q750" s="114"/>
      <c r="R750" s="113"/>
      <c r="S750" s="113"/>
      <c r="T750" s="113"/>
      <c r="U750" s="113"/>
      <c r="V750" s="113"/>
      <c r="W750" s="113"/>
      <c r="X750" s="113"/>
      <c r="Y750" s="113"/>
      <c r="Z750" s="113"/>
    </row>
    <row r="751" spans="1:26" x14ac:dyDescent="0.25">
      <c r="A751" s="89"/>
      <c r="B751" s="89"/>
      <c r="C751" s="89"/>
      <c r="D751" s="114"/>
      <c r="E751" s="114"/>
      <c r="F751" s="114"/>
      <c r="G751" s="114"/>
      <c r="I751" s="114"/>
      <c r="J751" s="114"/>
      <c r="K751" s="114"/>
      <c r="L751" s="114"/>
      <c r="M751" s="113"/>
      <c r="N751" s="114"/>
      <c r="O751" s="113"/>
      <c r="P751" s="113"/>
      <c r="Q751" s="114"/>
      <c r="R751" s="113"/>
      <c r="S751" s="113"/>
      <c r="T751" s="113"/>
      <c r="U751" s="113"/>
      <c r="V751" s="113"/>
      <c r="W751" s="113"/>
      <c r="X751" s="113"/>
      <c r="Y751" s="113"/>
      <c r="Z751" s="113"/>
    </row>
    <row r="752" spans="1:26" x14ac:dyDescent="0.25">
      <c r="A752" s="89"/>
      <c r="B752" s="89"/>
      <c r="C752" s="89"/>
      <c r="D752" s="114"/>
      <c r="E752" s="114"/>
      <c r="F752" s="114"/>
      <c r="G752" s="114"/>
      <c r="I752" s="114"/>
      <c r="J752" s="114"/>
      <c r="K752" s="114"/>
      <c r="L752" s="114"/>
      <c r="M752" s="113"/>
      <c r="N752" s="114"/>
      <c r="O752" s="113"/>
      <c r="P752" s="113"/>
      <c r="Q752" s="114"/>
      <c r="R752" s="113"/>
      <c r="S752" s="113"/>
      <c r="T752" s="113"/>
      <c r="U752" s="113"/>
      <c r="V752" s="113"/>
      <c r="W752" s="113"/>
      <c r="X752" s="113"/>
      <c r="Y752" s="113"/>
      <c r="Z752" s="113"/>
    </row>
    <row r="753" spans="1:26" x14ac:dyDescent="0.25">
      <c r="A753" s="89"/>
      <c r="B753" s="89"/>
      <c r="C753" s="89"/>
      <c r="D753" s="114"/>
      <c r="E753" s="114"/>
      <c r="F753" s="114"/>
      <c r="G753" s="114"/>
      <c r="I753" s="114"/>
      <c r="J753" s="114"/>
      <c r="K753" s="114"/>
      <c r="L753" s="114"/>
      <c r="M753" s="113"/>
      <c r="N753" s="114"/>
      <c r="O753" s="113"/>
      <c r="P753" s="113"/>
      <c r="Q753" s="114"/>
      <c r="R753" s="113"/>
      <c r="S753" s="113"/>
      <c r="T753" s="113"/>
      <c r="U753" s="113"/>
      <c r="V753" s="113"/>
      <c r="W753" s="113"/>
      <c r="X753" s="113"/>
      <c r="Y753" s="113"/>
      <c r="Z753" s="113"/>
    </row>
    <row r="754" spans="1:26" x14ac:dyDescent="0.25">
      <c r="A754" s="89"/>
      <c r="B754" s="89"/>
      <c r="C754" s="89"/>
      <c r="D754" s="114"/>
      <c r="E754" s="114"/>
      <c r="F754" s="114"/>
      <c r="G754" s="114"/>
      <c r="I754" s="114"/>
      <c r="J754" s="114"/>
      <c r="K754" s="114"/>
      <c r="L754" s="114"/>
      <c r="M754" s="113"/>
      <c r="N754" s="114"/>
      <c r="O754" s="113"/>
      <c r="P754" s="113"/>
      <c r="Q754" s="114"/>
      <c r="R754" s="113"/>
      <c r="S754" s="113"/>
      <c r="T754" s="113"/>
      <c r="U754" s="113"/>
      <c r="V754" s="113"/>
      <c r="W754" s="113"/>
      <c r="X754" s="113"/>
      <c r="Y754" s="113"/>
      <c r="Z754" s="113"/>
    </row>
    <row r="755" spans="1:26" x14ac:dyDescent="0.25">
      <c r="A755" s="89"/>
      <c r="B755" s="89"/>
      <c r="C755" s="89"/>
      <c r="D755" s="114"/>
      <c r="E755" s="114"/>
      <c r="F755" s="114"/>
      <c r="G755" s="114"/>
      <c r="I755" s="114"/>
      <c r="J755" s="114"/>
      <c r="K755" s="114"/>
      <c r="L755" s="114"/>
      <c r="M755" s="113"/>
      <c r="N755" s="114"/>
      <c r="O755" s="113"/>
      <c r="P755" s="113"/>
      <c r="Q755" s="114"/>
      <c r="R755" s="113"/>
      <c r="S755" s="113"/>
      <c r="T755" s="113"/>
      <c r="U755" s="113"/>
      <c r="V755" s="113"/>
      <c r="W755" s="113"/>
      <c r="X755" s="113"/>
      <c r="Y755" s="113"/>
      <c r="Z755" s="113"/>
    </row>
    <row r="756" spans="1:26" x14ac:dyDescent="0.25">
      <c r="A756" s="89"/>
      <c r="B756" s="89"/>
      <c r="C756" s="89"/>
      <c r="D756" s="114"/>
      <c r="E756" s="114"/>
      <c r="F756" s="114"/>
      <c r="G756" s="114"/>
      <c r="I756" s="114"/>
      <c r="J756" s="114"/>
      <c r="K756" s="114"/>
      <c r="L756" s="114"/>
      <c r="M756" s="113"/>
      <c r="N756" s="114"/>
      <c r="O756" s="113"/>
      <c r="P756" s="113"/>
      <c r="Q756" s="114"/>
      <c r="R756" s="113"/>
      <c r="S756" s="113"/>
      <c r="T756" s="113"/>
      <c r="U756" s="113"/>
      <c r="V756" s="113"/>
      <c r="W756" s="113"/>
      <c r="X756" s="113"/>
      <c r="Y756" s="113"/>
      <c r="Z756" s="113"/>
    </row>
    <row r="757" spans="1:26" x14ac:dyDescent="0.25">
      <c r="A757" s="89"/>
      <c r="B757" s="89"/>
      <c r="C757" s="89"/>
      <c r="D757" s="114"/>
      <c r="E757" s="114"/>
      <c r="F757" s="114"/>
      <c r="G757" s="114"/>
      <c r="I757" s="114"/>
      <c r="J757" s="114"/>
      <c r="K757" s="114"/>
      <c r="L757" s="114"/>
      <c r="M757" s="113"/>
      <c r="N757" s="114"/>
      <c r="O757" s="113"/>
      <c r="P757" s="113"/>
      <c r="Q757" s="114"/>
      <c r="R757" s="113"/>
      <c r="S757" s="113"/>
      <c r="T757" s="113"/>
      <c r="U757" s="113"/>
      <c r="V757" s="113"/>
      <c r="W757" s="113"/>
      <c r="X757" s="113"/>
      <c r="Y757" s="113"/>
      <c r="Z757" s="113"/>
    </row>
    <row r="758" spans="1:26" x14ac:dyDescent="0.25">
      <c r="A758" s="89"/>
      <c r="B758" s="89"/>
      <c r="C758" s="89"/>
      <c r="D758" s="114"/>
      <c r="E758" s="114"/>
      <c r="F758" s="114"/>
      <c r="G758" s="114"/>
      <c r="I758" s="114"/>
      <c r="J758" s="114"/>
      <c r="K758" s="114"/>
      <c r="L758" s="114"/>
      <c r="M758" s="113"/>
      <c r="N758" s="114"/>
      <c r="O758" s="113"/>
      <c r="P758" s="113"/>
      <c r="Q758" s="114"/>
      <c r="R758" s="113"/>
      <c r="S758" s="113"/>
      <c r="T758" s="113"/>
      <c r="U758" s="113"/>
      <c r="V758" s="113"/>
      <c r="W758" s="113"/>
      <c r="X758" s="113"/>
      <c r="Y758" s="113"/>
      <c r="Z758" s="113"/>
    </row>
    <row r="759" spans="1:26" x14ac:dyDescent="0.25">
      <c r="A759" s="89"/>
      <c r="B759" s="89"/>
      <c r="C759" s="89"/>
      <c r="D759" s="114"/>
      <c r="E759" s="114"/>
      <c r="F759" s="114"/>
      <c r="G759" s="114"/>
      <c r="I759" s="114"/>
      <c r="J759" s="114"/>
      <c r="K759" s="114"/>
      <c r="L759" s="114"/>
      <c r="M759" s="113"/>
      <c r="N759" s="114"/>
      <c r="O759" s="113"/>
      <c r="P759" s="113"/>
      <c r="Q759" s="114"/>
      <c r="R759" s="113"/>
      <c r="S759" s="113"/>
      <c r="T759" s="113"/>
      <c r="U759" s="113"/>
      <c r="V759" s="113"/>
      <c r="W759" s="113"/>
      <c r="X759" s="113"/>
      <c r="Y759" s="113"/>
      <c r="Z759" s="113"/>
    </row>
    <row r="760" spans="1:26" x14ac:dyDescent="0.25">
      <c r="A760" s="89"/>
      <c r="B760" s="89"/>
      <c r="C760" s="89"/>
      <c r="D760" s="114"/>
      <c r="E760" s="114"/>
      <c r="F760" s="114"/>
      <c r="G760" s="114"/>
      <c r="I760" s="114"/>
      <c r="J760" s="114"/>
      <c r="K760" s="114"/>
      <c r="L760" s="114"/>
      <c r="M760" s="113"/>
      <c r="N760" s="114"/>
      <c r="O760" s="113"/>
      <c r="P760" s="113"/>
      <c r="Q760" s="114"/>
      <c r="R760" s="113"/>
      <c r="S760" s="113"/>
      <c r="T760" s="113"/>
      <c r="U760" s="113"/>
      <c r="V760" s="113"/>
      <c r="W760" s="113"/>
      <c r="X760" s="113"/>
      <c r="Y760" s="113"/>
      <c r="Z760" s="113"/>
    </row>
    <row r="761" spans="1:26" x14ac:dyDescent="0.25">
      <c r="A761" s="89"/>
      <c r="B761" s="89"/>
      <c r="C761" s="89"/>
      <c r="D761" s="114"/>
      <c r="E761" s="114"/>
      <c r="F761" s="114"/>
      <c r="G761" s="114"/>
      <c r="I761" s="114"/>
      <c r="J761" s="114"/>
      <c r="K761" s="114"/>
      <c r="L761" s="114"/>
      <c r="M761" s="113"/>
      <c r="N761" s="114"/>
      <c r="O761" s="113"/>
      <c r="P761" s="113"/>
      <c r="Q761" s="114"/>
      <c r="R761" s="113"/>
      <c r="S761" s="113"/>
      <c r="T761" s="113"/>
      <c r="U761" s="113"/>
      <c r="V761" s="113"/>
      <c r="W761" s="113"/>
      <c r="X761" s="113"/>
      <c r="Y761" s="113"/>
      <c r="Z761" s="113"/>
    </row>
    <row r="762" spans="1:26" x14ac:dyDescent="0.25">
      <c r="A762" s="89"/>
      <c r="B762" s="89"/>
      <c r="C762" s="89"/>
      <c r="D762" s="114"/>
      <c r="E762" s="114"/>
      <c r="F762" s="114"/>
      <c r="G762" s="114"/>
      <c r="I762" s="114"/>
      <c r="J762" s="114"/>
      <c r="K762" s="114"/>
      <c r="L762" s="114"/>
      <c r="M762" s="113"/>
      <c r="N762" s="114"/>
      <c r="O762" s="113"/>
      <c r="P762" s="113"/>
      <c r="Q762" s="114"/>
      <c r="R762" s="113"/>
      <c r="S762" s="113"/>
      <c r="T762" s="113"/>
      <c r="U762" s="113"/>
      <c r="V762" s="113"/>
      <c r="W762" s="113"/>
      <c r="X762" s="113"/>
      <c r="Y762" s="113"/>
      <c r="Z762" s="113"/>
    </row>
    <row r="763" spans="1:26" x14ac:dyDescent="0.25">
      <c r="A763" s="89"/>
      <c r="B763" s="89"/>
      <c r="C763" s="89"/>
      <c r="D763" s="114"/>
      <c r="E763" s="114"/>
      <c r="F763" s="114"/>
      <c r="G763" s="114"/>
      <c r="I763" s="114"/>
      <c r="J763" s="114"/>
      <c r="K763" s="114"/>
      <c r="L763" s="114"/>
      <c r="M763" s="113"/>
      <c r="N763" s="114"/>
      <c r="O763" s="113"/>
      <c r="P763" s="113"/>
      <c r="Q763" s="114"/>
      <c r="R763" s="113"/>
      <c r="S763" s="113"/>
      <c r="T763" s="113"/>
      <c r="U763" s="113"/>
      <c r="V763" s="113"/>
      <c r="W763" s="113"/>
      <c r="X763" s="113"/>
      <c r="Y763" s="113"/>
      <c r="Z763" s="113"/>
    </row>
    <row r="764" spans="1:26" x14ac:dyDescent="0.25">
      <c r="A764" s="89"/>
      <c r="B764" s="89"/>
      <c r="C764" s="89"/>
      <c r="D764" s="114"/>
      <c r="E764" s="114"/>
      <c r="F764" s="114"/>
      <c r="G764" s="114"/>
      <c r="I764" s="114"/>
      <c r="J764" s="114"/>
      <c r="K764" s="114"/>
      <c r="L764" s="114"/>
      <c r="M764" s="113"/>
      <c r="N764" s="114"/>
      <c r="O764" s="113"/>
      <c r="P764" s="113"/>
      <c r="Q764" s="114"/>
      <c r="R764" s="113"/>
      <c r="S764" s="113"/>
      <c r="T764" s="113"/>
      <c r="U764" s="113"/>
      <c r="V764" s="113"/>
      <c r="W764" s="113"/>
      <c r="X764" s="113"/>
      <c r="Y764" s="113"/>
      <c r="Z764" s="113"/>
    </row>
    <row r="765" spans="1:26" x14ac:dyDescent="0.25">
      <c r="A765" s="89"/>
      <c r="B765" s="89"/>
      <c r="C765" s="89"/>
      <c r="D765" s="114"/>
      <c r="E765" s="114"/>
      <c r="F765" s="114"/>
      <c r="G765" s="114"/>
      <c r="I765" s="114"/>
      <c r="J765" s="114"/>
      <c r="K765" s="114"/>
      <c r="L765" s="114"/>
      <c r="M765" s="113"/>
      <c r="N765" s="114"/>
      <c r="O765" s="113"/>
      <c r="P765" s="113"/>
      <c r="Q765" s="114"/>
      <c r="R765" s="113"/>
      <c r="S765" s="113"/>
      <c r="T765" s="113"/>
      <c r="U765" s="113"/>
      <c r="V765" s="113"/>
      <c r="W765" s="113"/>
      <c r="X765" s="113"/>
      <c r="Y765" s="113"/>
      <c r="Z765" s="113"/>
    </row>
    <row r="766" spans="1:26" x14ac:dyDescent="0.25">
      <c r="A766" s="89"/>
      <c r="B766" s="89"/>
      <c r="C766" s="89"/>
      <c r="D766" s="114"/>
      <c r="E766" s="114"/>
      <c r="F766" s="114"/>
      <c r="G766" s="114"/>
      <c r="I766" s="114"/>
      <c r="J766" s="114"/>
      <c r="K766" s="114"/>
      <c r="L766" s="114"/>
      <c r="M766" s="113"/>
      <c r="N766" s="114"/>
      <c r="O766" s="113"/>
      <c r="P766" s="113"/>
      <c r="Q766" s="114"/>
      <c r="R766" s="113"/>
      <c r="S766" s="113"/>
      <c r="T766" s="113"/>
      <c r="U766" s="113"/>
      <c r="V766" s="113"/>
      <c r="W766" s="113"/>
      <c r="X766" s="113"/>
      <c r="Y766" s="113"/>
      <c r="Z766" s="113"/>
    </row>
    <row r="767" spans="1:26" x14ac:dyDescent="0.25">
      <c r="A767" s="89"/>
      <c r="B767" s="89"/>
      <c r="C767" s="89"/>
      <c r="D767" s="114"/>
      <c r="E767" s="114"/>
      <c r="F767" s="114"/>
      <c r="G767" s="114"/>
      <c r="I767" s="114"/>
      <c r="J767" s="114"/>
      <c r="K767" s="114"/>
      <c r="L767" s="114"/>
      <c r="M767" s="113"/>
      <c r="N767" s="114"/>
      <c r="O767" s="113"/>
      <c r="P767" s="113"/>
      <c r="Q767" s="114"/>
      <c r="R767" s="113"/>
      <c r="S767" s="113"/>
      <c r="T767" s="113"/>
      <c r="U767" s="113"/>
      <c r="V767" s="113"/>
      <c r="W767" s="113"/>
      <c r="X767" s="113"/>
      <c r="Y767" s="113"/>
      <c r="Z767" s="113"/>
    </row>
    <row r="768" spans="1:26" x14ac:dyDescent="0.25">
      <c r="A768" s="89"/>
      <c r="B768" s="89"/>
      <c r="C768" s="89"/>
      <c r="D768" s="114"/>
      <c r="E768" s="114"/>
      <c r="F768" s="114"/>
      <c r="G768" s="114"/>
      <c r="I768" s="114"/>
      <c r="J768" s="114"/>
      <c r="K768" s="114"/>
      <c r="L768" s="114"/>
      <c r="M768" s="113"/>
      <c r="N768" s="114"/>
      <c r="O768" s="113"/>
      <c r="P768" s="113"/>
      <c r="Q768" s="114"/>
      <c r="R768" s="113"/>
      <c r="S768" s="113"/>
      <c r="T768" s="113"/>
      <c r="U768" s="113"/>
      <c r="V768" s="113"/>
      <c r="W768" s="113"/>
      <c r="X768" s="113"/>
      <c r="Y768" s="113"/>
      <c r="Z768" s="113"/>
    </row>
    <row r="769" spans="1:26" x14ac:dyDescent="0.25">
      <c r="A769" s="89"/>
      <c r="B769" s="89"/>
      <c r="C769" s="89"/>
      <c r="D769" s="114"/>
      <c r="E769" s="114"/>
      <c r="F769" s="114"/>
      <c r="G769" s="114"/>
      <c r="I769" s="114"/>
      <c r="J769" s="114"/>
      <c r="K769" s="114"/>
      <c r="L769" s="114"/>
      <c r="M769" s="113"/>
      <c r="N769" s="114"/>
      <c r="O769" s="113"/>
      <c r="P769" s="113"/>
      <c r="Q769" s="114"/>
      <c r="R769" s="113"/>
      <c r="S769" s="113"/>
      <c r="T769" s="113"/>
      <c r="U769" s="113"/>
      <c r="V769" s="113"/>
      <c r="W769" s="113"/>
      <c r="X769" s="113"/>
      <c r="Y769" s="113"/>
      <c r="Z769" s="113"/>
    </row>
    <row r="770" spans="1:26" x14ac:dyDescent="0.25">
      <c r="A770" s="89"/>
      <c r="B770" s="89"/>
      <c r="C770" s="89"/>
      <c r="D770" s="114"/>
      <c r="E770" s="114"/>
      <c r="F770" s="114"/>
      <c r="G770" s="114"/>
      <c r="I770" s="114"/>
      <c r="J770" s="114"/>
      <c r="K770" s="114"/>
      <c r="L770" s="114"/>
      <c r="M770" s="113"/>
      <c r="N770" s="114"/>
      <c r="O770" s="113"/>
      <c r="P770" s="113"/>
      <c r="Q770" s="114"/>
      <c r="R770" s="113"/>
      <c r="S770" s="113"/>
      <c r="T770" s="113"/>
      <c r="U770" s="113"/>
      <c r="V770" s="113"/>
      <c r="W770" s="113"/>
      <c r="X770" s="113"/>
      <c r="Y770" s="113"/>
      <c r="Z770" s="113"/>
    </row>
    <row r="771" spans="1:26" x14ac:dyDescent="0.25">
      <c r="A771" s="89"/>
      <c r="B771" s="89"/>
      <c r="C771" s="89"/>
      <c r="D771" s="114"/>
      <c r="E771" s="114"/>
      <c r="F771" s="114"/>
      <c r="G771" s="114"/>
      <c r="I771" s="114"/>
      <c r="J771" s="114"/>
      <c r="K771" s="114"/>
      <c r="L771" s="114"/>
      <c r="M771" s="113"/>
      <c r="N771" s="114"/>
      <c r="O771" s="113"/>
      <c r="P771" s="113"/>
      <c r="Q771" s="114"/>
      <c r="R771" s="113"/>
      <c r="S771" s="113"/>
      <c r="T771" s="113"/>
      <c r="U771" s="113"/>
      <c r="V771" s="113"/>
      <c r="W771" s="113"/>
      <c r="X771" s="113"/>
      <c r="Y771" s="113"/>
      <c r="Z771" s="113"/>
    </row>
    <row r="772" spans="1:26" x14ac:dyDescent="0.25">
      <c r="A772" s="89"/>
      <c r="B772" s="89"/>
      <c r="C772" s="89"/>
      <c r="D772" s="114"/>
      <c r="E772" s="114"/>
      <c r="F772" s="114"/>
      <c r="G772" s="114"/>
      <c r="I772" s="114"/>
      <c r="J772" s="114"/>
      <c r="K772" s="114"/>
      <c r="L772" s="114"/>
      <c r="M772" s="113"/>
      <c r="N772" s="114"/>
      <c r="O772" s="113"/>
      <c r="P772" s="113"/>
      <c r="Q772" s="114"/>
      <c r="R772" s="113"/>
      <c r="S772" s="113"/>
      <c r="T772" s="113"/>
      <c r="U772" s="113"/>
      <c r="V772" s="113"/>
      <c r="W772" s="113"/>
      <c r="X772" s="113"/>
      <c r="Y772" s="113"/>
      <c r="Z772" s="113"/>
    </row>
    <row r="773" spans="1:26" x14ac:dyDescent="0.25">
      <c r="A773" s="89"/>
      <c r="B773" s="89"/>
      <c r="C773" s="89"/>
      <c r="D773" s="114"/>
      <c r="E773" s="114"/>
      <c r="F773" s="114"/>
      <c r="G773" s="114"/>
      <c r="I773" s="114"/>
      <c r="J773" s="114"/>
      <c r="K773" s="114"/>
      <c r="L773" s="114"/>
      <c r="M773" s="113"/>
      <c r="N773" s="114"/>
      <c r="O773" s="113"/>
      <c r="P773" s="113"/>
      <c r="Q773" s="114"/>
      <c r="R773" s="113"/>
      <c r="S773" s="113"/>
      <c r="T773" s="113"/>
      <c r="U773" s="113"/>
      <c r="V773" s="113"/>
      <c r="W773" s="113"/>
      <c r="X773" s="113"/>
      <c r="Y773" s="113"/>
      <c r="Z773" s="113"/>
    </row>
    <row r="774" spans="1:26" x14ac:dyDescent="0.25">
      <c r="A774" s="89"/>
      <c r="B774" s="89"/>
      <c r="C774" s="89"/>
      <c r="D774" s="114"/>
      <c r="E774" s="114"/>
      <c r="F774" s="114"/>
      <c r="G774" s="114"/>
      <c r="I774" s="114"/>
      <c r="J774" s="114"/>
      <c r="K774" s="114"/>
      <c r="L774" s="114"/>
      <c r="M774" s="113"/>
      <c r="N774" s="114"/>
      <c r="O774" s="113"/>
      <c r="P774" s="113"/>
      <c r="Q774" s="114"/>
      <c r="R774" s="113"/>
      <c r="S774" s="113"/>
      <c r="T774" s="113"/>
      <c r="U774" s="113"/>
      <c r="V774" s="113"/>
      <c r="W774" s="113"/>
      <c r="X774" s="113"/>
      <c r="Y774" s="113"/>
      <c r="Z774" s="113"/>
    </row>
    <row r="775" spans="1:26" x14ac:dyDescent="0.25">
      <c r="A775" s="89"/>
      <c r="B775" s="89"/>
      <c r="C775" s="89"/>
      <c r="D775" s="114"/>
      <c r="E775" s="114"/>
      <c r="F775" s="114"/>
      <c r="G775" s="114"/>
      <c r="I775" s="114"/>
      <c r="J775" s="114"/>
      <c r="K775" s="114"/>
      <c r="L775" s="114"/>
      <c r="M775" s="113"/>
      <c r="N775" s="114"/>
      <c r="O775" s="113"/>
      <c r="P775" s="113"/>
      <c r="Q775" s="114"/>
      <c r="R775" s="113"/>
      <c r="S775" s="113"/>
      <c r="T775" s="113"/>
      <c r="U775" s="113"/>
      <c r="V775" s="113"/>
      <c r="W775" s="113"/>
      <c r="X775" s="113"/>
      <c r="Y775" s="113"/>
      <c r="Z775" s="113"/>
    </row>
    <row r="776" spans="1:26" x14ac:dyDescent="0.25">
      <c r="A776" s="89"/>
      <c r="B776" s="89"/>
      <c r="C776" s="89"/>
      <c r="D776" s="114"/>
      <c r="E776" s="114"/>
      <c r="F776" s="114"/>
      <c r="G776" s="114"/>
      <c r="I776" s="114"/>
      <c r="J776" s="114"/>
      <c r="K776" s="114"/>
      <c r="L776" s="114"/>
      <c r="M776" s="113"/>
      <c r="N776" s="114"/>
      <c r="O776" s="113"/>
      <c r="P776" s="113"/>
      <c r="Q776" s="114"/>
      <c r="R776" s="113"/>
      <c r="S776" s="113"/>
      <c r="T776" s="113"/>
      <c r="U776" s="113"/>
      <c r="V776" s="113"/>
      <c r="W776" s="113"/>
      <c r="X776" s="113"/>
      <c r="Y776" s="113"/>
      <c r="Z776" s="113"/>
    </row>
    <row r="777" spans="1:26" x14ac:dyDescent="0.25">
      <c r="A777" s="89"/>
      <c r="B777" s="89"/>
      <c r="C777" s="89"/>
      <c r="D777" s="114"/>
      <c r="E777" s="114"/>
      <c r="F777" s="114"/>
      <c r="G777" s="114"/>
      <c r="I777" s="114"/>
      <c r="J777" s="114"/>
      <c r="K777" s="114"/>
      <c r="L777" s="114"/>
      <c r="M777" s="113"/>
      <c r="N777" s="114"/>
      <c r="O777" s="113"/>
      <c r="P777" s="113"/>
      <c r="Q777" s="114"/>
      <c r="R777" s="113"/>
      <c r="S777" s="113"/>
      <c r="T777" s="113"/>
      <c r="U777" s="113"/>
      <c r="V777" s="113"/>
      <c r="W777" s="113"/>
      <c r="X777" s="113"/>
      <c r="Y777" s="113"/>
      <c r="Z777" s="113"/>
    </row>
    <row r="778" spans="1:26" x14ac:dyDescent="0.25">
      <c r="A778" s="89"/>
      <c r="B778" s="89"/>
      <c r="C778" s="89"/>
      <c r="D778" s="114"/>
      <c r="E778" s="114"/>
      <c r="F778" s="114"/>
      <c r="G778" s="114"/>
      <c r="I778" s="114"/>
      <c r="J778" s="114"/>
      <c r="K778" s="114"/>
      <c r="L778" s="114"/>
      <c r="M778" s="113"/>
      <c r="N778" s="114"/>
      <c r="O778" s="113"/>
      <c r="P778" s="113"/>
      <c r="Q778" s="114"/>
      <c r="R778" s="113"/>
      <c r="S778" s="113"/>
      <c r="T778" s="113"/>
      <c r="U778" s="113"/>
      <c r="V778" s="113"/>
      <c r="W778" s="113"/>
      <c r="X778" s="113"/>
      <c r="Y778" s="113"/>
      <c r="Z778" s="113"/>
    </row>
    <row r="779" spans="1:26" x14ac:dyDescent="0.25">
      <c r="A779" s="89"/>
      <c r="B779" s="89"/>
      <c r="C779" s="89"/>
      <c r="D779" s="114"/>
      <c r="E779" s="114"/>
      <c r="F779" s="114"/>
      <c r="G779" s="114"/>
      <c r="I779" s="114"/>
      <c r="J779" s="114"/>
      <c r="K779" s="114"/>
      <c r="L779" s="114"/>
      <c r="M779" s="113"/>
      <c r="N779" s="114"/>
      <c r="O779" s="113"/>
      <c r="P779" s="113"/>
      <c r="Q779" s="114"/>
      <c r="R779" s="113"/>
      <c r="S779" s="113"/>
      <c r="T779" s="113"/>
      <c r="U779" s="113"/>
      <c r="V779" s="113"/>
      <c r="W779" s="113"/>
      <c r="X779" s="113"/>
      <c r="Y779" s="113"/>
      <c r="Z779" s="113"/>
    </row>
    <row r="780" spans="1:26" x14ac:dyDescent="0.25">
      <c r="A780" s="89"/>
      <c r="B780" s="89"/>
      <c r="C780" s="89"/>
      <c r="D780" s="114"/>
      <c r="E780" s="114"/>
      <c r="F780" s="114"/>
      <c r="G780" s="114"/>
      <c r="I780" s="114"/>
      <c r="J780" s="114"/>
      <c r="K780" s="114"/>
      <c r="L780" s="114"/>
      <c r="M780" s="113"/>
      <c r="N780" s="114"/>
      <c r="O780" s="113"/>
      <c r="P780" s="113"/>
      <c r="Q780" s="114"/>
      <c r="R780" s="113"/>
      <c r="S780" s="113"/>
      <c r="T780" s="113"/>
      <c r="U780" s="113"/>
      <c r="V780" s="113"/>
      <c r="W780" s="113"/>
      <c r="X780" s="113"/>
      <c r="Y780" s="113"/>
      <c r="Z780" s="113"/>
    </row>
    <row r="781" spans="1:26" x14ac:dyDescent="0.25">
      <c r="A781" s="89"/>
      <c r="B781" s="89"/>
      <c r="C781" s="89"/>
      <c r="D781" s="114"/>
      <c r="E781" s="114"/>
      <c r="F781" s="114"/>
      <c r="G781" s="114"/>
      <c r="I781" s="114"/>
      <c r="J781" s="114"/>
      <c r="K781" s="114"/>
      <c r="L781" s="114"/>
      <c r="M781" s="113"/>
      <c r="N781" s="114"/>
      <c r="O781" s="113"/>
      <c r="P781" s="113"/>
      <c r="Q781" s="114"/>
      <c r="R781" s="113"/>
      <c r="S781" s="113"/>
      <c r="T781" s="113"/>
      <c r="U781" s="113"/>
      <c r="V781" s="113"/>
      <c r="W781" s="113"/>
      <c r="X781" s="113"/>
      <c r="Y781" s="113"/>
      <c r="Z781" s="113"/>
    </row>
    <row r="782" spans="1:26" x14ac:dyDescent="0.25">
      <c r="A782" s="89"/>
      <c r="B782" s="89"/>
      <c r="C782" s="89"/>
      <c r="D782" s="114"/>
      <c r="E782" s="114"/>
      <c r="F782" s="114"/>
      <c r="G782" s="114"/>
      <c r="I782" s="114"/>
      <c r="J782" s="114"/>
      <c r="K782" s="114"/>
      <c r="L782" s="114"/>
      <c r="M782" s="113"/>
      <c r="N782" s="114"/>
      <c r="O782" s="113"/>
      <c r="P782" s="113"/>
      <c r="Q782" s="114"/>
      <c r="R782" s="113"/>
      <c r="S782" s="113"/>
      <c r="T782" s="113"/>
      <c r="U782" s="113"/>
      <c r="V782" s="113"/>
      <c r="W782" s="113"/>
      <c r="X782" s="113"/>
      <c r="Y782" s="113"/>
      <c r="Z782" s="113"/>
    </row>
    <row r="783" spans="1:26" x14ac:dyDescent="0.25">
      <c r="A783" s="89"/>
      <c r="B783" s="89"/>
      <c r="C783" s="89"/>
      <c r="D783" s="114"/>
      <c r="E783" s="114"/>
      <c r="F783" s="114"/>
      <c r="G783" s="114"/>
      <c r="I783" s="114"/>
      <c r="J783" s="114"/>
      <c r="K783" s="114"/>
      <c r="L783" s="114"/>
      <c r="M783" s="113"/>
      <c r="N783" s="114"/>
      <c r="O783" s="113"/>
      <c r="P783" s="113"/>
      <c r="Q783" s="114"/>
      <c r="R783" s="113"/>
      <c r="S783" s="113"/>
      <c r="T783" s="113"/>
      <c r="U783" s="113"/>
      <c r="V783" s="113"/>
      <c r="W783" s="113"/>
      <c r="X783" s="113"/>
      <c r="Y783" s="113"/>
      <c r="Z783" s="113"/>
    </row>
    <row r="784" spans="1:26" x14ac:dyDescent="0.25">
      <c r="A784" s="89"/>
      <c r="B784" s="89"/>
      <c r="C784" s="89"/>
      <c r="D784" s="114"/>
      <c r="E784" s="114"/>
      <c r="F784" s="114"/>
      <c r="G784" s="114"/>
      <c r="I784" s="114"/>
      <c r="J784" s="114"/>
      <c r="K784" s="114"/>
      <c r="L784" s="114"/>
      <c r="M784" s="113"/>
      <c r="N784" s="114"/>
      <c r="O784" s="113"/>
      <c r="P784" s="113"/>
      <c r="Q784" s="114"/>
      <c r="R784" s="113"/>
      <c r="S784" s="113"/>
      <c r="T784" s="113"/>
      <c r="U784" s="113"/>
      <c r="V784" s="113"/>
      <c r="W784" s="113"/>
      <c r="X784" s="113"/>
      <c r="Y784" s="113"/>
      <c r="Z784" s="113"/>
    </row>
    <row r="785" spans="1:26" x14ac:dyDescent="0.25">
      <c r="A785" s="89"/>
      <c r="B785" s="89"/>
      <c r="C785" s="89"/>
      <c r="D785" s="114"/>
      <c r="E785" s="114"/>
      <c r="F785" s="114"/>
      <c r="G785" s="114"/>
      <c r="I785" s="114"/>
      <c r="J785" s="114"/>
      <c r="K785" s="114"/>
      <c r="L785" s="114"/>
      <c r="M785" s="113"/>
      <c r="N785" s="114"/>
      <c r="O785" s="113"/>
      <c r="P785" s="113"/>
      <c r="Q785" s="114"/>
      <c r="R785" s="113"/>
      <c r="S785" s="113"/>
      <c r="T785" s="113"/>
      <c r="U785" s="113"/>
      <c r="V785" s="113"/>
      <c r="W785" s="113"/>
      <c r="X785" s="113"/>
      <c r="Y785" s="113"/>
      <c r="Z785" s="113"/>
    </row>
    <row r="786" spans="1:26" x14ac:dyDescent="0.25">
      <c r="A786" s="89"/>
      <c r="B786" s="89"/>
      <c r="C786" s="89"/>
      <c r="D786" s="114"/>
      <c r="E786" s="114"/>
      <c r="F786" s="114"/>
      <c r="G786" s="114"/>
      <c r="I786" s="114"/>
      <c r="J786" s="114"/>
      <c r="K786" s="114"/>
      <c r="L786" s="114"/>
      <c r="M786" s="113"/>
      <c r="N786" s="114"/>
      <c r="O786" s="113"/>
      <c r="P786" s="113"/>
      <c r="Q786" s="114"/>
      <c r="R786" s="113"/>
      <c r="S786" s="113"/>
      <c r="T786" s="113"/>
      <c r="U786" s="113"/>
      <c r="V786" s="113"/>
      <c r="W786" s="113"/>
      <c r="X786" s="113"/>
      <c r="Y786" s="113"/>
      <c r="Z786" s="113"/>
    </row>
    <row r="787" spans="1:26" x14ac:dyDescent="0.25">
      <c r="A787" s="89"/>
      <c r="B787" s="89"/>
      <c r="C787" s="89"/>
      <c r="D787" s="114"/>
      <c r="E787" s="114"/>
      <c r="F787" s="114"/>
      <c r="G787" s="114"/>
      <c r="I787" s="114"/>
      <c r="J787" s="114"/>
      <c r="K787" s="114"/>
      <c r="L787" s="114"/>
      <c r="M787" s="113"/>
      <c r="N787" s="114"/>
      <c r="O787" s="113"/>
      <c r="P787" s="113"/>
      <c r="Q787" s="114"/>
      <c r="R787" s="113"/>
      <c r="S787" s="113"/>
      <c r="T787" s="113"/>
      <c r="U787" s="113"/>
      <c r="V787" s="113"/>
      <c r="W787" s="113"/>
      <c r="X787" s="113"/>
      <c r="Y787" s="113"/>
      <c r="Z787" s="113"/>
    </row>
    <row r="797" spans="1:26" x14ac:dyDescent="0.25">
      <c r="A797" s="89"/>
      <c r="B797" s="89"/>
      <c r="C797" s="89"/>
      <c r="D797" s="89"/>
      <c r="E797" s="89"/>
      <c r="F797" s="89"/>
      <c r="G797" s="89"/>
      <c r="H797" s="268"/>
      <c r="I797" s="89"/>
      <c r="J797" s="89"/>
      <c r="K797" s="89"/>
      <c r="L797" s="89"/>
      <c r="M797" s="89"/>
      <c r="N797" s="89"/>
      <c r="O797" s="89"/>
      <c r="P797" s="89"/>
      <c r="Q797" s="89"/>
      <c r="R797" s="89"/>
      <c r="S797" s="89"/>
      <c r="T797" s="89"/>
      <c r="U797" s="89"/>
      <c r="V797" s="89"/>
      <c r="W797" s="89"/>
      <c r="X797" s="89"/>
      <c r="Y797" s="89"/>
      <c r="Z797" s="89"/>
    </row>
    <row r="798" spans="1:26" x14ac:dyDescent="0.25">
      <c r="A798" s="89"/>
      <c r="B798" s="89"/>
      <c r="C798" s="89"/>
      <c r="D798" s="89"/>
      <c r="E798" s="89"/>
      <c r="F798" s="89"/>
      <c r="G798" s="89"/>
      <c r="H798" s="268"/>
      <c r="I798" s="89"/>
      <c r="J798" s="89"/>
      <c r="K798" s="89"/>
      <c r="L798" s="89"/>
      <c r="M798" s="89"/>
      <c r="N798" s="89"/>
      <c r="O798" s="89"/>
      <c r="P798" s="89"/>
      <c r="Q798" s="89"/>
      <c r="R798" s="89"/>
      <c r="S798" s="89"/>
      <c r="T798" s="89"/>
      <c r="U798" s="89"/>
      <c r="V798" s="89"/>
      <c r="W798" s="89"/>
      <c r="X798" s="89"/>
      <c r="Y798" s="89"/>
      <c r="Z798" s="89"/>
    </row>
    <row r="799" spans="1:26" x14ac:dyDescent="0.25">
      <c r="A799" s="89"/>
      <c r="B799" s="89"/>
      <c r="C799" s="89"/>
      <c r="D799" s="89"/>
      <c r="E799" s="89"/>
      <c r="F799" s="89"/>
      <c r="G799" s="89"/>
      <c r="H799" s="268"/>
      <c r="I799" s="89"/>
      <c r="J799" s="89"/>
      <c r="K799" s="89"/>
      <c r="L799" s="89"/>
      <c r="M799" s="89"/>
      <c r="N799" s="89"/>
      <c r="O799" s="89"/>
      <c r="P799" s="89"/>
      <c r="Q799" s="89"/>
      <c r="R799" s="89"/>
      <c r="S799" s="89"/>
      <c r="T799" s="89"/>
      <c r="U799" s="89"/>
      <c r="V799" s="89"/>
      <c r="W799" s="89"/>
      <c r="X799" s="89"/>
      <c r="Y799" s="89"/>
      <c r="Z799" s="89"/>
    </row>
    <row r="800" spans="1:26" x14ac:dyDescent="0.25">
      <c r="A800" s="89"/>
      <c r="B800" s="89"/>
      <c r="C800" s="89"/>
      <c r="D800" s="89"/>
      <c r="E800" s="89"/>
      <c r="F800" s="89"/>
      <c r="G800" s="89"/>
      <c r="H800" s="268"/>
      <c r="I800" s="89"/>
      <c r="J800" s="89"/>
      <c r="K800" s="89"/>
      <c r="L800" s="89"/>
      <c r="M800" s="89"/>
      <c r="N800" s="89"/>
      <c r="O800" s="89"/>
      <c r="P800" s="89"/>
      <c r="Q800" s="89"/>
      <c r="R800" s="89"/>
      <c r="S800" s="89"/>
      <c r="T800" s="89"/>
      <c r="U800" s="89"/>
      <c r="V800" s="89"/>
      <c r="W800" s="89"/>
      <c r="X800" s="89"/>
      <c r="Y800" s="89"/>
      <c r="Z800" s="89"/>
    </row>
    <row r="801" spans="1:26" x14ac:dyDescent="0.25">
      <c r="A801" s="89"/>
      <c r="B801" s="89"/>
      <c r="C801" s="89"/>
      <c r="D801" s="89"/>
      <c r="E801" s="89"/>
      <c r="F801" s="89"/>
      <c r="G801" s="89"/>
      <c r="H801" s="268"/>
      <c r="I801" s="89"/>
      <c r="J801" s="89"/>
      <c r="K801" s="89"/>
      <c r="L801" s="89"/>
      <c r="M801" s="89"/>
      <c r="N801" s="89"/>
      <c r="O801" s="89"/>
      <c r="P801" s="89"/>
      <c r="Q801" s="89"/>
      <c r="R801" s="89"/>
      <c r="S801" s="89"/>
      <c r="T801" s="89"/>
      <c r="U801" s="89"/>
      <c r="V801" s="89"/>
      <c r="W801" s="89"/>
      <c r="X801" s="89"/>
      <c r="Y801" s="89"/>
      <c r="Z801" s="89"/>
    </row>
    <row r="802" spans="1:26" x14ac:dyDescent="0.25">
      <c r="A802" s="89"/>
      <c r="B802" s="89"/>
      <c r="C802" s="89"/>
      <c r="D802" s="89"/>
      <c r="E802" s="89"/>
      <c r="F802" s="89"/>
      <c r="G802" s="89"/>
      <c r="H802" s="268"/>
      <c r="I802" s="89"/>
      <c r="J802" s="89"/>
      <c r="K802" s="89"/>
      <c r="L802" s="89"/>
      <c r="M802" s="89"/>
      <c r="N802" s="89"/>
      <c r="O802" s="89"/>
      <c r="P802" s="89"/>
      <c r="Q802" s="89"/>
      <c r="R802" s="89"/>
      <c r="S802" s="89"/>
      <c r="T802" s="89"/>
      <c r="U802" s="89"/>
      <c r="V802" s="89"/>
      <c r="W802" s="89"/>
      <c r="X802" s="89"/>
      <c r="Y802" s="89"/>
      <c r="Z802" s="89"/>
    </row>
    <row r="803" spans="1:26" x14ac:dyDescent="0.25">
      <c r="A803" s="89"/>
      <c r="B803" s="89"/>
      <c r="C803" s="89"/>
      <c r="D803" s="89"/>
      <c r="E803" s="89"/>
      <c r="F803" s="89"/>
      <c r="G803" s="89"/>
      <c r="H803" s="268"/>
      <c r="I803" s="89"/>
      <c r="J803" s="89"/>
      <c r="K803" s="89"/>
      <c r="L803" s="89"/>
      <c r="M803" s="89"/>
      <c r="N803" s="89"/>
      <c r="O803" s="89"/>
      <c r="P803" s="89"/>
      <c r="Q803" s="89"/>
      <c r="R803" s="89"/>
      <c r="S803" s="89"/>
      <c r="T803" s="89"/>
      <c r="U803" s="89"/>
      <c r="V803" s="89"/>
      <c r="W803" s="89"/>
      <c r="X803" s="89"/>
      <c r="Y803" s="89"/>
      <c r="Z803" s="89"/>
    </row>
    <row r="804" spans="1:26" x14ac:dyDescent="0.25">
      <c r="A804" s="89"/>
      <c r="B804" s="89"/>
      <c r="C804" s="89"/>
      <c r="D804" s="89"/>
      <c r="E804" s="89"/>
      <c r="F804" s="89"/>
      <c r="G804" s="89"/>
      <c r="H804" s="268"/>
      <c r="I804" s="89"/>
      <c r="J804" s="89"/>
      <c r="K804" s="89"/>
      <c r="L804" s="89"/>
      <c r="M804" s="89"/>
      <c r="N804" s="89"/>
      <c r="O804" s="89"/>
      <c r="P804" s="89"/>
      <c r="Q804" s="89"/>
      <c r="R804" s="89"/>
      <c r="S804" s="89"/>
      <c r="T804" s="89"/>
      <c r="U804" s="89"/>
      <c r="V804" s="89"/>
      <c r="W804" s="89"/>
      <c r="X804" s="89"/>
      <c r="Y804" s="89"/>
      <c r="Z804" s="89"/>
    </row>
    <row r="805" spans="1:26" x14ac:dyDescent="0.25">
      <c r="A805" s="89"/>
      <c r="B805" s="89"/>
      <c r="C805" s="89"/>
      <c r="D805" s="89"/>
      <c r="E805" s="89"/>
      <c r="F805" s="89"/>
      <c r="G805" s="89"/>
      <c r="H805" s="268"/>
      <c r="I805" s="89"/>
      <c r="J805" s="89"/>
      <c r="K805" s="89"/>
      <c r="L805" s="89"/>
      <c r="M805" s="89"/>
      <c r="N805" s="89"/>
      <c r="O805" s="89"/>
      <c r="P805" s="89"/>
      <c r="Q805" s="89"/>
      <c r="R805" s="89"/>
      <c r="S805" s="89"/>
      <c r="T805" s="89"/>
      <c r="U805" s="89"/>
      <c r="V805" s="89"/>
      <c r="W805" s="89"/>
      <c r="X805" s="89"/>
      <c r="Y805" s="89"/>
      <c r="Z805" s="89"/>
    </row>
    <row r="806" spans="1:26" x14ac:dyDescent="0.25">
      <c r="A806" s="89"/>
      <c r="B806" s="89"/>
      <c r="C806" s="89"/>
      <c r="D806" s="89"/>
      <c r="E806" s="89"/>
      <c r="F806" s="89"/>
      <c r="G806" s="89"/>
      <c r="H806" s="268"/>
      <c r="I806" s="89"/>
      <c r="J806" s="89"/>
      <c r="K806" s="89"/>
      <c r="L806" s="89"/>
      <c r="M806" s="89"/>
      <c r="N806" s="89"/>
      <c r="O806" s="89"/>
      <c r="P806" s="89"/>
      <c r="Q806" s="89"/>
      <c r="R806" s="89"/>
      <c r="S806" s="89"/>
      <c r="T806" s="89"/>
      <c r="U806" s="89"/>
      <c r="V806" s="89"/>
      <c r="W806" s="89"/>
      <c r="X806" s="89"/>
      <c r="Y806" s="89"/>
      <c r="Z806" s="89"/>
    </row>
    <row r="807" spans="1:26" x14ac:dyDescent="0.25">
      <c r="A807" s="89"/>
      <c r="B807" s="89"/>
      <c r="C807" s="89"/>
      <c r="D807" s="89"/>
      <c r="E807" s="89"/>
      <c r="F807" s="89"/>
      <c r="G807" s="89"/>
      <c r="H807" s="268"/>
      <c r="I807" s="89"/>
      <c r="J807" s="89"/>
      <c r="K807" s="89"/>
      <c r="L807" s="89"/>
      <c r="M807" s="89"/>
      <c r="N807" s="89"/>
      <c r="O807" s="89"/>
      <c r="P807" s="89"/>
      <c r="Q807" s="89"/>
      <c r="R807" s="89"/>
      <c r="S807" s="89"/>
      <c r="T807" s="89"/>
      <c r="U807" s="89"/>
      <c r="V807" s="89"/>
      <c r="W807" s="89"/>
      <c r="X807" s="89"/>
      <c r="Y807" s="89"/>
      <c r="Z807" s="89"/>
    </row>
    <row r="808" spans="1:26" x14ac:dyDescent="0.25">
      <c r="A808" s="89"/>
      <c r="B808" s="89"/>
      <c r="C808" s="89"/>
      <c r="D808" s="89"/>
      <c r="E808" s="89"/>
      <c r="F808" s="89"/>
      <c r="G808" s="89"/>
      <c r="H808" s="268"/>
      <c r="I808" s="89"/>
      <c r="J808" s="89"/>
      <c r="K808" s="89"/>
      <c r="L808" s="89"/>
      <c r="M808" s="89"/>
      <c r="N808" s="89"/>
      <c r="O808" s="89"/>
      <c r="P808" s="89"/>
      <c r="Q808" s="89"/>
      <c r="R808" s="89"/>
      <c r="S808" s="89"/>
      <c r="T808" s="89"/>
      <c r="U808" s="89"/>
      <c r="V808" s="89"/>
      <c r="W808" s="89"/>
      <c r="X808" s="89"/>
      <c r="Y808" s="89"/>
      <c r="Z808" s="89"/>
    </row>
    <row r="809" spans="1:26" x14ac:dyDescent="0.25">
      <c r="A809" s="89"/>
      <c r="B809" s="89"/>
      <c r="C809" s="89"/>
      <c r="D809" s="89"/>
      <c r="E809" s="89"/>
      <c r="F809" s="89"/>
      <c r="G809" s="89"/>
      <c r="H809" s="268"/>
      <c r="I809" s="89"/>
      <c r="J809" s="89"/>
      <c r="K809" s="89"/>
      <c r="L809" s="89"/>
      <c r="M809" s="89"/>
      <c r="N809" s="89"/>
      <c r="O809" s="89"/>
      <c r="P809" s="89"/>
      <c r="Q809" s="89"/>
      <c r="R809" s="89"/>
      <c r="S809" s="89"/>
      <c r="T809" s="89"/>
      <c r="U809" s="89"/>
      <c r="V809" s="89"/>
      <c r="W809" s="89"/>
      <c r="X809" s="89"/>
      <c r="Y809" s="89"/>
      <c r="Z809" s="89"/>
    </row>
    <row r="810" spans="1:26" x14ac:dyDescent="0.25">
      <c r="A810" s="89"/>
      <c r="B810" s="89"/>
      <c r="C810" s="89"/>
      <c r="D810" s="89"/>
      <c r="E810" s="89"/>
      <c r="F810" s="89"/>
      <c r="G810" s="89"/>
      <c r="H810" s="268"/>
      <c r="I810" s="89"/>
      <c r="J810" s="89"/>
      <c r="K810" s="89"/>
      <c r="L810" s="89"/>
      <c r="M810" s="89"/>
      <c r="N810" s="89"/>
      <c r="O810" s="89"/>
      <c r="P810" s="89"/>
      <c r="Q810" s="89"/>
      <c r="R810" s="89"/>
      <c r="S810" s="89"/>
      <c r="T810" s="89"/>
      <c r="U810" s="89"/>
      <c r="V810" s="89"/>
      <c r="W810" s="89"/>
      <c r="X810" s="89"/>
      <c r="Y810" s="89"/>
      <c r="Z810" s="89"/>
    </row>
    <row r="811" spans="1:26" x14ac:dyDescent="0.25">
      <c r="A811" s="89"/>
      <c r="B811" s="89"/>
      <c r="C811" s="89"/>
      <c r="D811" s="89"/>
      <c r="E811" s="89"/>
      <c r="F811" s="89"/>
      <c r="G811" s="89"/>
      <c r="H811" s="268"/>
      <c r="I811" s="89"/>
      <c r="J811" s="89"/>
      <c r="K811" s="89"/>
      <c r="L811" s="89"/>
      <c r="M811" s="89"/>
      <c r="N811" s="89"/>
      <c r="O811" s="89"/>
      <c r="P811" s="89"/>
      <c r="Q811" s="89"/>
      <c r="R811" s="89"/>
      <c r="S811" s="89"/>
      <c r="T811" s="89"/>
      <c r="U811" s="89"/>
      <c r="V811" s="89"/>
      <c r="W811" s="89"/>
      <c r="X811" s="89"/>
      <c r="Y811" s="89"/>
      <c r="Z811" s="89"/>
    </row>
    <row r="812" spans="1:26" x14ac:dyDescent="0.25">
      <c r="A812" s="89"/>
      <c r="B812" s="89"/>
      <c r="C812" s="89"/>
      <c r="D812" s="89"/>
      <c r="E812" s="89"/>
      <c r="F812" s="89"/>
      <c r="G812" s="89"/>
      <c r="H812" s="268"/>
      <c r="I812" s="89"/>
      <c r="J812" s="89"/>
      <c r="K812" s="89"/>
      <c r="L812" s="89"/>
      <c r="M812" s="89"/>
      <c r="N812" s="89"/>
      <c r="O812" s="89"/>
      <c r="P812" s="89"/>
      <c r="Q812" s="89"/>
      <c r="R812" s="89"/>
      <c r="S812" s="89"/>
      <c r="T812" s="89"/>
      <c r="U812" s="89"/>
      <c r="V812" s="89"/>
      <c r="W812" s="89"/>
      <c r="X812" s="89"/>
      <c r="Y812" s="89"/>
      <c r="Z812" s="89"/>
    </row>
    <row r="813" spans="1:26" x14ac:dyDescent="0.25">
      <c r="A813" s="89"/>
      <c r="B813" s="89"/>
      <c r="C813" s="89"/>
      <c r="D813" s="89"/>
      <c r="E813" s="89"/>
      <c r="F813" s="89"/>
      <c r="G813" s="89"/>
      <c r="H813" s="268"/>
      <c r="I813" s="89"/>
      <c r="J813" s="89"/>
      <c r="K813" s="89"/>
      <c r="L813" s="89"/>
      <c r="M813" s="89"/>
      <c r="N813" s="89"/>
      <c r="O813" s="89"/>
      <c r="P813" s="89"/>
      <c r="Q813" s="89"/>
      <c r="R813" s="89"/>
      <c r="S813" s="89"/>
      <c r="T813" s="89"/>
      <c r="U813" s="89"/>
      <c r="V813" s="89"/>
      <c r="W813" s="89"/>
      <c r="X813" s="89"/>
      <c r="Y813" s="89"/>
      <c r="Z813" s="89"/>
    </row>
    <row r="814" spans="1:26" x14ac:dyDescent="0.25">
      <c r="A814" s="89"/>
      <c r="B814" s="89"/>
      <c r="C814" s="89"/>
      <c r="D814" s="89"/>
      <c r="E814" s="89"/>
      <c r="F814" s="89"/>
      <c r="G814" s="89"/>
      <c r="H814" s="268"/>
      <c r="I814" s="89"/>
      <c r="J814" s="89"/>
      <c r="K814" s="89"/>
      <c r="L814" s="89"/>
      <c r="M814" s="89"/>
      <c r="N814" s="89"/>
      <c r="O814" s="89"/>
      <c r="P814" s="89"/>
      <c r="Q814" s="89"/>
      <c r="R814" s="89"/>
      <c r="S814" s="89"/>
      <c r="T814" s="89"/>
      <c r="U814" s="89"/>
      <c r="V814" s="89"/>
      <c r="W814" s="89"/>
      <c r="X814" s="89"/>
      <c r="Y814" s="89"/>
      <c r="Z814" s="89"/>
    </row>
  </sheetData>
  <sheetProtection autoFilter="0"/>
  <mergeCells count="4">
    <mergeCell ref="A1:P1"/>
    <mergeCell ref="N16:P16"/>
    <mergeCell ref="A17:F17"/>
    <mergeCell ref="H2:H3"/>
  </mergeCells>
  <conditionalFormatting sqref="Q19:Z19 Q200:Z203 Q195:Q199 X195:Z199 X20:Z26 Q27:Z93 Q95:Z100 Q102:Z153 Q155:Z194">
    <cfRule type="expression" dxfId="5" priority="3">
      <formula>"&lt;&gt;0"</formula>
    </cfRule>
  </conditionalFormatting>
  <conditionalFormatting sqref="Q101:Z101">
    <cfRule type="expression" dxfId="4" priority="2">
      <formula>"&lt;&gt;0"</formula>
    </cfRule>
  </conditionalFormatting>
  <conditionalFormatting sqref="Q94:Z94">
    <cfRule type="expression" dxfId="3" priority="1">
      <formula>"&lt;&gt;0"</formula>
    </cfRule>
  </conditionalFormatting>
  <printOptions horizontalCentered="1" verticalCentered="1"/>
  <pageMargins left="0.24" right="0.22" top="0.3" bottom="0" header="0" footer="0"/>
  <pageSetup scale="41" fitToHeight="0" orientation="landscape" r:id="rId1"/>
  <headerFooter alignWithMargins="0">
    <oddHeader>&amp;A</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tabColor rgb="FFFF0000"/>
  </sheetPr>
  <dimension ref="B4:Y34"/>
  <sheetViews>
    <sheetView topLeftCell="J1" workbookViewId="0">
      <selection activeCell="Y12" sqref="Y12"/>
    </sheetView>
  </sheetViews>
  <sheetFormatPr defaultRowHeight="15" x14ac:dyDescent="0.25"/>
  <cols>
    <col min="2" max="2" width="18.42578125" bestFit="1" customWidth="1"/>
    <col min="3" max="3" width="3" customWidth="1"/>
    <col min="4" max="4" width="16.5703125" bestFit="1" customWidth="1"/>
    <col min="5" max="5" width="7.5703125" bestFit="1" customWidth="1"/>
    <col min="6" max="7" width="8" bestFit="1" customWidth="1"/>
    <col min="8" max="8" width="10.28515625" bestFit="1" customWidth="1"/>
    <col min="9" max="9" width="10.28515625" customWidth="1"/>
    <col min="10" max="10" width="10.28515625" bestFit="1" customWidth="1"/>
    <col min="11" max="11" width="8.28515625" bestFit="1" customWidth="1"/>
    <col min="12" max="12" width="8" bestFit="1" customWidth="1"/>
    <col min="13" max="13" width="6.5703125" bestFit="1" customWidth="1"/>
    <col min="14" max="14" width="10.28515625" bestFit="1" customWidth="1"/>
    <col min="15" max="15" width="10" bestFit="1" customWidth="1"/>
    <col min="18" max="19" width="16.5703125" bestFit="1" customWidth="1"/>
    <col min="20" max="20" width="11.5703125" style="189" bestFit="1" customWidth="1"/>
  </cols>
  <sheetData>
    <row r="4" spans="2:25" x14ac:dyDescent="0.25">
      <c r="B4" s="1"/>
      <c r="D4" t="s">
        <v>5</v>
      </c>
      <c r="E4" t="s">
        <v>205</v>
      </c>
      <c r="F4" t="s">
        <v>192</v>
      </c>
      <c r="G4" t="s">
        <v>193</v>
      </c>
      <c r="H4" t="s">
        <v>194</v>
      </c>
      <c r="I4" t="s">
        <v>358</v>
      </c>
      <c r="J4" t="s">
        <v>301</v>
      </c>
    </row>
    <row r="5" spans="2:25" x14ac:dyDescent="0.25">
      <c r="B5" s="1" t="s">
        <v>221</v>
      </c>
      <c r="D5">
        <v>24</v>
      </c>
      <c r="F5">
        <v>7.5</v>
      </c>
      <c r="G5">
        <v>15</v>
      </c>
      <c r="H5">
        <v>22.5</v>
      </c>
      <c r="J5">
        <v>30</v>
      </c>
      <c r="X5" t="s">
        <v>205</v>
      </c>
      <c r="Y5">
        <v>0</v>
      </c>
    </row>
    <row r="6" spans="2:25" x14ac:dyDescent="0.25">
      <c r="B6" s="1"/>
      <c r="D6">
        <v>36</v>
      </c>
      <c r="F6">
        <v>5</v>
      </c>
      <c r="G6">
        <v>10</v>
      </c>
      <c r="H6">
        <v>15</v>
      </c>
      <c r="J6">
        <v>20</v>
      </c>
      <c r="X6" t="s">
        <v>192</v>
      </c>
      <c r="Y6">
        <v>100</v>
      </c>
    </row>
    <row r="7" spans="2:25" x14ac:dyDescent="0.25">
      <c r="B7" s="1"/>
      <c r="X7" t="s">
        <v>194</v>
      </c>
      <c r="Y7">
        <v>500</v>
      </c>
    </row>
    <row r="8" spans="2:25" x14ac:dyDescent="0.25">
      <c r="B8" s="1" t="s">
        <v>220</v>
      </c>
      <c r="D8" t="s">
        <v>5</v>
      </c>
      <c r="E8" t="s">
        <v>205</v>
      </c>
      <c r="F8" t="s">
        <v>192</v>
      </c>
      <c r="G8" t="s">
        <v>193</v>
      </c>
      <c r="H8" t="s">
        <v>194</v>
      </c>
      <c r="I8" t="s">
        <v>358</v>
      </c>
      <c r="J8" t="s">
        <v>301</v>
      </c>
      <c r="X8" t="s">
        <v>358</v>
      </c>
      <c r="Y8">
        <v>600</v>
      </c>
    </row>
    <row r="9" spans="2:25" x14ac:dyDescent="0.25">
      <c r="B9" s="1"/>
      <c r="D9">
        <v>24</v>
      </c>
      <c r="F9">
        <f>+$D9*F5</f>
        <v>180</v>
      </c>
      <c r="G9">
        <f t="shared" ref="F9:H10" si="0">+$D9*G5</f>
        <v>360</v>
      </c>
      <c r="H9">
        <f t="shared" si="0"/>
        <v>540</v>
      </c>
      <c r="J9">
        <f>+$D9*J5</f>
        <v>720</v>
      </c>
      <c r="X9" t="s">
        <v>301</v>
      </c>
      <c r="Y9">
        <v>700</v>
      </c>
    </row>
    <row r="10" spans="2:25" x14ac:dyDescent="0.25">
      <c r="B10" s="1"/>
      <c r="D10">
        <v>36</v>
      </c>
      <c r="F10">
        <f t="shared" si="0"/>
        <v>180</v>
      </c>
      <c r="G10">
        <f t="shared" si="0"/>
        <v>360</v>
      </c>
      <c r="H10">
        <f t="shared" si="0"/>
        <v>540</v>
      </c>
      <c r="J10">
        <f>+$D10*J6</f>
        <v>720</v>
      </c>
      <c r="X10" t="s">
        <v>649</v>
      </c>
      <c r="Y10">
        <v>400</v>
      </c>
    </row>
    <row r="11" spans="2:25" x14ac:dyDescent="0.25">
      <c r="X11" t="s">
        <v>650</v>
      </c>
      <c r="Y11">
        <v>600</v>
      </c>
    </row>
    <row r="13" spans="2:25" s="198" customFormat="1" x14ac:dyDescent="0.25">
      <c r="B13" s="199" t="s">
        <v>222</v>
      </c>
      <c r="D13" s="198" t="s">
        <v>190</v>
      </c>
      <c r="E13" s="198" t="s">
        <v>205</v>
      </c>
      <c r="F13" s="198" t="s">
        <v>192</v>
      </c>
      <c r="G13" s="198" t="s">
        <v>193</v>
      </c>
      <c r="H13" s="198" t="s">
        <v>194</v>
      </c>
      <c r="I13" s="198" t="s">
        <v>358</v>
      </c>
      <c r="J13" s="198" t="s">
        <v>301</v>
      </c>
      <c r="K13" s="198" t="s">
        <v>332</v>
      </c>
      <c r="L13" s="198" t="s">
        <v>333</v>
      </c>
      <c r="R13" s="198" t="s">
        <v>317</v>
      </c>
      <c r="S13" s="200" t="s">
        <v>319</v>
      </c>
      <c r="T13" s="253" t="s">
        <v>326</v>
      </c>
    </row>
    <row r="14" spans="2:25" s="198" customFormat="1" x14ac:dyDescent="0.25">
      <c r="B14" s="199"/>
      <c r="D14" s="198" t="s">
        <v>602</v>
      </c>
      <c r="E14" s="198">
        <v>0</v>
      </c>
      <c r="F14" s="198">
        <v>100</v>
      </c>
      <c r="G14" s="198">
        <v>360</v>
      </c>
      <c r="H14" s="198">
        <v>500</v>
      </c>
      <c r="I14" s="198">
        <v>600</v>
      </c>
      <c r="J14" s="198">
        <v>700</v>
      </c>
      <c r="K14" s="198">
        <v>100</v>
      </c>
      <c r="L14" s="198">
        <v>500</v>
      </c>
      <c r="R14" s="198" t="s">
        <v>602</v>
      </c>
      <c r="S14" s="200"/>
      <c r="T14" s="253"/>
    </row>
    <row r="15" spans="2:25" x14ac:dyDescent="0.25">
      <c r="D15" s="198" t="s">
        <v>336</v>
      </c>
      <c r="E15" s="189">
        <v>0</v>
      </c>
      <c r="F15" s="189">
        <v>100</v>
      </c>
      <c r="G15" s="189">
        <v>360</v>
      </c>
      <c r="H15" s="189">
        <v>500</v>
      </c>
      <c r="I15" s="189">
        <v>600</v>
      </c>
      <c r="J15" s="189">
        <v>700</v>
      </c>
      <c r="K15" s="189">
        <v>100</v>
      </c>
      <c r="L15" s="189">
        <v>525</v>
      </c>
      <c r="M15" s="189"/>
      <c r="N15" s="189"/>
      <c r="O15" s="189"/>
      <c r="R15" t="s">
        <v>336</v>
      </c>
      <c r="S15" s="189">
        <v>1394</v>
      </c>
      <c r="T15"/>
    </row>
    <row r="16" spans="2:25" x14ac:dyDescent="0.25">
      <c r="D16" s="198" t="s">
        <v>327</v>
      </c>
      <c r="E16" s="189">
        <v>0</v>
      </c>
      <c r="F16" s="189">
        <v>100</v>
      </c>
      <c r="G16" s="189">
        <v>360</v>
      </c>
      <c r="H16" s="189">
        <v>500</v>
      </c>
      <c r="I16" s="189">
        <v>600</v>
      </c>
      <c r="J16" s="189">
        <v>720</v>
      </c>
      <c r="K16" s="189">
        <v>100</v>
      </c>
      <c r="L16" s="189">
        <v>505</v>
      </c>
      <c r="M16" s="189"/>
      <c r="N16" s="189"/>
      <c r="O16" s="189"/>
      <c r="R16" t="s">
        <v>327</v>
      </c>
      <c r="S16" s="189">
        <v>1069</v>
      </c>
      <c r="T16"/>
    </row>
    <row r="17" spans="4:20" x14ac:dyDescent="0.25">
      <c r="D17" s="198" t="s">
        <v>340</v>
      </c>
      <c r="E17" s="189">
        <v>0</v>
      </c>
      <c r="F17" s="189">
        <v>100</v>
      </c>
      <c r="G17" s="189">
        <v>360</v>
      </c>
      <c r="H17" s="189">
        <v>500</v>
      </c>
      <c r="I17" s="189">
        <v>600</v>
      </c>
      <c r="J17" s="189">
        <v>700</v>
      </c>
      <c r="K17" s="189">
        <v>100</v>
      </c>
      <c r="L17" s="189">
        <v>520</v>
      </c>
      <c r="M17" s="189"/>
      <c r="N17" s="189"/>
      <c r="O17" s="189"/>
      <c r="R17" t="s">
        <v>340</v>
      </c>
      <c r="S17" s="189">
        <v>1010.6666666666666</v>
      </c>
      <c r="T17"/>
    </row>
    <row r="18" spans="4:20" x14ac:dyDescent="0.25">
      <c r="D18" s="198" t="s">
        <v>578</v>
      </c>
      <c r="E18" s="189">
        <v>0</v>
      </c>
      <c r="F18" s="189">
        <v>100</v>
      </c>
      <c r="G18" s="189">
        <v>360</v>
      </c>
      <c r="H18" s="189">
        <v>499.75</v>
      </c>
      <c r="I18" s="189">
        <v>574.75</v>
      </c>
      <c r="J18" s="189">
        <v>632</v>
      </c>
      <c r="K18" s="189">
        <v>100</v>
      </c>
      <c r="L18" s="189">
        <v>504.75</v>
      </c>
      <c r="M18" s="189"/>
      <c r="N18" s="189"/>
      <c r="O18" s="189"/>
      <c r="R18" t="s">
        <v>578</v>
      </c>
      <c r="S18" s="189">
        <v>683</v>
      </c>
      <c r="T18"/>
    </row>
    <row r="19" spans="4:20" x14ac:dyDescent="0.25">
      <c r="D19" s="198" t="s">
        <v>323</v>
      </c>
      <c r="E19" s="189">
        <v>0</v>
      </c>
      <c r="F19" s="189">
        <v>100</v>
      </c>
      <c r="G19" s="189">
        <v>360</v>
      </c>
      <c r="H19" s="189">
        <v>494.5</v>
      </c>
      <c r="I19" s="189">
        <v>544.5</v>
      </c>
      <c r="J19" s="189">
        <v>559</v>
      </c>
      <c r="K19" s="189">
        <v>100</v>
      </c>
      <c r="L19" s="189">
        <v>514.5</v>
      </c>
      <c r="M19" s="189"/>
      <c r="N19" s="189"/>
      <c r="O19" s="189"/>
      <c r="R19" t="s">
        <v>323</v>
      </c>
      <c r="S19" s="189">
        <v>534</v>
      </c>
      <c r="T19"/>
    </row>
    <row r="20" spans="4:20" x14ac:dyDescent="0.25">
      <c r="D20" s="198" t="s">
        <v>322</v>
      </c>
      <c r="E20" s="189">
        <v>0</v>
      </c>
      <c r="F20" s="189">
        <v>100</v>
      </c>
      <c r="G20" s="189">
        <v>360</v>
      </c>
      <c r="H20" s="189">
        <v>500</v>
      </c>
      <c r="I20" s="189">
        <v>600</v>
      </c>
      <c r="J20" s="189">
        <v>679</v>
      </c>
      <c r="K20" s="189">
        <v>100</v>
      </c>
      <c r="L20" s="189">
        <v>530</v>
      </c>
      <c r="M20" s="189"/>
      <c r="N20" s="189"/>
      <c r="O20" s="189"/>
      <c r="R20" t="s">
        <v>322</v>
      </c>
      <c r="S20" s="189">
        <v>579</v>
      </c>
      <c r="T20"/>
    </row>
    <row r="21" spans="4:20" x14ac:dyDescent="0.25">
      <c r="D21" s="198" t="s">
        <v>328</v>
      </c>
      <c r="E21" s="189">
        <v>0</v>
      </c>
      <c r="F21" s="189">
        <v>100</v>
      </c>
      <c r="G21" s="189">
        <v>360</v>
      </c>
      <c r="H21" s="189">
        <v>500</v>
      </c>
      <c r="I21" s="189">
        <v>600</v>
      </c>
      <c r="J21" s="189">
        <v>700</v>
      </c>
      <c r="K21" s="189">
        <v>100</v>
      </c>
      <c r="L21" s="189">
        <v>483.33333333333331</v>
      </c>
      <c r="M21" s="189"/>
      <c r="N21" s="189"/>
      <c r="O21" s="189"/>
      <c r="R21" t="s">
        <v>328</v>
      </c>
      <c r="S21" s="189">
        <v>999</v>
      </c>
      <c r="T21"/>
    </row>
    <row r="22" spans="4:20" x14ac:dyDescent="0.25">
      <c r="D22" s="198" t="s">
        <v>579</v>
      </c>
      <c r="E22" s="189">
        <v>0</v>
      </c>
      <c r="F22" s="189">
        <v>100</v>
      </c>
      <c r="G22" s="189">
        <v>360</v>
      </c>
      <c r="H22" s="189">
        <v>499.66666666666669</v>
      </c>
      <c r="I22" s="189">
        <v>566.33333333333337</v>
      </c>
      <c r="J22" s="189">
        <v>633</v>
      </c>
      <c r="K22" s="189">
        <v>100</v>
      </c>
      <c r="L22" s="189">
        <v>499.66666666666669</v>
      </c>
      <c r="M22" s="189"/>
      <c r="N22" s="189"/>
      <c r="O22" s="189"/>
      <c r="R22" t="s">
        <v>579</v>
      </c>
      <c r="S22" s="189">
        <v>649</v>
      </c>
      <c r="T22"/>
    </row>
    <row r="23" spans="4:20" x14ac:dyDescent="0.25">
      <c r="D23" s="198" t="s">
        <v>131</v>
      </c>
      <c r="E23" s="189">
        <v>0</v>
      </c>
      <c r="F23" s="189">
        <v>100</v>
      </c>
      <c r="G23" s="189">
        <v>360</v>
      </c>
      <c r="H23" s="189">
        <v>499</v>
      </c>
      <c r="I23" s="189">
        <v>499</v>
      </c>
      <c r="J23" s="189">
        <v>499</v>
      </c>
      <c r="K23" s="189">
        <v>100</v>
      </c>
      <c r="L23" s="189">
        <v>450</v>
      </c>
      <c r="M23" s="189"/>
      <c r="N23" s="189"/>
      <c r="O23" s="189"/>
      <c r="R23" t="s">
        <v>131</v>
      </c>
      <c r="S23" s="189">
        <v>479</v>
      </c>
      <c r="T23"/>
    </row>
    <row r="24" spans="4:20" x14ac:dyDescent="0.25">
      <c r="D24" s="198" t="s">
        <v>321</v>
      </c>
      <c r="E24" s="189">
        <v>0</v>
      </c>
      <c r="F24" s="189">
        <v>100</v>
      </c>
      <c r="G24" s="189">
        <v>360</v>
      </c>
      <c r="H24" s="189">
        <v>500</v>
      </c>
      <c r="I24" s="189">
        <v>600</v>
      </c>
      <c r="J24" s="189">
        <v>700</v>
      </c>
      <c r="K24" s="189">
        <v>100</v>
      </c>
      <c r="L24" s="189">
        <v>501</v>
      </c>
      <c r="M24" s="189"/>
      <c r="N24" s="189"/>
      <c r="O24" s="189"/>
      <c r="R24" t="s">
        <v>321</v>
      </c>
      <c r="S24" s="189">
        <v>800</v>
      </c>
      <c r="T24"/>
    </row>
    <row r="25" spans="4:20" x14ac:dyDescent="0.25">
      <c r="D25" s="198" t="s">
        <v>580</v>
      </c>
      <c r="E25" s="189">
        <v>0</v>
      </c>
      <c r="F25" s="189">
        <v>101</v>
      </c>
      <c r="G25" s="189">
        <v>360</v>
      </c>
      <c r="H25" s="189">
        <v>360</v>
      </c>
      <c r="I25" s="189">
        <v>360</v>
      </c>
      <c r="J25" s="189">
        <v>360</v>
      </c>
      <c r="K25" s="189">
        <v>186</v>
      </c>
      <c r="L25" s="189">
        <v>360</v>
      </c>
      <c r="M25" s="189"/>
      <c r="N25" s="189"/>
      <c r="O25" s="189"/>
      <c r="R25" t="s">
        <v>580</v>
      </c>
      <c r="S25" s="189">
        <v>360</v>
      </c>
      <c r="T25"/>
    </row>
    <row r="26" spans="4:20" x14ac:dyDescent="0.25">
      <c r="D26" s="198" t="s">
        <v>536</v>
      </c>
      <c r="E26" s="189">
        <v>0</v>
      </c>
      <c r="F26" s="189">
        <v>100</v>
      </c>
      <c r="G26" s="189">
        <v>360</v>
      </c>
      <c r="H26" s="189">
        <v>449</v>
      </c>
      <c r="I26" s="189">
        <v>449</v>
      </c>
      <c r="J26" s="189">
        <v>449</v>
      </c>
      <c r="K26" s="189">
        <v>100</v>
      </c>
      <c r="L26" s="189">
        <v>400</v>
      </c>
      <c r="M26" s="189"/>
      <c r="N26" s="189"/>
      <c r="O26" s="189"/>
      <c r="R26" t="s">
        <v>536</v>
      </c>
      <c r="S26" s="189">
        <v>349</v>
      </c>
      <c r="T26"/>
    </row>
    <row r="27" spans="4:20" x14ac:dyDescent="0.25">
      <c r="D27" s="198" t="s">
        <v>139</v>
      </c>
      <c r="E27" s="189">
        <v>0</v>
      </c>
      <c r="F27" s="189">
        <v>100</v>
      </c>
      <c r="G27" s="189">
        <v>360</v>
      </c>
      <c r="H27" s="189">
        <v>500</v>
      </c>
      <c r="I27" s="189">
        <v>500</v>
      </c>
      <c r="J27" s="189">
        <v>500</v>
      </c>
      <c r="K27" s="189">
        <v>100</v>
      </c>
      <c r="L27" s="189">
        <v>500</v>
      </c>
      <c r="M27" s="189"/>
      <c r="N27" s="189"/>
      <c r="O27" s="189"/>
      <c r="R27" t="s">
        <v>139</v>
      </c>
      <c r="S27" s="189">
        <v>485</v>
      </c>
      <c r="T27"/>
    </row>
    <row r="28" spans="4:20" x14ac:dyDescent="0.25">
      <c r="D28" s="198" t="s">
        <v>546</v>
      </c>
      <c r="E28" s="189">
        <v>0</v>
      </c>
      <c r="F28" s="189">
        <v>100</v>
      </c>
      <c r="G28" s="189">
        <v>360</v>
      </c>
      <c r="H28" s="189">
        <v>550</v>
      </c>
      <c r="I28" s="189">
        <v>650</v>
      </c>
      <c r="J28" s="189">
        <v>699</v>
      </c>
      <c r="K28" s="189">
        <v>100</v>
      </c>
      <c r="L28" s="189">
        <v>530</v>
      </c>
      <c r="M28" s="189"/>
      <c r="N28" s="189"/>
      <c r="O28" s="189"/>
      <c r="R28" t="s">
        <v>546</v>
      </c>
      <c r="S28" s="189">
        <v>649</v>
      </c>
      <c r="T28"/>
    </row>
    <row r="29" spans="4:20" x14ac:dyDescent="0.25">
      <c r="D29" s="198" t="s">
        <v>330</v>
      </c>
      <c r="E29" s="189">
        <v>0</v>
      </c>
      <c r="F29" s="189">
        <v>100</v>
      </c>
      <c r="G29" s="189">
        <v>250</v>
      </c>
      <c r="H29" s="189">
        <v>250</v>
      </c>
      <c r="I29" s="189">
        <v>250</v>
      </c>
      <c r="J29" s="189">
        <v>250</v>
      </c>
      <c r="K29" s="189">
        <v>120</v>
      </c>
      <c r="L29" s="189">
        <v>250</v>
      </c>
      <c r="M29" s="189"/>
      <c r="N29" s="189"/>
      <c r="O29" s="189"/>
      <c r="R29" t="s">
        <v>330</v>
      </c>
      <c r="S29" s="189">
        <v>230</v>
      </c>
      <c r="T29"/>
    </row>
    <row r="30" spans="4:20" x14ac:dyDescent="0.25">
      <c r="D30" t="s">
        <v>324</v>
      </c>
      <c r="E30" s="189">
        <v>0</v>
      </c>
      <c r="F30" s="189">
        <v>100</v>
      </c>
      <c r="G30" s="189">
        <v>405</v>
      </c>
      <c r="H30" s="189">
        <v>575</v>
      </c>
      <c r="I30" s="189">
        <v>675</v>
      </c>
      <c r="J30" s="189">
        <v>774.5</v>
      </c>
      <c r="K30" s="189">
        <v>100</v>
      </c>
      <c r="L30" s="189">
        <v>552</v>
      </c>
      <c r="R30" t="s">
        <v>324</v>
      </c>
      <c r="S30">
        <v>854</v>
      </c>
    </row>
    <row r="31" spans="4:20" x14ac:dyDescent="0.25">
      <c r="D31" t="s">
        <v>581</v>
      </c>
      <c r="E31" s="189">
        <v>0</v>
      </c>
      <c r="F31" s="189">
        <v>100</v>
      </c>
      <c r="G31" s="189">
        <v>360</v>
      </c>
      <c r="H31" s="189">
        <v>500</v>
      </c>
      <c r="I31" s="189">
        <v>600</v>
      </c>
      <c r="J31" s="189">
        <v>700</v>
      </c>
      <c r="K31" s="189">
        <v>100</v>
      </c>
      <c r="L31" s="189">
        <v>540</v>
      </c>
      <c r="R31" t="s">
        <v>581</v>
      </c>
      <c r="S31">
        <v>999</v>
      </c>
    </row>
    <row r="32" spans="4:20" x14ac:dyDescent="0.25">
      <c r="D32" t="s">
        <v>325</v>
      </c>
      <c r="E32">
        <v>0</v>
      </c>
      <c r="F32">
        <v>100</v>
      </c>
      <c r="G32">
        <v>350</v>
      </c>
      <c r="H32">
        <v>350</v>
      </c>
      <c r="I32">
        <v>350</v>
      </c>
      <c r="J32">
        <v>350</v>
      </c>
      <c r="K32">
        <v>100</v>
      </c>
      <c r="L32">
        <v>301</v>
      </c>
      <c r="R32" t="s">
        <v>325</v>
      </c>
      <c r="S32">
        <v>330</v>
      </c>
    </row>
    <row r="33" spans="4:19" x14ac:dyDescent="0.25">
      <c r="D33" t="s">
        <v>603</v>
      </c>
      <c r="E33">
        <v>0</v>
      </c>
      <c r="F33">
        <v>50</v>
      </c>
      <c r="G33">
        <v>310</v>
      </c>
      <c r="H33">
        <v>520</v>
      </c>
      <c r="I33">
        <v>620</v>
      </c>
      <c r="J33">
        <v>720</v>
      </c>
      <c r="K33">
        <v>50</v>
      </c>
      <c r="L33">
        <v>570</v>
      </c>
      <c r="R33" t="s">
        <v>341</v>
      </c>
      <c r="S33">
        <v>1249</v>
      </c>
    </row>
    <row r="34" spans="4:19" x14ac:dyDescent="0.25">
      <c r="D34" t="s">
        <v>357</v>
      </c>
      <c r="E34" s="189">
        <v>0</v>
      </c>
      <c r="F34" s="189">
        <v>0</v>
      </c>
      <c r="G34" s="189">
        <v>0</v>
      </c>
      <c r="H34" s="189">
        <v>0</v>
      </c>
      <c r="I34" s="189"/>
      <c r="J34" s="189">
        <v>0</v>
      </c>
      <c r="K34" s="189">
        <v>0</v>
      </c>
      <c r="L34" s="189">
        <v>0</v>
      </c>
    </row>
  </sheetData>
  <sortState xmlns:xlrd2="http://schemas.microsoft.com/office/spreadsheetml/2017/richdata2" ref="R14:T28">
    <sortCondition ref="R3"/>
  </sortState>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tabColor rgb="FFFF0000"/>
  </sheetPr>
  <dimension ref="A1:W88"/>
  <sheetViews>
    <sheetView zoomScale="70" zoomScaleNormal="70" workbookViewId="0">
      <selection activeCell="J31" sqref="J31"/>
    </sheetView>
  </sheetViews>
  <sheetFormatPr defaultRowHeight="15" x14ac:dyDescent="0.25"/>
  <cols>
    <col min="1" max="1" width="25.5703125" bestFit="1" customWidth="1"/>
    <col min="2" max="10" width="11.42578125" customWidth="1"/>
    <col min="17" max="17" width="12" bestFit="1" customWidth="1"/>
  </cols>
  <sheetData>
    <row r="1" spans="1:23" ht="15.75" thickBot="1" x14ac:dyDescent="0.3">
      <c r="B1" s="436" t="s">
        <v>334</v>
      </c>
      <c r="C1" s="437"/>
      <c r="D1" s="437"/>
      <c r="E1" s="437"/>
      <c r="F1" s="437"/>
      <c r="G1" s="437"/>
      <c r="H1" s="437"/>
      <c r="I1" s="438"/>
      <c r="J1" s="1"/>
      <c r="K1" s="436" t="s">
        <v>335</v>
      </c>
      <c r="L1" s="437"/>
      <c r="M1" s="437"/>
      <c r="N1" s="437"/>
      <c r="O1" s="437"/>
      <c r="P1" s="437"/>
      <c r="Q1" s="437"/>
      <c r="R1" s="438"/>
      <c r="S1" s="194"/>
      <c r="T1" s="194"/>
      <c r="U1" s="194"/>
    </row>
    <row r="2" spans="1:23" x14ac:dyDescent="0.25">
      <c r="B2" s="1" t="s">
        <v>205</v>
      </c>
      <c r="C2" s="1" t="s">
        <v>192</v>
      </c>
      <c r="D2" s="1" t="s">
        <v>193</v>
      </c>
      <c r="E2" s="1" t="s">
        <v>194</v>
      </c>
      <c r="F2" s="1" t="s">
        <v>358</v>
      </c>
      <c r="G2" s="1" t="s">
        <v>301</v>
      </c>
      <c r="H2" s="1" t="s">
        <v>332</v>
      </c>
      <c r="I2" s="1" t="s">
        <v>333</v>
      </c>
      <c r="J2" s="1"/>
      <c r="K2" s="1" t="s">
        <v>205</v>
      </c>
      <c r="L2" s="1" t="s">
        <v>192</v>
      </c>
      <c r="M2" s="1" t="s">
        <v>193</v>
      </c>
      <c r="N2" s="1" t="s">
        <v>194</v>
      </c>
      <c r="O2" s="1" t="s">
        <v>358</v>
      </c>
      <c r="P2" s="1" t="s">
        <v>301</v>
      </c>
      <c r="Q2" s="1" t="s">
        <v>332</v>
      </c>
      <c r="R2" s="1" t="s">
        <v>333</v>
      </c>
      <c r="S2" s="194"/>
      <c r="T2" s="194"/>
      <c r="U2" s="194"/>
    </row>
    <row r="3" spans="1:23" x14ac:dyDescent="0.25">
      <c r="A3" t="s">
        <v>602</v>
      </c>
      <c r="B3" s="1"/>
      <c r="C3" s="1"/>
      <c r="D3" s="1"/>
      <c r="E3" s="1"/>
      <c r="F3" s="1"/>
      <c r="G3" s="1"/>
      <c r="H3" s="1"/>
      <c r="I3" s="1"/>
      <c r="J3" s="1"/>
      <c r="K3" s="1"/>
      <c r="L3" s="1"/>
      <c r="M3" s="1"/>
      <c r="N3" s="1"/>
      <c r="O3" s="1"/>
      <c r="P3" s="1"/>
      <c r="Q3" s="1"/>
      <c r="R3" s="1"/>
      <c r="S3" s="194"/>
      <c r="T3" s="194"/>
      <c r="U3" s="194"/>
    </row>
    <row r="4" spans="1:23" x14ac:dyDescent="0.25">
      <c r="A4" s="197" t="s">
        <v>336</v>
      </c>
      <c r="B4" s="189">
        <v>1424</v>
      </c>
      <c r="C4" s="189">
        <v>1324</v>
      </c>
      <c r="D4" s="189">
        <v>1064</v>
      </c>
      <c r="E4" s="189">
        <v>924</v>
      </c>
      <c r="F4" s="189">
        <v>824</v>
      </c>
      <c r="G4" s="189">
        <v>724</v>
      </c>
      <c r="H4" s="189">
        <v>1324</v>
      </c>
      <c r="I4" s="189">
        <v>899</v>
      </c>
      <c r="J4" s="189"/>
      <c r="K4" s="189">
        <v>0</v>
      </c>
      <c r="L4" s="189">
        <v>100</v>
      </c>
      <c r="M4" s="189">
        <v>360</v>
      </c>
      <c r="N4" s="189">
        <v>500</v>
      </c>
      <c r="O4" s="189">
        <v>600</v>
      </c>
      <c r="P4" s="189">
        <v>700</v>
      </c>
      <c r="Q4" s="189">
        <v>100</v>
      </c>
      <c r="R4" s="189">
        <v>525</v>
      </c>
      <c r="S4" s="195"/>
      <c r="T4" s="195"/>
      <c r="U4" s="194"/>
    </row>
    <row r="5" spans="1:23" x14ac:dyDescent="0.25">
      <c r="A5" t="s">
        <v>327</v>
      </c>
      <c r="B5" s="189">
        <v>1099</v>
      </c>
      <c r="C5" s="189">
        <v>999</v>
      </c>
      <c r="D5" s="189">
        <v>739</v>
      </c>
      <c r="E5" s="189">
        <v>599</v>
      </c>
      <c r="F5" s="189">
        <v>859</v>
      </c>
      <c r="G5" s="189">
        <v>379</v>
      </c>
      <c r="H5" s="189">
        <v>999</v>
      </c>
      <c r="I5" s="189">
        <v>594</v>
      </c>
      <c r="J5" s="189"/>
      <c r="K5" s="189">
        <v>0</v>
      </c>
      <c r="L5" s="189">
        <v>100</v>
      </c>
      <c r="M5" s="189">
        <v>360</v>
      </c>
      <c r="N5" s="189">
        <v>500</v>
      </c>
      <c r="O5" s="189">
        <v>600</v>
      </c>
      <c r="P5" s="189">
        <v>720</v>
      </c>
      <c r="Q5" s="189">
        <v>100</v>
      </c>
      <c r="R5" s="189">
        <v>505</v>
      </c>
      <c r="S5" s="196"/>
      <c r="T5" s="196"/>
      <c r="U5" s="194"/>
    </row>
    <row r="6" spans="1:23" x14ac:dyDescent="0.25">
      <c r="A6" t="s">
        <v>340</v>
      </c>
      <c r="B6" s="189">
        <v>1030.6666666666667</v>
      </c>
      <c r="C6" s="189">
        <v>930.66666666666663</v>
      </c>
      <c r="D6" s="189">
        <v>670.66666666666663</v>
      </c>
      <c r="E6" s="189">
        <v>530.66666666666663</v>
      </c>
      <c r="F6" s="189">
        <v>430.66666666666669</v>
      </c>
      <c r="G6" s="189">
        <v>330.66666666666669</v>
      </c>
      <c r="H6" s="189">
        <v>930.66666666666663</v>
      </c>
      <c r="I6" s="189">
        <v>410.66666666666669</v>
      </c>
      <c r="J6" s="189"/>
      <c r="K6" s="189">
        <v>0</v>
      </c>
      <c r="L6" s="189">
        <v>100</v>
      </c>
      <c r="M6" s="189">
        <v>360</v>
      </c>
      <c r="N6" s="189">
        <v>500</v>
      </c>
      <c r="O6" s="189">
        <v>600</v>
      </c>
      <c r="P6" s="189">
        <v>700</v>
      </c>
      <c r="Q6" s="189">
        <v>100</v>
      </c>
      <c r="R6" s="189">
        <v>520</v>
      </c>
      <c r="S6" s="196"/>
      <c r="T6" s="196"/>
      <c r="U6" s="194"/>
      <c r="V6" t="s">
        <v>205</v>
      </c>
      <c r="W6">
        <v>0</v>
      </c>
    </row>
    <row r="7" spans="1:23" x14ac:dyDescent="0.25">
      <c r="A7" t="s">
        <v>578</v>
      </c>
      <c r="B7" s="189">
        <v>661.5</v>
      </c>
      <c r="C7" s="189">
        <v>561.5</v>
      </c>
      <c r="D7" s="189">
        <v>301.5</v>
      </c>
      <c r="E7" s="189">
        <v>161.75</v>
      </c>
      <c r="F7" s="189">
        <v>86.75</v>
      </c>
      <c r="G7" s="189">
        <v>29.5</v>
      </c>
      <c r="H7" s="189">
        <v>561.5</v>
      </c>
      <c r="I7" s="189">
        <v>156.75</v>
      </c>
      <c r="J7" s="189"/>
      <c r="K7" s="189">
        <v>0</v>
      </c>
      <c r="L7" s="189">
        <v>100</v>
      </c>
      <c r="M7" s="189">
        <v>360</v>
      </c>
      <c r="N7" s="189">
        <v>499.75</v>
      </c>
      <c r="O7" s="189">
        <v>574.75</v>
      </c>
      <c r="P7" s="189">
        <v>632</v>
      </c>
      <c r="Q7" s="189">
        <v>100</v>
      </c>
      <c r="R7" s="189">
        <v>504.75</v>
      </c>
      <c r="S7" s="196"/>
      <c r="T7" s="196"/>
      <c r="U7" s="194"/>
      <c r="V7" t="s">
        <v>192</v>
      </c>
      <c r="W7">
        <v>100</v>
      </c>
    </row>
    <row r="8" spans="1:23" x14ac:dyDescent="0.25">
      <c r="A8" t="s">
        <v>323</v>
      </c>
      <c r="B8" s="189">
        <v>559</v>
      </c>
      <c r="C8" s="189">
        <v>459</v>
      </c>
      <c r="D8" s="189">
        <v>199</v>
      </c>
      <c r="E8" s="189">
        <v>64.5</v>
      </c>
      <c r="F8" s="189">
        <v>14.5</v>
      </c>
      <c r="G8" s="189">
        <v>0</v>
      </c>
      <c r="H8" s="189">
        <v>459</v>
      </c>
      <c r="I8" s="189">
        <v>44.5</v>
      </c>
      <c r="J8" s="189"/>
      <c r="K8" s="189">
        <v>0</v>
      </c>
      <c r="L8" s="189">
        <v>100</v>
      </c>
      <c r="M8" s="189">
        <v>360</v>
      </c>
      <c r="N8" s="189">
        <v>494.5</v>
      </c>
      <c r="O8" s="189">
        <v>544.5</v>
      </c>
      <c r="P8" s="189">
        <v>559</v>
      </c>
      <c r="Q8" s="189">
        <v>100</v>
      </c>
      <c r="R8" s="189">
        <v>514.5</v>
      </c>
      <c r="S8" s="196"/>
      <c r="T8" s="196"/>
      <c r="U8" s="194"/>
      <c r="V8" t="s">
        <v>194</v>
      </c>
      <c r="W8">
        <v>500</v>
      </c>
    </row>
    <row r="9" spans="1:23" x14ac:dyDescent="0.25">
      <c r="A9" t="s">
        <v>322</v>
      </c>
      <c r="B9" s="189">
        <v>679</v>
      </c>
      <c r="C9" s="189">
        <v>579</v>
      </c>
      <c r="D9" s="189">
        <v>319</v>
      </c>
      <c r="E9" s="189">
        <v>179</v>
      </c>
      <c r="F9" s="189">
        <v>79</v>
      </c>
      <c r="G9" s="189">
        <v>0</v>
      </c>
      <c r="H9" s="189">
        <v>579</v>
      </c>
      <c r="I9" s="189">
        <v>149</v>
      </c>
      <c r="J9" s="189"/>
      <c r="K9" s="189">
        <v>0</v>
      </c>
      <c r="L9" s="189">
        <v>100</v>
      </c>
      <c r="M9" s="189">
        <v>360</v>
      </c>
      <c r="N9" s="189">
        <v>500</v>
      </c>
      <c r="O9" s="189">
        <v>600</v>
      </c>
      <c r="P9" s="189">
        <v>679</v>
      </c>
      <c r="Q9" s="189">
        <v>100</v>
      </c>
      <c r="R9" s="189">
        <v>530</v>
      </c>
      <c r="S9" s="196"/>
      <c r="T9" s="196"/>
      <c r="U9" s="194"/>
      <c r="V9" t="s">
        <v>358</v>
      </c>
      <c r="W9">
        <v>600</v>
      </c>
    </row>
    <row r="10" spans="1:23" x14ac:dyDescent="0.25">
      <c r="A10" t="s">
        <v>328</v>
      </c>
      <c r="B10" s="189">
        <v>1029</v>
      </c>
      <c r="C10" s="189">
        <v>929</v>
      </c>
      <c r="D10" s="189">
        <v>669</v>
      </c>
      <c r="E10" s="189">
        <v>529</v>
      </c>
      <c r="F10" s="189">
        <v>429</v>
      </c>
      <c r="G10" s="189">
        <v>329</v>
      </c>
      <c r="H10" s="189">
        <v>929</v>
      </c>
      <c r="I10" s="189">
        <v>545.66666666666663</v>
      </c>
      <c r="J10" s="189"/>
      <c r="K10" s="189">
        <v>0</v>
      </c>
      <c r="L10" s="189">
        <v>100</v>
      </c>
      <c r="M10" s="189">
        <v>360</v>
      </c>
      <c r="N10" s="189">
        <v>500</v>
      </c>
      <c r="O10" s="189">
        <v>600</v>
      </c>
      <c r="P10" s="189">
        <v>700</v>
      </c>
      <c r="Q10" s="189">
        <v>100</v>
      </c>
      <c r="R10" s="189">
        <v>483.33333333333331</v>
      </c>
      <c r="S10" s="196"/>
      <c r="T10" s="196"/>
      <c r="U10" s="194"/>
      <c r="V10" t="s">
        <v>301</v>
      </c>
      <c r="W10">
        <v>700</v>
      </c>
    </row>
    <row r="11" spans="1:23" x14ac:dyDescent="0.25">
      <c r="A11" t="s">
        <v>579</v>
      </c>
      <c r="B11" s="189">
        <v>749</v>
      </c>
      <c r="C11" s="189">
        <v>649</v>
      </c>
      <c r="D11" s="189">
        <v>389</v>
      </c>
      <c r="E11" s="189">
        <v>249.33333333333334</v>
      </c>
      <c r="F11" s="189">
        <v>182.66666666666666</v>
      </c>
      <c r="G11" s="189">
        <v>116</v>
      </c>
      <c r="H11" s="189">
        <v>649</v>
      </c>
      <c r="I11" s="189">
        <v>249.33333333333334</v>
      </c>
      <c r="J11" s="189"/>
      <c r="K11" s="189">
        <v>0</v>
      </c>
      <c r="L11" s="189">
        <v>100</v>
      </c>
      <c r="M11" s="189">
        <v>360</v>
      </c>
      <c r="N11" s="189">
        <v>499.66666666666669</v>
      </c>
      <c r="O11" s="189">
        <v>566.33333333333337</v>
      </c>
      <c r="P11" s="189">
        <v>633</v>
      </c>
      <c r="Q11" s="189">
        <v>100</v>
      </c>
      <c r="R11" s="189">
        <v>499.66666666666669</v>
      </c>
      <c r="S11" s="196"/>
      <c r="T11" s="196"/>
      <c r="U11" s="194"/>
    </row>
    <row r="12" spans="1:23" x14ac:dyDescent="0.25">
      <c r="A12" t="s">
        <v>131</v>
      </c>
      <c r="B12" s="189">
        <v>499</v>
      </c>
      <c r="C12" s="189">
        <v>399</v>
      </c>
      <c r="D12" s="189">
        <v>139</v>
      </c>
      <c r="E12" s="189">
        <v>0</v>
      </c>
      <c r="F12" s="189">
        <v>0</v>
      </c>
      <c r="G12" s="189">
        <v>0</v>
      </c>
      <c r="H12" s="189">
        <v>399</v>
      </c>
      <c r="I12" s="189">
        <v>49</v>
      </c>
      <c r="J12" s="189"/>
      <c r="K12" s="189">
        <v>0</v>
      </c>
      <c r="L12" s="189">
        <v>100</v>
      </c>
      <c r="M12" s="189">
        <v>360</v>
      </c>
      <c r="N12" s="189">
        <v>499</v>
      </c>
      <c r="O12" s="189">
        <v>499</v>
      </c>
      <c r="P12" s="189">
        <v>499</v>
      </c>
      <c r="Q12" s="189">
        <v>100</v>
      </c>
      <c r="R12" s="189">
        <v>450</v>
      </c>
      <c r="S12" s="196"/>
      <c r="T12" s="196"/>
      <c r="U12" s="194"/>
    </row>
    <row r="13" spans="1:23" x14ac:dyDescent="0.25">
      <c r="A13" t="s">
        <v>321</v>
      </c>
      <c r="B13" s="189">
        <v>900</v>
      </c>
      <c r="C13" s="189">
        <v>800</v>
      </c>
      <c r="D13" s="189">
        <v>540</v>
      </c>
      <c r="E13" s="189">
        <v>400</v>
      </c>
      <c r="F13" s="189">
        <v>300</v>
      </c>
      <c r="G13" s="189">
        <v>200</v>
      </c>
      <c r="H13" s="189">
        <v>800</v>
      </c>
      <c r="I13" s="189">
        <v>399</v>
      </c>
      <c r="J13" s="189"/>
      <c r="K13" s="189">
        <v>0</v>
      </c>
      <c r="L13" s="189">
        <v>100</v>
      </c>
      <c r="M13" s="189">
        <v>360</v>
      </c>
      <c r="N13" s="189">
        <v>500</v>
      </c>
      <c r="O13" s="189">
        <v>600</v>
      </c>
      <c r="P13" s="189">
        <v>700</v>
      </c>
      <c r="Q13" s="189">
        <v>100</v>
      </c>
      <c r="R13" s="189">
        <v>501</v>
      </c>
      <c r="S13" s="196"/>
      <c r="T13" s="196"/>
      <c r="U13" s="194"/>
    </row>
    <row r="14" spans="1:23" x14ac:dyDescent="0.25">
      <c r="A14" t="s">
        <v>580</v>
      </c>
      <c r="B14" s="189">
        <v>360</v>
      </c>
      <c r="C14" s="189">
        <v>259</v>
      </c>
      <c r="D14" s="189">
        <v>0</v>
      </c>
      <c r="E14" s="189">
        <v>0</v>
      </c>
      <c r="F14" s="189">
        <v>0</v>
      </c>
      <c r="G14" s="189">
        <v>0</v>
      </c>
      <c r="H14" s="189">
        <v>174</v>
      </c>
      <c r="I14" s="189">
        <v>0</v>
      </c>
      <c r="J14" s="189"/>
      <c r="K14" s="189">
        <v>0</v>
      </c>
      <c r="L14" s="189">
        <v>101</v>
      </c>
      <c r="M14" s="189">
        <v>360</v>
      </c>
      <c r="N14" s="189">
        <v>360</v>
      </c>
      <c r="O14" s="189">
        <v>360</v>
      </c>
      <c r="P14" s="189">
        <v>360</v>
      </c>
      <c r="Q14" s="189">
        <v>186</v>
      </c>
      <c r="R14" s="189">
        <v>360</v>
      </c>
      <c r="S14" s="196"/>
      <c r="T14" s="196"/>
      <c r="U14" s="194"/>
    </row>
    <row r="15" spans="1:23" x14ac:dyDescent="0.25">
      <c r="A15" t="s">
        <v>536</v>
      </c>
      <c r="B15" s="189">
        <v>449</v>
      </c>
      <c r="C15" s="189">
        <v>349</v>
      </c>
      <c r="D15" s="189">
        <v>89</v>
      </c>
      <c r="E15" s="189">
        <v>0</v>
      </c>
      <c r="F15" s="189">
        <v>0</v>
      </c>
      <c r="G15" s="189">
        <v>0</v>
      </c>
      <c r="H15" s="189">
        <v>349</v>
      </c>
      <c r="I15" s="189">
        <v>49</v>
      </c>
      <c r="J15" s="189"/>
      <c r="K15" s="189">
        <v>0</v>
      </c>
      <c r="L15" s="189">
        <v>100</v>
      </c>
      <c r="M15" s="189">
        <v>360</v>
      </c>
      <c r="N15" s="189">
        <v>449</v>
      </c>
      <c r="O15" s="189">
        <v>449</v>
      </c>
      <c r="P15" s="189">
        <v>449</v>
      </c>
      <c r="Q15" s="189">
        <v>100</v>
      </c>
      <c r="R15" s="189">
        <v>400</v>
      </c>
      <c r="S15" s="196"/>
      <c r="T15" s="196"/>
      <c r="U15" s="194"/>
    </row>
    <row r="16" spans="1:23" x14ac:dyDescent="0.25">
      <c r="A16" t="s">
        <v>139</v>
      </c>
      <c r="B16" s="189">
        <v>500</v>
      </c>
      <c r="C16" s="189">
        <v>400</v>
      </c>
      <c r="D16" s="189">
        <v>140</v>
      </c>
      <c r="E16" s="189">
        <v>0</v>
      </c>
      <c r="F16" s="189">
        <v>0</v>
      </c>
      <c r="G16" s="189">
        <v>0</v>
      </c>
      <c r="H16" s="189">
        <v>400</v>
      </c>
      <c r="I16" s="189">
        <v>0</v>
      </c>
      <c r="J16" s="189"/>
      <c r="K16" s="189">
        <v>0</v>
      </c>
      <c r="L16" s="189">
        <v>100</v>
      </c>
      <c r="M16" s="189">
        <v>360</v>
      </c>
      <c r="N16" s="189">
        <v>500</v>
      </c>
      <c r="O16" s="189">
        <v>500</v>
      </c>
      <c r="P16" s="189">
        <v>500</v>
      </c>
      <c r="Q16" s="189">
        <v>100</v>
      </c>
      <c r="R16" s="189">
        <v>500</v>
      </c>
      <c r="S16" s="196"/>
      <c r="T16" s="196"/>
      <c r="U16" s="194"/>
    </row>
    <row r="17" spans="1:21" ht="18" x14ac:dyDescent="0.25">
      <c r="A17" s="194" t="s">
        <v>546</v>
      </c>
      <c r="B17" s="218">
        <v>699</v>
      </c>
      <c r="C17" s="218">
        <v>599</v>
      </c>
      <c r="D17" s="218">
        <v>339</v>
      </c>
      <c r="E17" s="218">
        <v>149</v>
      </c>
      <c r="F17" s="218">
        <v>49</v>
      </c>
      <c r="G17" s="218">
        <v>0</v>
      </c>
      <c r="H17" s="218">
        <v>599</v>
      </c>
      <c r="I17" s="218">
        <v>169</v>
      </c>
      <c r="J17" s="192"/>
      <c r="K17" s="218">
        <v>0</v>
      </c>
      <c r="L17" s="218">
        <v>100</v>
      </c>
      <c r="M17" s="218">
        <v>360</v>
      </c>
      <c r="N17" s="218">
        <v>550</v>
      </c>
      <c r="O17" s="218">
        <v>650</v>
      </c>
      <c r="P17" s="218">
        <v>699</v>
      </c>
      <c r="Q17" s="218">
        <v>100</v>
      </c>
      <c r="R17" s="218">
        <v>530</v>
      </c>
      <c r="S17" s="196"/>
      <c r="T17" s="196"/>
      <c r="U17" s="194"/>
    </row>
    <row r="18" spans="1:21" x14ac:dyDescent="0.25">
      <c r="A18" t="s">
        <v>330</v>
      </c>
      <c r="B18" s="189">
        <v>250</v>
      </c>
      <c r="C18" s="189">
        <v>150</v>
      </c>
      <c r="D18" s="189">
        <v>0</v>
      </c>
      <c r="E18" s="189">
        <v>0</v>
      </c>
      <c r="F18" s="189">
        <v>0</v>
      </c>
      <c r="G18" s="189">
        <v>0</v>
      </c>
      <c r="H18" s="189">
        <v>130</v>
      </c>
      <c r="I18" s="189">
        <v>0</v>
      </c>
      <c r="J18" s="189"/>
      <c r="K18" s="189">
        <v>0</v>
      </c>
      <c r="L18" s="189">
        <v>100</v>
      </c>
      <c r="M18" s="189">
        <v>250</v>
      </c>
      <c r="N18" s="189">
        <v>250</v>
      </c>
      <c r="O18" s="189">
        <v>250</v>
      </c>
      <c r="P18" s="189">
        <v>250</v>
      </c>
      <c r="Q18" s="189">
        <v>120</v>
      </c>
      <c r="R18" s="189">
        <v>250</v>
      </c>
      <c r="S18" s="196"/>
      <c r="T18" s="196"/>
      <c r="U18" s="194"/>
    </row>
    <row r="19" spans="1:21" x14ac:dyDescent="0.25">
      <c r="A19" t="s">
        <v>324</v>
      </c>
      <c r="B19" s="189">
        <v>909</v>
      </c>
      <c r="C19" s="189">
        <v>809</v>
      </c>
      <c r="D19" s="189">
        <v>504</v>
      </c>
      <c r="E19" s="189">
        <v>334</v>
      </c>
      <c r="F19" s="189">
        <v>234</v>
      </c>
      <c r="G19" s="189">
        <v>134.5</v>
      </c>
      <c r="H19" s="189">
        <v>809</v>
      </c>
      <c r="I19" s="189">
        <v>357</v>
      </c>
      <c r="J19" s="189"/>
      <c r="K19" s="189">
        <v>0</v>
      </c>
      <c r="L19" s="189">
        <v>100</v>
      </c>
      <c r="M19" s="189">
        <v>405</v>
      </c>
      <c r="N19" s="189">
        <v>575</v>
      </c>
      <c r="O19" s="189">
        <v>675</v>
      </c>
      <c r="P19" s="189">
        <v>774.5</v>
      </c>
      <c r="Q19" s="189">
        <v>100</v>
      </c>
      <c r="R19" s="189">
        <v>552</v>
      </c>
      <c r="S19" s="196"/>
      <c r="T19" s="196"/>
      <c r="U19" s="194"/>
    </row>
    <row r="20" spans="1:21" x14ac:dyDescent="0.25">
      <c r="A20" t="s">
        <v>581</v>
      </c>
      <c r="B20" s="189">
        <v>1099</v>
      </c>
      <c r="C20" s="189">
        <v>999</v>
      </c>
      <c r="D20" s="189">
        <v>739</v>
      </c>
      <c r="E20" s="189">
        <v>599</v>
      </c>
      <c r="F20" s="189">
        <v>499</v>
      </c>
      <c r="G20" s="189">
        <v>399</v>
      </c>
      <c r="H20" s="189">
        <v>999</v>
      </c>
      <c r="I20" s="189">
        <v>559</v>
      </c>
      <c r="J20" s="189"/>
      <c r="K20" s="189">
        <v>0</v>
      </c>
      <c r="L20" s="189">
        <v>100</v>
      </c>
      <c r="M20" s="189">
        <v>360</v>
      </c>
      <c r="N20" s="189">
        <v>500</v>
      </c>
      <c r="O20" s="189">
        <v>600</v>
      </c>
      <c r="P20" s="189">
        <v>700</v>
      </c>
      <c r="Q20" s="189">
        <v>100</v>
      </c>
      <c r="R20" s="189">
        <v>540</v>
      </c>
      <c r="S20" s="196"/>
      <c r="T20" s="196"/>
      <c r="U20" s="194"/>
    </row>
    <row r="21" spans="1:21" x14ac:dyDescent="0.25">
      <c r="A21" t="s">
        <v>325</v>
      </c>
      <c r="B21" s="189">
        <v>350</v>
      </c>
      <c r="C21" s="189">
        <v>250</v>
      </c>
      <c r="D21" s="189">
        <v>0</v>
      </c>
      <c r="E21" s="189">
        <v>0</v>
      </c>
      <c r="F21" s="189">
        <v>0</v>
      </c>
      <c r="G21" s="189">
        <v>0</v>
      </c>
      <c r="H21" s="189">
        <v>250</v>
      </c>
      <c r="I21" s="189">
        <v>49</v>
      </c>
      <c r="J21" s="189"/>
      <c r="K21" s="189">
        <v>0</v>
      </c>
      <c r="L21" s="189">
        <v>100</v>
      </c>
      <c r="M21" s="189">
        <v>350</v>
      </c>
      <c r="N21" s="189">
        <v>350</v>
      </c>
      <c r="O21" s="189">
        <v>350</v>
      </c>
      <c r="P21" s="189">
        <v>350</v>
      </c>
      <c r="Q21" s="189">
        <v>100</v>
      </c>
      <c r="R21" s="189">
        <v>301</v>
      </c>
      <c r="S21" s="196"/>
      <c r="T21" s="196"/>
      <c r="U21" s="194"/>
    </row>
    <row r="22" spans="1:21" x14ac:dyDescent="0.25">
      <c r="A22" t="s">
        <v>341</v>
      </c>
      <c r="B22" s="189">
        <v>1249</v>
      </c>
      <c r="C22" s="189">
        <v>1199</v>
      </c>
      <c r="D22" s="189">
        <v>939</v>
      </c>
      <c r="E22" s="189">
        <v>729</v>
      </c>
      <c r="F22" s="189">
        <v>629</v>
      </c>
      <c r="G22" s="189">
        <v>529</v>
      </c>
      <c r="H22" s="189">
        <v>1199</v>
      </c>
      <c r="I22" s="189">
        <v>679</v>
      </c>
      <c r="J22" s="189"/>
      <c r="K22" s="189">
        <v>0</v>
      </c>
      <c r="L22" s="189">
        <v>50</v>
      </c>
      <c r="M22" s="189">
        <v>310</v>
      </c>
      <c r="N22" s="189">
        <v>520</v>
      </c>
      <c r="O22" s="189">
        <v>620</v>
      </c>
      <c r="P22" s="189">
        <v>720</v>
      </c>
      <c r="Q22" s="189">
        <v>50</v>
      </c>
      <c r="R22" s="189">
        <v>570</v>
      </c>
      <c r="S22" s="196"/>
      <c r="T22" s="196"/>
      <c r="U22" s="194"/>
    </row>
    <row r="23" spans="1:21" ht="18" x14ac:dyDescent="0.25">
      <c r="A23" s="194" t="s">
        <v>357</v>
      </c>
      <c r="B23" s="218">
        <v>0</v>
      </c>
      <c r="C23" s="218">
        <v>0</v>
      </c>
      <c r="D23" s="218">
        <v>0</v>
      </c>
      <c r="E23" s="218">
        <v>0</v>
      </c>
      <c r="F23" s="218"/>
      <c r="G23" s="218">
        <v>0</v>
      </c>
      <c r="H23" s="218">
        <v>0</v>
      </c>
      <c r="I23" s="218">
        <v>0</v>
      </c>
      <c r="J23" s="192"/>
      <c r="K23" s="218">
        <v>0</v>
      </c>
      <c r="L23" s="218">
        <v>97.421052631578945</v>
      </c>
      <c r="M23" s="218">
        <v>353.42105263157896</v>
      </c>
      <c r="N23" s="218">
        <v>476.15350877192981</v>
      </c>
      <c r="O23" s="218">
        <v>538.87280701754378</v>
      </c>
      <c r="P23" s="218">
        <v>596.02631578947364</v>
      </c>
      <c r="Q23" s="218">
        <v>102.94736842105263</v>
      </c>
      <c r="R23" s="218">
        <v>480.85526315789474</v>
      </c>
      <c r="S23" s="196"/>
      <c r="T23" s="196"/>
      <c r="U23" s="194"/>
    </row>
    <row r="24" spans="1:21" ht="18" x14ac:dyDescent="0.25">
      <c r="A24" s="194"/>
      <c r="B24" s="194"/>
      <c r="C24" s="191"/>
      <c r="D24" s="191"/>
      <c r="E24" s="191"/>
      <c r="F24" s="191"/>
      <c r="G24" s="191"/>
      <c r="H24" s="191"/>
      <c r="I24" s="191"/>
      <c r="J24" s="191"/>
      <c r="K24" s="191"/>
      <c r="L24" s="196"/>
      <c r="M24" s="196"/>
      <c r="N24" s="196"/>
      <c r="O24" s="196"/>
      <c r="P24" s="196"/>
      <c r="Q24" s="196"/>
      <c r="R24" s="196"/>
      <c r="S24" s="196"/>
      <c r="T24" s="196"/>
      <c r="U24" s="194"/>
    </row>
    <row r="25" spans="1:21" ht="18" x14ac:dyDescent="0.25">
      <c r="A25" s="194"/>
      <c r="B25" s="194"/>
      <c r="C25" s="191"/>
      <c r="D25" s="191"/>
      <c r="E25" s="191"/>
      <c r="F25" s="191"/>
      <c r="G25" s="191"/>
      <c r="H25" s="191"/>
      <c r="I25" s="191"/>
      <c r="J25" s="191"/>
      <c r="K25" s="191"/>
      <c r="L25" s="196"/>
      <c r="M25" s="196"/>
      <c r="N25" s="196"/>
      <c r="O25" s="196"/>
      <c r="P25" s="196"/>
      <c r="Q25" s="196"/>
      <c r="R25" s="196"/>
      <c r="S25" s="196"/>
      <c r="T25" s="196"/>
      <c r="U25" s="194"/>
    </row>
    <row r="26" spans="1:21" ht="18" x14ac:dyDescent="0.25">
      <c r="A26" s="194"/>
      <c r="B26" s="194"/>
      <c r="C26" s="191"/>
      <c r="D26" s="191"/>
      <c r="E26" s="191"/>
      <c r="F26" s="191"/>
      <c r="G26" s="191"/>
      <c r="H26" s="191"/>
      <c r="I26" s="191"/>
      <c r="J26" s="191"/>
      <c r="K26" s="191"/>
      <c r="L26" s="196"/>
      <c r="M26" s="196"/>
      <c r="N26" s="196"/>
      <c r="O26" s="196"/>
      <c r="P26" s="196"/>
      <c r="Q26" s="196"/>
      <c r="R26" s="196"/>
      <c r="S26" s="196"/>
      <c r="T26" s="196"/>
      <c r="U26" s="194"/>
    </row>
    <row r="27" spans="1:21" ht="18" x14ac:dyDescent="0.25">
      <c r="A27" s="194"/>
      <c r="B27" s="194"/>
      <c r="C27" s="191"/>
      <c r="D27" s="191"/>
      <c r="E27" s="191"/>
      <c r="F27" s="191"/>
      <c r="G27" s="191"/>
      <c r="H27" s="191"/>
      <c r="I27" s="191"/>
      <c r="J27" s="191"/>
      <c r="K27" s="191"/>
      <c r="L27" s="196"/>
      <c r="M27" s="196"/>
      <c r="N27" s="196"/>
      <c r="O27" s="196"/>
      <c r="P27" s="196"/>
      <c r="Q27" s="196"/>
      <c r="R27" s="196"/>
      <c r="S27" s="196"/>
      <c r="T27" s="196"/>
      <c r="U27" s="194"/>
    </row>
    <row r="28" spans="1:21" x14ac:dyDescent="0.25">
      <c r="S28" s="196"/>
      <c r="T28" s="196"/>
      <c r="U28" s="194"/>
    </row>
    <row r="29" spans="1:21" ht="18" x14ac:dyDescent="0.25">
      <c r="A29" s="194"/>
      <c r="B29" s="194"/>
      <c r="C29" s="190"/>
      <c r="D29" s="190"/>
      <c r="E29" s="190"/>
      <c r="F29" s="190"/>
      <c r="G29" s="191"/>
      <c r="H29" s="190"/>
      <c r="I29" s="190"/>
      <c r="J29" s="190"/>
      <c r="K29" s="190"/>
      <c r="L29" s="196"/>
      <c r="M29" s="196"/>
      <c r="N29" s="196"/>
      <c r="O29" s="196"/>
      <c r="P29" s="196"/>
      <c r="Q29" s="196"/>
      <c r="R29" s="196"/>
      <c r="S29" s="196"/>
      <c r="T29" s="196"/>
      <c r="U29" s="194"/>
    </row>
    <row r="30" spans="1:21" ht="18" x14ac:dyDescent="0.25">
      <c r="A30" s="194"/>
      <c r="B30" s="194"/>
      <c r="C30" s="190"/>
      <c r="D30" s="190"/>
      <c r="E30" s="190"/>
      <c r="F30" s="190"/>
      <c r="G30" s="191"/>
      <c r="H30" s="190"/>
      <c r="I30" s="190"/>
      <c r="J30" s="190"/>
      <c r="K30" s="190"/>
      <c r="L30" s="196"/>
      <c r="M30" s="196"/>
      <c r="N30" s="196"/>
      <c r="O30" s="196"/>
      <c r="P30" s="196"/>
      <c r="Q30" s="196"/>
      <c r="R30" s="196"/>
      <c r="S30" s="196"/>
      <c r="T30" s="196"/>
      <c r="U30" s="194"/>
    </row>
    <row r="31" spans="1:21" ht="18" x14ac:dyDescent="0.25">
      <c r="A31" s="194"/>
      <c r="B31" s="194"/>
      <c r="C31" s="190"/>
      <c r="D31" s="190"/>
      <c r="E31" s="190"/>
      <c r="F31" s="190"/>
      <c r="G31" s="191"/>
      <c r="H31" s="190"/>
      <c r="I31" s="190"/>
      <c r="J31" s="190"/>
      <c r="K31" s="190"/>
      <c r="L31" s="196"/>
      <c r="M31" s="196"/>
      <c r="N31" s="196"/>
      <c r="O31" s="196"/>
      <c r="P31" s="196"/>
      <c r="Q31" s="196"/>
      <c r="R31" s="196"/>
      <c r="S31" s="196"/>
      <c r="T31" s="196"/>
      <c r="U31" s="194"/>
    </row>
    <row r="32" spans="1:21" ht="18" x14ac:dyDescent="0.25">
      <c r="A32" s="194"/>
      <c r="B32" s="194"/>
      <c r="C32" s="190"/>
      <c r="D32" s="190"/>
      <c r="E32" s="190"/>
      <c r="F32" s="190"/>
      <c r="G32" s="191"/>
      <c r="H32" s="190"/>
      <c r="I32" s="190"/>
      <c r="J32" s="190"/>
      <c r="K32" s="190"/>
      <c r="L32" s="196"/>
      <c r="M32" s="196"/>
      <c r="N32" s="196"/>
      <c r="O32" s="196"/>
      <c r="P32" s="196"/>
      <c r="Q32" s="196"/>
      <c r="R32" s="196"/>
      <c r="S32" s="196"/>
      <c r="T32" s="196"/>
      <c r="U32" s="194"/>
    </row>
    <row r="33" spans="1:21" ht="18" x14ac:dyDescent="0.25">
      <c r="A33" s="194"/>
      <c r="B33" s="194"/>
      <c r="C33" s="190"/>
      <c r="D33" s="190"/>
      <c r="E33" s="190"/>
      <c r="F33" s="190"/>
      <c r="G33" s="191"/>
      <c r="H33" s="190"/>
      <c r="I33" s="190"/>
      <c r="J33" s="190"/>
      <c r="K33" s="190"/>
      <c r="L33" s="196"/>
      <c r="M33" s="196"/>
      <c r="N33" s="196"/>
      <c r="O33" s="196"/>
      <c r="P33" s="196"/>
      <c r="Q33" s="196"/>
      <c r="R33" s="196"/>
      <c r="S33" s="196"/>
      <c r="T33" s="196"/>
      <c r="U33" s="194"/>
    </row>
    <row r="34" spans="1:21" ht="18" x14ac:dyDescent="0.25">
      <c r="A34" s="194"/>
      <c r="B34" s="194"/>
      <c r="C34" s="190"/>
      <c r="D34" s="190"/>
      <c r="E34" s="190"/>
      <c r="F34" s="190"/>
      <c r="G34" s="191"/>
      <c r="H34" s="190"/>
      <c r="I34" s="190"/>
      <c r="J34" s="190"/>
      <c r="K34" s="190"/>
      <c r="L34" s="196"/>
      <c r="M34" s="196"/>
      <c r="N34" s="196"/>
      <c r="O34" s="196"/>
      <c r="P34" s="196"/>
      <c r="Q34" s="196"/>
      <c r="R34" s="196"/>
      <c r="S34" s="196"/>
      <c r="T34" s="196"/>
      <c r="U34" s="194"/>
    </row>
    <row r="35" spans="1:21" ht="18" x14ac:dyDescent="0.25">
      <c r="A35" s="194"/>
      <c r="B35" s="194"/>
      <c r="C35" s="190"/>
      <c r="D35" s="190"/>
      <c r="E35" s="190"/>
      <c r="F35" s="190"/>
      <c r="G35" s="191"/>
      <c r="H35" s="190"/>
      <c r="I35" s="190"/>
      <c r="J35" s="190"/>
      <c r="K35" s="190"/>
      <c r="L35" s="196"/>
      <c r="M35" s="196"/>
      <c r="N35" s="196"/>
      <c r="O35" s="196"/>
      <c r="P35" s="196"/>
      <c r="Q35" s="196"/>
      <c r="R35" s="196"/>
      <c r="S35" s="196"/>
      <c r="T35" s="196"/>
      <c r="U35" s="194"/>
    </row>
    <row r="36" spans="1:21" ht="18" x14ac:dyDescent="0.25">
      <c r="A36" s="194"/>
      <c r="B36" s="194"/>
      <c r="C36" s="190"/>
      <c r="D36" s="190"/>
      <c r="E36" s="190"/>
      <c r="F36" s="190"/>
      <c r="G36" s="191"/>
      <c r="H36" s="190"/>
      <c r="I36" s="190"/>
      <c r="J36" s="190"/>
      <c r="K36" s="190"/>
      <c r="L36" s="196"/>
      <c r="M36" s="196"/>
      <c r="N36" s="196"/>
      <c r="O36" s="196"/>
      <c r="P36" s="196"/>
      <c r="Q36" s="196"/>
      <c r="R36" s="196"/>
      <c r="S36" s="196"/>
      <c r="T36" s="196"/>
      <c r="U36" s="194"/>
    </row>
    <row r="37" spans="1:21" ht="18" x14ac:dyDescent="0.25">
      <c r="A37" s="194"/>
      <c r="B37" s="194"/>
      <c r="C37" s="190"/>
      <c r="D37" s="190"/>
      <c r="E37" s="190"/>
      <c r="F37" s="190"/>
      <c r="G37" s="191"/>
      <c r="H37" s="190"/>
      <c r="I37" s="190"/>
      <c r="J37" s="190"/>
      <c r="K37" s="190"/>
      <c r="L37" s="196"/>
      <c r="M37" s="196"/>
      <c r="N37" s="196"/>
      <c r="O37" s="196"/>
      <c r="P37" s="196"/>
      <c r="Q37" s="196"/>
      <c r="R37" s="196"/>
      <c r="S37" s="196"/>
      <c r="T37" s="196"/>
      <c r="U37" s="194"/>
    </row>
    <row r="38" spans="1:21" ht="18" x14ac:dyDescent="0.25">
      <c r="A38" s="194"/>
      <c r="B38" s="194"/>
      <c r="C38" s="190"/>
      <c r="D38" s="190"/>
      <c r="E38" s="190"/>
      <c r="F38" s="190"/>
      <c r="G38" s="191"/>
      <c r="H38" s="190"/>
      <c r="I38" s="190"/>
      <c r="J38" s="190"/>
      <c r="K38" s="190"/>
      <c r="L38" s="196"/>
      <c r="M38" s="196"/>
      <c r="N38" s="196"/>
      <c r="O38" s="196"/>
      <c r="P38" s="196"/>
      <c r="Q38" s="196"/>
      <c r="R38" s="196"/>
      <c r="S38" s="196"/>
      <c r="T38" s="196"/>
      <c r="U38" s="194"/>
    </row>
    <row r="39" spans="1:21" ht="18" x14ac:dyDescent="0.25">
      <c r="A39" s="194"/>
      <c r="B39" s="194"/>
      <c r="C39" s="190"/>
      <c r="D39" s="190"/>
      <c r="E39" s="190"/>
      <c r="F39" s="190"/>
      <c r="G39" s="191"/>
      <c r="H39" s="190"/>
      <c r="I39" s="190"/>
      <c r="J39" s="190"/>
      <c r="K39" s="190"/>
      <c r="L39" s="196"/>
      <c r="M39" s="196"/>
      <c r="N39" s="196"/>
      <c r="O39" s="196"/>
      <c r="P39" s="196"/>
      <c r="Q39" s="196"/>
      <c r="R39" s="196"/>
      <c r="S39" s="196"/>
      <c r="T39" s="196"/>
      <c r="U39" s="194"/>
    </row>
    <row r="40" spans="1:21" ht="18" x14ac:dyDescent="0.25">
      <c r="A40" s="194"/>
      <c r="B40" s="194"/>
      <c r="C40" s="190"/>
      <c r="D40" s="190"/>
      <c r="E40" s="190"/>
      <c r="F40" s="190"/>
      <c r="G40" s="191"/>
      <c r="H40" s="190"/>
      <c r="I40" s="190"/>
      <c r="J40" s="190"/>
      <c r="K40" s="190"/>
      <c r="L40" s="196"/>
      <c r="M40" s="196"/>
      <c r="N40" s="196"/>
      <c r="O40" s="196"/>
      <c r="P40" s="196"/>
      <c r="Q40" s="196"/>
      <c r="R40" s="196"/>
      <c r="S40" s="196"/>
      <c r="T40" s="196"/>
      <c r="U40" s="194"/>
    </row>
    <row r="41" spans="1:21" ht="18" x14ac:dyDescent="0.25">
      <c r="A41" s="194"/>
      <c r="B41" s="194"/>
      <c r="C41" s="190"/>
      <c r="D41" s="190"/>
      <c r="E41" s="190"/>
      <c r="F41" s="190"/>
      <c r="G41" s="191"/>
      <c r="H41" s="190"/>
      <c r="I41" s="190"/>
      <c r="J41" s="190"/>
      <c r="K41" s="190"/>
      <c r="L41" s="196"/>
      <c r="M41" s="196"/>
      <c r="N41" s="196"/>
      <c r="O41" s="196"/>
      <c r="P41" s="196"/>
      <c r="Q41" s="196"/>
      <c r="R41" s="196"/>
      <c r="S41" s="196"/>
      <c r="T41" s="196"/>
      <c r="U41" s="194"/>
    </row>
    <row r="42" spans="1:21" ht="18" x14ac:dyDescent="0.25">
      <c r="A42" s="194"/>
      <c r="B42" s="194"/>
      <c r="C42" s="190"/>
      <c r="D42" s="190"/>
      <c r="E42" s="190"/>
      <c r="F42" s="190"/>
      <c r="G42" s="191"/>
      <c r="H42" s="190"/>
      <c r="I42" s="190"/>
      <c r="J42" s="190"/>
      <c r="K42" s="190"/>
      <c r="L42" s="196"/>
      <c r="M42" s="196"/>
      <c r="N42" s="196"/>
      <c r="O42" s="196"/>
      <c r="P42" s="196"/>
      <c r="Q42" s="196"/>
      <c r="R42" s="196"/>
      <c r="S42" s="196"/>
      <c r="T42" s="196"/>
      <c r="U42" s="194"/>
    </row>
    <row r="43" spans="1:21" ht="18" x14ac:dyDescent="0.25">
      <c r="A43" s="194"/>
      <c r="B43" s="194"/>
      <c r="C43" s="193"/>
      <c r="D43" s="193"/>
      <c r="E43" s="193"/>
      <c r="F43" s="193"/>
      <c r="G43" s="191"/>
      <c r="H43" s="193"/>
      <c r="I43" s="193"/>
      <c r="J43" s="193"/>
      <c r="K43" s="193"/>
      <c r="L43" s="196"/>
      <c r="M43" s="196"/>
      <c r="N43" s="196"/>
      <c r="O43" s="196"/>
      <c r="P43" s="196"/>
      <c r="Q43" s="196"/>
      <c r="R43" s="196"/>
      <c r="S43" s="196"/>
      <c r="T43" s="196"/>
      <c r="U43" s="194"/>
    </row>
    <row r="44" spans="1:21" ht="18" x14ac:dyDescent="0.25">
      <c r="A44" s="194"/>
      <c r="B44" s="194"/>
      <c r="C44" s="191"/>
      <c r="D44" s="191"/>
      <c r="E44" s="191"/>
      <c r="F44" s="191"/>
      <c r="G44" s="191"/>
      <c r="H44" s="191"/>
      <c r="I44" s="191"/>
      <c r="J44" s="191"/>
      <c r="K44" s="191"/>
      <c r="L44" s="196"/>
      <c r="M44" s="196"/>
      <c r="N44" s="196"/>
      <c r="O44" s="196"/>
      <c r="P44" s="196"/>
      <c r="Q44" s="196"/>
      <c r="R44" s="196"/>
      <c r="S44" s="196"/>
      <c r="T44" s="196"/>
      <c r="U44" s="194"/>
    </row>
    <row r="45" spans="1:21" ht="18" x14ac:dyDescent="0.25">
      <c r="A45" s="194"/>
      <c r="B45" s="194"/>
      <c r="C45" s="191"/>
      <c r="D45" s="191"/>
      <c r="E45" s="191"/>
      <c r="F45" s="191"/>
      <c r="G45" s="191"/>
      <c r="H45" s="191"/>
      <c r="I45" s="191"/>
      <c r="J45" s="191"/>
      <c r="K45" s="191"/>
      <c r="L45" s="196"/>
      <c r="M45" s="196"/>
      <c r="N45" s="196"/>
      <c r="O45" s="196"/>
      <c r="P45" s="196"/>
      <c r="Q45" s="196"/>
      <c r="R45" s="196"/>
      <c r="S45" s="196"/>
      <c r="T45" s="196"/>
      <c r="U45" s="194"/>
    </row>
    <row r="46" spans="1:21" ht="18" x14ac:dyDescent="0.25">
      <c r="A46" s="194"/>
      <c r="B46" s="194"/>
      <c r="C46" s="190"/>
      <c r="D46" s="190"/>
      <c r="E46" s="190"/>
      <c r="F46" s="190"/>
      <c r="G46" s="191"/>
      <c r="H46" s="190"/>
      <c r="I46" s="190"/>
      <c r="J46" s="190"/>
      <c r="K46" s="190"/>
      <c r="L46" s="196"/>
      <c r="M46" s="196"/>
      <c r="N46" s="196"/>
      <c r="O46" s="196"/>
      <c r="P46" s="196"/>
      <c r="Q46" s="196"/>
      <c r="R46" s="196"/>
      <c r="S46" s="196"/>
      <c r="T46" s="196"/>
      <c r="U46" s="194"/>
    </row>
    <row r="47" spans="1:21" ht="18" x14ac:dyDescent="0.25">
      <c r="A47" s="194"/>
      <c r="B47" s="194"/>
      <c r="C47" s="190"/>
      <c r="D47" s="190"/>
      <c r="E47" s="190"/>
      <c r="F47" s="190"/>
      <c r="G47" s="191"/>
      <c r="H47" s="190"/>
      <c r="I47" s="190"/>
      <c r="J47" s="190"/>
      <c r="K47" s="190"/>
      <c r="L47" s="196"/>
      <c r="M47" s="196"/>
      <c r="N47" s="196"/>
      <c r="O47" s="196"/>
      <c r="P47" s="196"/>
      <c r="Q47" s="196"/>
      <c r="R47" s="196"/>
      <c r="S47" s="196"/>
      <c r="T47" s="196"/>
      <c r="U47" s="194"/>
    </row>
    <row r="48" spans="1:21" ht="18" x14ac:dyDescent="0.25">
      <c r="A48" s="194"/>
      <c r="B48" s="194"/>
      <c r="C48" s="190"/>
      <c r="D48" s="190"/>
      <c r="E48" s="190"/>
      <c r="F48" s="190"/>
      <c r="G48" s="191"/>
      <c r="H48" s="190"/>
      <c r="I48" s="190"/>
      <c r="J48" s="190"/>
      <c r="K48" s="190"/>
      <c r="L48" s="196"/>
      <c r="M48" s="196"/>
      <c r="N48" s="196"/>
      <c r="O48" s="196"/>
      <c r="P48" s="196"/>
      <c r="Q48" s="196"/>
      <c r="R48" s="196"/>
      <c r="S48" s="196"/>
      <c r="T48" s="196"/>
      <c r="U48" s="194"/>
    </row>
    <row r="49" spans="1:21" ht="18" x14ac:dyDescent="0.25">
      <c r="A49" s="194"/>
      <c r="B49" s="194"/>
      <c r="C49" s="190"/>
      <c r="D49" s="190"/>
      <c r="E49" s="190"/>
      <c r="F49" s="190"/>
      <c r="G49" s="191"/>
      <c r="H49" s="190"/>
      <c r="I49" s="190"/>
      <c r="J49" s="190"/>
      <c r="K49" s="190"/>
      <c r="L49" s="196"/>
      <c r="M49" s="196"/>
      <c r="N49" s="196"/>
      <c r="O49" s="196"/>
      <c r="P49" s="196"/>
      <c r="Q49" s="196"/>
      <c r="R49" s="196"/>
      <c r="S49" s="196"/>
      <c r="T49" s="196"/>
      <c r="U49" s="194"/>
    </row>
    <row r="50" spans="1:21" ht="18" x14ac:dyDescent="0.25">
      <c r="A50" s="194"/>
      <c r="B50" s="194"/>
      <c r="C50" s="190"/>
      <c r="D50" s="190"/>
      <c r="E50" s="190"/>
      <c r="F50" s="190"/>
      <c r="G50" s="191"/>
      <c r="H50" s="190"/>
      <c r="I50" s="190"/>
      <c r="J50" s="190"/>
      <c r="K50" s="190"/>
      <c r="L50" s="196"/>
      <c r="M50" s="196"/>
      <c r="N50" s="196"/>
      <c r="O50" s="196"/>
      <c r="P50" s="196"/>
      <c r="Q50" s="196"/>
      <c r="R50" s="196"/>
      <c r="S50" s="196"/>
      <c r="T50" s="196"/>
      <c r="U50" s="194"/>
    </row>
    <row r="51" spans="1:21" ht="18" x14ac:dyDescent="0.25">
      <c r="A51" s="194"/>
      <c r="B51" s="194"/>
      <c r="C51" s="190"/>
      <c r="D51" s="190"/>
      <c r="E51" s="190"/>
      <c r="F51" s="190"/>
      <c r="G51" s="191"/>
      <c r="H51" s="190"/>
      <c r="I51" s="190"/>
      <c r="J51" s="190"/>
      <c r="K51" s="190"/>
      <c r="L51" s="196"/>
      <c r="M51" s="196"/>
      <c r="N51" s="196"/>
      <c r="O51" s="196"/>
      <c r="P51" s="196"/>
      <c r="Q51" s="196"/>
      <c r="R51" s="196"/>
      <c r="S51" s="196"/>
      <c r="T51" s="196"/>
      <c r="U51" s="194"/>
    </row>
    <row r="52" spans="1:21" ht="18" x14ac:dyDescent="0.25">
      <c r="A52" s="194"/>
      <c r="B52" s="194"/>
      <c r="C52" s="190"/>
      <c r="D52" s="190"/>
      <c r="E52" s="190"/>
      <c r="F52" s="190"/>
      <c r="G52" s="191"/>
      <c r="H52" s="190"/>
      <c r="I52" s="190"/>
      <c r="J52" s="190"/>
      <c r="K52" s="190"/>
      <c r="L52" s="196"/>
      <c r="M52" s="196"/>
      <c r="N52" s="196"/>
      <c r="O52" s="196"/>
      <c r="P52" s="196"/>
      <c r="Q52" s="196"/>
      <c r="R52" s="196"/>
      <c r="S52" s="196"/>
      <c r="T52" s="196"/>
      <c r="U52" s="194"/>
    </row>
    <row r="53" spans="1:21" ht="18" x14ac:dyDescent="0.25">
      <c r="A53" s="194"/>
      <c r="B53" s="194"/>
      <c r="C53" s="190"/>
      <c r="D53" s="190"/>
      <c r="E53" s="190"/>
      <c r="F53" s="190"/>
      <c r="G53" s="191"/>
      <c r="H53" s="190"/>
      <c r="I53" s="190"/>
      <c r="J53" s="190"/>
      <c r="K53" s="190"/>
      <c r="L53" s="196"/>
      <c r="M53" s="196"/>
      <c r="N53" s="196"/>
      <c r="O53" s="196"/>
      <c r="P53" s="196"/>
      <c r="Q53" s="196"/>
      <c r="R53" s="196"/>
      <c r="S53" s="196"/>
      <c r="T53" s="196"/>
      <c r="U53" s="194"/>
    </row>
    <row r="54" spans="1:21" ht="18" x14ac:dyDescent="0.25">
      <c r="A54" s="194"/>
      <c r="B54" s="194"/>
      <c r="C54" s="190"/>
      <c r="D54" s="190"/>
      <c r="E54" s="190"/>
      <c r="F54" s="190"/>
      <c r="G54" s="191"/>
      <c r="H54" s="190"/>
      <c r="I54" s="190"/>
      <c r="J54" s="190"/>
      <c r="K54" s="190"/>
      <c r="L54" s="196"/>
      <c r="M54" s="196"/>
      <c r="N54" s="196"/>
      <c r="O54" s="196"/>
      <c r="P54" s="196"/>
      <c r="Q54" s="196"/>
      <c r="R54" s="196"/>
      <c r="S54" s="196"/>
      <c r="T54" s="196"/>
      <c r="U54" s="194"/>
    </row>
    <row r="55" spans="1:21" ht="18" x14ac:dyDescent="0.25">
      <c r="A55" s="194"/>
      <c r="B55" s="194"/>
      <c r="C55" s="190"/>
      <c r="D55" s="190"/>
      <c r="E55" s="190"/>
      <c r="F55" s="190"/>
      <c r="G55" s="191"/>
      <c r="H55" s="190"/>
      <c r="I55" s="190"/>
      <c r="J55" s="190"/>
      <c r="K55" s="190"/>
      <c r="L55" s="196"/>
      <c r="M55" s="196"/>
      <c r="N55" s="196"/>
      <c r="O55" s="196"/>
      <c r="P55" s="196"/>
      <c r="Q55" s="196"/>
      <c r="R55" s="196"/>
      <c r="S55" s="196"/>
      <c r="T55" s="196"/>
      <c r="U55" s="194"/>
    </row>
    <row r="56" spans="1:21" ht="18" x14ac:dyDescent="0.25">
      <c r="A56" s="194"/>
      <c r="B56" s="194"/>
      <c r="C56" s="190"/>
      <c r="D56" s="190"/>
      <c r="E56" s="190"/>
      <c r="F56" s="190"/>
      <c r="G56" s="191"/>
      <c r="H56" s="190"/>
      <c r="I56" s="190"/>
      <c r="J56" s="190"/>
      <c r="K56" s="190"/>
      <c r="L56" s="196"/>
      <c r="M56" s="196"/>
      <c r="N56" s="196"/>
      <c r="O56" s="196"/>
      <c r="P56" s="196"/>
      <c r="Q56" s="196"/>
      <c r="R56" s="196"/>
      <c r="S56" s="196"/>
      <c r="T56" s="196"/>
      <c r="U56" s="194"/>
    </row>
    <row r="57" spans="1:21" ht="18" x14ac:dyDescent="0.25">
      <c r="A57" s="194"/>
      <c r="B57" s="194"/>
      <c r="C57" s="190"/>
      <c r="D57" s="190"/>
      <c r="E57" s="190"/>
      <c r="F57" s="190"/>
      <c r="G57" s="191"/>
      <c r="H57" s="190"/>
      <c r="I57" s="190"/>
      <c r="J57" s="190"/>
      <c r="K57" s="190"/>
      <c r="L57" s="196"/>
      <c r="M57" s="196"/>
      <c r="N57" s="196"/>
      <c r="O57" s="196"/>
      <c r="P57" s="196"/>
      <c r="Q57" s="196"/>
      <c r="R57" s="196"/>
      <c r="S57" s="196"/>
      <c r="T57" s="196"/>
      <c r="U57" s="194"/>
    </row>
    <row r="58" spans="1:21" ht="18" x14ac:dyDescent="0.25">
      <c r="A58" s="194"/>
      <c r="B58" s="194"/>
      <c r="C58" s="190"/>
      <c r="D58" s="190"/>
      <c r="E58" s="190"/>
      <c r="F58" s="190"/>
      <c r="G58" s="191"/>
      <c r="H58" s="190"/>
      <c r="I58" s="190"/>
      <c r="J58" s="190"/>
      <c r="K58" s="190"/>
      <c r="L58" s="196"/>
      <c r="M58" s="196"/>
      <c r="N58" s="196"/>
      <c r="O58" s="196"/>
      <c r="P58" s="196"/>
      <c r="Q58" s="196"/>
      <c r="R58" s="196"/>
      <c r="S58" s="196"/>
      <c r="T58" s="196"/>
      <c r="U58" s="194"/>
    </row>
    <row r="59" spans="1:21" ht="18" x14ac:dyDescent="0.25">
      <c r="A59" s="194"/>
      <c r="B59" s="194"/>
      <c r="C59" s="190"/>
      <c r="D59" s="190"/>
      <c r="E59" s="190"/>
      <c r="F59" s="190"/>
      <c r="G59" s="191"/>
      <c r="H59" s="190"/>
      <c r="I59" s="190"/>
      <c r="J59" s="190"/>
      <c r="K59" s="190"/>
      <c r="L59" s="196"/>
      <c r="M59" s="196"/>
      <c r="N59" s="196"/>
      <c r="O59" s="196"/>
      <c r="P59" s="196"/>
      <c r="Q59" s="196"/>
      <c r="R59" s="196"/>
      <c r="S59" s="196"/>
      <c r="T59" s="196"/>
      <c r="U59" s="194"/>
    </row>
    <row r="60" spans="1:21" ht="18" x14ac:dyDescent="0.25">
      <c r="A60" s="194"/>
      <c r="B60" s="194"/>
      <c r="C60" s="190"/>
      <c r="D60" s="190"/>
      <c r="E60" s="190"/>
      <c r="F60" s="190"/>
      <c r="G60" s="191"/>
      <c r="H60" s="190"/>
      <c r="I60" s="190"/>
      <c r="J60" s="190"/>
      <c r="K60" s="190"/>
      <c r="L60" s="196"/>
      <c r="M60" s="196"/>
      <c r="N60" s="196"/>
      <c r="O60" s="196"/>
      <c r="P60" s="196"/>
      <c r="Q60" s="196"/>
      <c r="R60" s="196"/>
      <c r="S60" s="196"/>
      <c r="T60" s="196"/>
      <c r="U60" s="194"/>
    </row>
    <row r="61" spans="1:21" ht="18" x14ac:dyDescent="0.25">
      <c r="A61" s="194"/>
      <c r="B61" s="194"/>
      <c r="C61" s="190"/>
      <c r="D61" s="190"/>
      <c r="E61" s="190"/>
      <c r="F61" s="190"/>
      <c r="G61" s="191"/>
      <c r="H61" s="190"/>
      <c r="I61" s="190"/>
      <c r="J61" s="190"/>
      <c r="K61" s="190"/>
      <c r="L61" s="196"/>
      <c r="M61" s="196"/>
      <c r="N61" s="196"/>
      <c r="O61" s="196"/>
      <c r="P61" s="196"/>
      <c r="Q61" s="196"/>
      <c r="R61" s="196"/>
      <c r="S61" s="196"/>
      <c r="T61" s="196"/>
      <c r="U61" s="194"/>
    </row>
    <row r="62" spans="1:21" ht="18" x14ac:dyDescent="0.25">
      <c r="A62" s="194"/>
      <c r="B62" s="194"/>
      <c r="C62" s="190"/>
      <c r="D62" s="190"/>
      <c r="E62" s="192"/>
      <c r="F62" s="192"/>
      <c r="G62" s="191"/>
      <c r="H62" s="190"/>
      <c r="I62" s="190"/>
      <c r="J62" s="192"/>
      <c r="K62" s="192"/>
      <c r="L62" s="196"/>
      <c r="M62" s="196"/>
      <c r="N62" s="196"/>
      <c r="O62" s="196"/>
      <c r="P62" s="196"/>
      <c r="Q62" s="196"/>
      <c r="R62" s="196"/>
      <c r="S62" s="196"/>
      <c r="T62" s="196"/>
      <c r="U62" s="194"/>
    </row>
    <row r="63" spans="1:21" ht="18" x14ac:dyDescent="0.25">
      <c r="A63" s="194"/>
      <c r="B63" s="194"/>
      <c r="C63" s="190"/>
      <c r="D63" s="190"/>
      <c r="E63" s="192"/>
      <c r="F63" s="192"/>
      <c r="G63" s="191"/>
      <c r="H63" s="190"/>
      <c r="I63" s="190"/>
      <c r="J63" s="192"/>
      <c r="K63" s="192"/>
      <c r="L63" s="196"/>
      <c r="M63" s="196"/>
      <c r="N63" s="196"/>
      <c r="O63" s="196"/>
      <c r="P63" s="196"/>
      <c r="Q63" s="196"/>
      <c r="R63" s="196"/>
      <c r="S63" s="196"/>
      <c r="T63" s="196"/>
      <c r="U63" s="194"/>
    </row>
    <row r="64" spans="1:21" ht="18" x14ac:dyDescent="0.25">
      <c r="A64" s="194"/>
      <c r="B64" s="194"/>
      <c r="C64" s="190"/>
      <c r="D64" s="190"/>
      <c r="E64" s="192"/>
      <c r="F64" s="192"/>
      <c r="G64" s="191"/>
      <c r="H64" s="190"/>
      <c r="I64" s="190"/>
      <c r="J64" s="192"/>
      <c r="K64" s="192"/>
      <c r="L64" s="196"/>
      <c r="M64" s="196"/>
      <c r="N64" s="196"/>
      <c r="O64" s="196"/>
      <c r="P64" s="196"/>
      <c r="Q64" s="196"/>
      <c r="R64" s="196"/>
      <c r="S64" s="196"/>
      <c r="T64" s="196"/>
      <c r="U64" s="194"/>
    </row>
    <row r="65" spans="1:21" ht="18" x14ac:dyDescent="0.25">
      <c r="A65" s="194"/>
      <c r="B65" s="194"/>
      <c r="C65" s="190"/>
      <c r="D65" s="190"/>
      <c r="E65" s="192"/>
      <c r="F65" s="192"/>
      <c r="G65" s="191"/>
      <c r="H65" s="190"/>
      <c r="I65" s="190"/>
      <c r="J65" s="192"/>
      <c r="K65" s="192"/>
      <c r="L65" s="196"/>
      <c r="M65" s="196"/>
      <c r="N65" s="196"/>
      <c r="O65" s="196"/>
      <c r="P65" s="196"/>
      <c r="Q65" s="196"/>
      <c r="R65" s="196"/>
      <c r="S65" s="196"/>
      <c r="T65" s="196"/>
      <c r="U65" s="194"/>
    </row>
    <row r="66" spans="1:21" ht="18" x14ac:dyDescent="0.25">
      <c r="A66" s="194"/>
      <c r="B66" s="194"/>
      <c r="C66" s="190"/>
      <c r="D66" s="190"/>
      <c r="E66" s="192"/>
      <c r="F66" s="192"/>
      <c r="G66" s="191"/>
      <c r="H66" s="190"/>
      <c r="I66" s="190"/>
      <c r="J66" s="192"/>
      <c r="K66" s="192"/>
      <c r="L66" s="196"/>
      <c r="M66" s="196"/>
      <c r="N66" s="196"/>
      <c r="O66" s="196"/>
      <c r="P66" s="196"/>
      <c r="Q66" s="196"/>
      <c r="R66" s="196"/>
      <c r="S66" s="196"/>
      <c r="T66" s="196"/>
      <c r="U66" s="194"/>
    </row>
    <row r="67" spans="1:21" ht="18" x14ac:dyDescent="0.25">
      <c r="A67" s="194"/>
      <c r="B67" s="194"/>
      <c r="C67" s="190"/>
      <c r="D67" s="190"/>
      <c r="E67" s="192"/>
      <c r="F67" s="192"/>
      <c r="G67" s="191"/>
      <c r="H67" s="190"/>
      <c r="I67" s="190"/>
      <c r="J67" s="192"/>
      <c r="K67" s="192"/>
      <c r="L67" s="196"/>
      <c r="M67" s="196"/>
      <c r="N67" s="196"/>
      <c r="O67" s="196"/>
      <c r="P67" s="196"/>
      <c r="Q67" s="196"/>
      <c r="R67" s="196"/>
      <c r="S67" s="196"/>
      <c r="T67" s="196"/>
      <c r="U67" s="194"/>
    </row>
    <row r="68" spans="1:21" ht="18" x14ac:dyDescent="0.25">
      <c r="A68" s="194"/>
      <c r="B68" s="194"/>
      <c r="C68" s="190"/>
      <c r="D68" s="190"/>
      <c r="E68" s="190"/>
      <c r="F68" s="190"/>
      <c r="G68" s="191"/>
      <c r="H68" s="190"/>
      <c r="I68" s="190"/>
      <c r="J68" s="190"/>
      <c r="K68" s="190"/>
      <c r="L68" s="196"/>
      <c r="M68" s="196"/>
      <c r="N68" s="196"/>
      <c r="O68" s="196"/>
      <c r="P68" s="196"/>
      <c r="Q68" s="196"/>
      <c r="R68" s="196"/>
      <c r="S68" s="196"/>
      <c r="T68" s="196"/>
      <c r="U68" s="194"/>
    </row>
    <row r="69" spans="1:21" ht="18" x14ac:dyDescent="0.25">
      <c r="A69" s="194"/>
      <c r="B69" s="194"/>
      <c r="C69" s="190"/>
      <c r="D69" s="190"/>
      <c r="E69" s="190"/>
      <c r="F69" s="190"/>
      <c r="G69" s="191"/>
      <c r="H69" s="190"/>
      <c r="I69" s="190"/>
      <c r="J69" s="190"/>
      <c r="K69" s="190"/>
      <c r="L69" s="196"/>
      <c r="M69" s="196"/>
      <c r="N69" s="196"/>
      <c r="O69" s="196"/>
      <c r="P69" s="196"/>
      <c r="Q69" s="196"/>
      <c r="R69" s="196"/>
      <c r="S69" s="196"/>
      <c r="T69" s="196"/>
      <c r="U69" s="194"/>
    </row>
    <row r="70" spans="1:21" ht="18" x14ac:dyDescent="0.25">
      <c r="A70" s="194"/>
      <c r="B70" s="194"/>
      <c r="C70" s="190"/>
      <c r="D70" s="190"/>
      <c r="E70" s="190"/>
      <c r="F70" s="190"/>
      <c r="G70" s="191"/>
      <c r="H70" s="190"/>
      <c r="I70" s="190"/>
      <c r="J70" s="190"/>
      <c r="K70" s="190"/>
      <c r="L70" s="196"/>
      <c r="M70" s="196"/>
      <c r="N70" s="196"/>
      <c r="O70" s="196"/>
      <c r="P70" s="196"/>
      <c r="Q70" s="196"/>
      <c r="R70" s="196"/>
      <c r="S70" s="196"/>
      <c r="T70" s="196"/>
      <c r="U70" s="194"/>
    </row>
    <row r="71" spans="1:21" ht="18" x14ac:dyDescent="0.25">
      <c r="A71" s="194"/>
      <c r="B71" s="194"/>
      <c r="C71" s="190"/>
      <c r="D71" s="190"/>
      <c r="E71" s="190"/>
      <c r="F71" s="190"/>
      <c r="G71" s="191"/>
      <c r="H71" s="190"/>
      <c r="I71" s="190"/>
      <c r="J71" s="190"/>
      <c r="K71" s="190"/>
      <c r="L71" s="196"/>
      <c r="M71" s="196"/>
      <c r="N71" s="196"/>
      <c r="O71" s="196"/>
      <c r="P71" s="196"/>
      <c r="Q71" s="196"/>
      <c r="R71" s="196"/>
      <c r="S71" s="196"/>
      <c r="T71" s="196"/>
      <c r="U71" s="194"/>
    </row>
    <row r="72" spans="1:21" ht="18" x14ac:dyDescent="0.25">
      <c r="A72" s="194"/>
      <c r="B72" s="194"/>
      <c r="C72" s="190"/>
      <c r="D72" s="190"/>
      <c r="E72" s="190"/>
      <c r="F72" s="190"/>
      <c r="G72" s="191"/>
      <c r="H72" s="190"/>
      <c r="I72" s="190"/>
      <c r="J72" s="190"/>
      <c r="K72" s="190"/>
      <c r="L72" s="196"/>
      <c r="M72" s="196"/>
      <c r="N72" s="196"/>
      <c r="O72" s="196"/>
      <c r="P72" s="196"/>
      <c r="Q72" s="196"/>
      <c r="R72" s="196"/>
      <c r="S72" s="196"/>
      <c r="T72" s="196"/>
      <c r="U72" s="194"/>
    </row>
    <row r="73" spans="1:21" ht="18" x14ac:dyDescent="0.25">
      <c r="A73" s="194"/>
      <c r="B73" s="194"/>
      <c r="C73" s="190"/>
      <c r="D73" s="190"/>
      <c r="E73" s="190"/>
      <c r="F73" s="190"/>
      <c r="G73" s="191"/>
      <c r="H73" s="190"/>
      <c r="I73" s="190"/>
      <c r="J73" s="190"/>
      <c r="K73" s="190"/>
      <c r="L73" s="196"/>
      <c r="M73" s="196"/>
      <c r="N73" s="196"/>
      <c r="O73" s="196"/>
      <c r="P73" s="196"/>
      <c r="Q73" s="196"/>
      <c r="R73" s="196"/>
      <c r="S73" s="196"/>
      <c r="T73" s="196"/>
      <c r="U73" s="194"/>
    </row>
    <row r="74" spans="1:21" ht="18" x14ac:dyDescent="0.25">
      <c r="A74" s="194"/>
      <c r="B74" s="194"/>
      <c r="C74" s="190"/>
      <c r="D74" s="190"/>
      <c r="E74" s="190"/>
      <c r="F74" s="190"/>
      <c r="G74" s="191"/>
      <c r="H74" s="190"/>
      <c r="I74" s="190"/>
      <c r="J74" s="190"/>
      <c r="K74" s="190"/>
      <c r="L74" s="196"/>
      <c r="M74" s="196"/>
      <c r="N74" s="196"/>
      <c r="O74" s="196"/>
      <c r="P74" s="196"/>
      <c r="Q74" s="196"/>
      <c r="R74" s="196"/>
      <c r="S74" s="196"/>
      <c r="T74" s="196"/>
      <c r="U74" s="194"/>
    </row>
    <row r="75" spans="1:21" ht="18" x14ac:dyDescent="0.25">
      <c r="A75" s="194"/>
      <c r="B75" s="194"/>
      <c r="C75" s="191"/>
      <c r="D75" s="191"/>
      <c r="E75" s="191"/>
      <c r="F75" s="191"/>
      <c r="G75" s="191"/>
      <c r="H75" s="191"/>
      <c r="I75" s="191"/>
      <c r="J75" s="191"/>
      <c r="K75" s="191"/>
      <c r="L75" s="196"/>
      <c r="M75" s="196"/>
      <c r="N75" s="196"/>
      <c r="O75" s="196"/>
      <c r="P75" s="196"/>
      <c r="Q75" s="196"/>
      <c r="R75" s="196"/>
      <c r="S75" s="196"/>
      <c r="T75" s="196"/>
      <c r="U75" s="194"/>
    </row>
    <row r="76" spans="1:21" ht="18" x14ac:dyDescent="0.25">
      <c r="A76" s="194"/>
      <c r="B76" s="194"/>
      <c r="C76" s="190"/>
      <c r="D76" s="190"/>
      <c r="E76" s="190"/>
      <c r="F76" s="190"/>
      <c r="G76" s="191"/>
      <c r="H76" s="190"/>
      <c r="I76" s="190"/>
      <c r="J76" s="190"/>
      <c r="K76" s="190"/>
      <c r="L76" s="196"/>
      <c r="M76" s="196"/>
      <c r="N76" s="196"/>
      <c r="O76" s="196"/>
      <c r="P76" s="196"/>
      <c r="Q76" s="196"/>
      <c r="R76" s="196"/>
      <c r="S76" s="196"/>
      <c r="T76" s="196"/>
      <c r="U76" s="194"/>
    </row>
    <row r="77" spans="1:21" ht="18" x14ac:dyDescent="0.25">
      <c r="A77" s="194"/>
      <c r="B77" s="194"/>
      <c r="C77" s="190"/>
      <c r="D77" s="190"/>
      <c r="E77" s="190"/>
      <c r="F77" s="190"/>
      <c r="G77" s="191"/>
      <c r="H77" s="190"/>
      <c r="I77" s="190"/>
      <c r="J77" s="190"/>
      <c r="K77" s="190"/>
      <c r="L77" s="196"/>
      <c r="M77" s="196"/>
      <c r="N77" s="196"/>
      <c r="O77" s="196"/>
      <c r="P77" s="196"/>
      <c r="Q77" s="196"/>
      <c r="R77" s="196"/>
      <c r="S77" s="196"/>
      <c r="T77" s="196"/>
      <c r="U77" s="194"/>
    </row>
    <row r="78" spans="1:21" ht="18" x14ac:dyDescent="0.25">
      <c r="A78" s="194"/>
      <c r="B78" s="194"/>
      <c r="C78" s="190"/>
      <c r="D78" s="190"/>
      <c r="E78" s="190"/>
      <c r="F78" s="190"/>
      <c r="G78" s="191"/>
      <c r="H78" s="190"/>
      <c r="I78" s="190"/>
      <c r="J78" s="190"/>
      <c r="K78" s="190"/>
      <c r="L78" s="196"/>
      <c r="M78" s="196"/>
      <c r="N78" s="196"/>
      <c r="O78" s="196"/>
      <c r="P78" s="196"/>
      <c r="Q78" s="196"/>
      <c r="R78" s="196"/>
      <c r="S78" s="196"/>
      <c r="T78" s="196"/>
      <c r="U78" s="194"/>
    </row>
    <row r="79" spans="1:21" ht="18" x14ac:dyDescent="0.25">
      <c r="A79" s="194"/>
      <c r="B79" s="194"/>
      <c r="C79" s="191"/>
      <c r="D79" s="191"/>
      <c r="E79" s="191"/>
      <c r="F79" s="191"/>
      <c r="G79" s="191"/>
      <c r="H79" s="191"/>
      <c r="I79" s="191"/>
      <c r="J79" s="191"/>
      <c r="K79" s="191"/>
      <c r="L79" s="196"/>
      <c r="M79" s="196"/>
      <c r="N79" s="196"/>
      <c r="O79" s="196"/>
      <c r="P79" s="196"/>
      <c r="Q79" s="196"/>
      <c r="R79" s="196"/>
      <c r="S79" s="196"/>
      <c r="T79" s="196"/>
      <c r="U79" s="194"/>
    </row>
    <row r="80" spans="1:21" ht="18" x14ac:dyDescent="0.25">
      <c r="A80" s="194"/>
      <c r="B80" s="194"/>
      <c r="C80" s="191"/>
      <c r="D80" s="191"/>
      <c r="E80" s="191"/>
      <c r="F80" s="191"/>
      <c r="G80" s="191"/>
      <c r="H80" s="191"/>
      <c r="I80" s="191"/>
      <c r="J80" s="191"/>
      <c r="K80" s="191"/>
      <c r="L80" s="196"/>
      <c r="M80" s="196"/>
      <c r="N80" s="196"/>
      <c r="O80" s="196"/>
      <c r="P80" s="196"/>
      <c r="Q80" s="196"/>
      <c r="R80" s="196"/>
      <c r="S80" s="196"/>
      <c r="T80" s="196"/>
      <c r="U80" s="194"/>
    </row>
    <row r="81" spans="1:21" ht="18" x14ac:dyDescent="0.25">
      <c r="A81" s="194"/>
      <c r="B81" s="194"/>
      <c r="C81" s="190"/>
      <c r="D81" s="190"/>
      <c r="E81" s="190"/>
      <c r="F81" s="190"/>
      <c r="G81" s="191"/>
      <c r="H81" s="190"/>
      <c r="I81" s="190"/>
      <c r="J81" s="190"/>
      <c r="K81" s="190"/>
      <c r="L81" s="196"/>
      <c r="M81" s="196"/>
      <c r="N81" s="196"/>
      <c r="O81" s="196"/>
      <c r="P81" s="196"/>
      <c r="Q81" s="196"/>
      <c r="R81" s="196"/>
      <c r="S81" s="196"/>
      <c r="T81" s="196"/>
      <c r="U81" s="194"/>
    </row>
    <row r="82" spans="1:21" ht="18" x14ac:dyDescent="0.25">
      <c r="A82" s="194"/>
      <c r="B82" s="194"/>
      <c r="C82" s="190"/>
      <c r="D82" s="190"/>
      <c r="E82" s="190"/>
      <c r="F82" s="190"/>
      <c r="G82" s="191"/>
      <c r="H82" s="190"/>
      <c r="I82" s="190"/>
      <c r="J82" s="190"/>
      <c r="K82" s="190"/>
      <c r="L82" s="196"/>
      <c r="M82" s="196"/>
      <c r="N82" s="196"/>
      <c r="O82" s="196"/>
      <c r="P82" s="196"/>
      <c r="Q82" s="196"/>
      <c r="R82" s="196"/>
      <c r="S82" s="196"/>
      <c r="T82" s="196"/>
      <c r="U82" s="194"/>
    </row>
    <row r="83" spans="1:21" ht="18" x14ac:dyDescent="0.25">
      <c r="A83" s="194"/>
      <c r="B83" s="194"/>
      <c r="C83" s="190"/>
      <c r="D83" s="190"/>
      <c r="E83" s="190"/>
      <c r="F83" s="190"/>
      <c r="G83" s="191"/>
      <c r="H83" s="190"/>
      <c r="I83" s="190"/>
      <c r="J83" s="190"/>
      <c r="K83" s="190"/>
      <c r="L83" s="196"/>
      <c r="M83" s="196"/>
      <c r="N83" s="196"/>
      <c r="O83" s="196"/>
      <c r="P83" s="196"/>
      <c r="Q83" s="196"/>
      <c r="R83" s="196"/>
      <c r="S83" s="196"/>
      <c r="T83" s="196"/>
      <c r="U83" s="194"/>
    </row>
    <row r="84" spans="1:21" ht="18" x14ac:dyDescent="0.25">
      <c r="A84" s="194"/>
      <c r="B84" s="194"/>
      <c r="C84" s="190"/>
      <c r="D84" s="190"/>
      <c r="E84" s="190"/>
      <c r="F84" s="190"/>
      <c r="G84" s="191"/>
      <c r="H84" s="190"/>
      <c r="I84" s="190"/>
      <c r="J84" s="190"/>
      <c r="K84" s="190"/>
      <c r="L84" s="196"/>
      <c r="M84" s="196"/>
      <c r="N84" s="196"/>
      <c r="O84" s="196"/>
      <c r="P84" s="196"/>
      <c r="Q84" s="196"/>
      <c r="R84" s="196"/>
      <c r="S84" s="196"/>
      <c r="T84" s="196"/>
      <c r="U84" s="194"/>
    </row>
    <row r="85" spans="1:21" ht="18" x14ac:dyDescent="0.25">
      <c r="A85" s="194"/>
      <c r="B85" s="194"/>
      <c r="C85" s="190"/>
      <c r="D85" s="190"/>
      <c r="E85" s="190"/>
      <c r="F85" s="190"/>
      <c r="G85" s="191"/>
      <c r="H85" s="190"/>
      <c r="I85" s="190"/>
      <c r="J85" s="190"/>
      <c r="K85" s="190"/>
      <c r="L85" s="196"/>
      <c r="M85" s="196"/>
      <c r="N85" s="196"/>
      <c r="O85" s="196"/>
      <c r="P85" s="196"/>
      <c r="Q85" s="196"/>
      <c r="R85" s="196"/>
      <c r="S85" s="196"/>
      <c r="T85" s="196"/>
      <c r="U85" s="194"/>
    </row>
    <row r="86" spans="1:21" ht="18" x14ac:dyDescent="0.25">
      <c r="A86" s="194"/>
      <c r="B86" s="194"/>
      <c r="C86" s="190"/>
      <c r="D86" s="190"/>
      <c r="E86" s="190"/>
      <c r="F86" s="190"/>
      <c r="G86" s="191"/>
      <c r="H86" s="190"/>
      <c r="I86" s="190"/>
      <c r="J86" s="190"/>
      <c r="K86" s="190"/>
      <c r="L86" s="196"/>
      <c r="M86" s="196"/>
      <c r="N86" s="196"/>
      <c r="O86" s="196"/>
      <c r="P86" s="196"/>
      <c r="Q86" s="196"/>
      <c r="R86" s="196"/>
      <c r="S86" s="196"/>
      <c r="T86" s="196"/>
      <c r="U86" s="194"/>
    </row>
    <row r="87" spans="1:21" ht="18" x14ac:dyDescent="0.25">
      <c r="A87" s="194"/>
      <c r="B87" s="194"/>
      <c r="C87" s="191"/>
      <c r="D87" s="191"/>
      <c r="E87" s="191"/>
      <c r="F87" s="191"/>
      <c r="G87" s="191"/>
      <c r="H87" s="191"/>
      <c r="I87" s="191"/>
      <c r="J87" s="191"/>
      <c r="K87" s="191"/>
      <c r="L87" s="196"/>
      <c r="M87" s="196"/>
      <c r="N87" s="196"/>
      <c r="O87" s="196"/>
      <c r="P87" s="196"/>
      <c r="Q87" s="196"/>
      <c r="R87" s="196"/>
      <c r="S87" s="196"/>
      <c r="T87" s="196"/>
      <c r="U87" s="194"/>
    </row>
    <row r="88" spans="1:21" ht="18" x14ac:dyDescent="0.25">
      <c r="A88" s="194"/>
      <c r="B88" s="194"/>
      <c r="C88" s="191"/>
      <c r="D88" s="191"/>
      <c r="E88" s="191"/>
      <c r="F88" s="191"/>
      <c r="G88" s="191"/>
      <c r="H88" s="191"/>
      <c r="I88" s="191"/>
      <c r="J88" s="191"/>
      <c r="K88" s="191"/>
      <c r="L88" s="196"/>
      <c r="M88" s="196"/>
      <c r="N88" s="196"/>
      <c r="O88" s="196"/>
      <c r="P88" s="196"/>
      <c r="Q88" s="196"/>
      <c r="R88" s="196"/>
      <c r="S88" s="196"/>
      <c r="T88" s="196"/>
      <c r="U88" s="194"/>
    </row>
  </sheetData>
  <mergeCells count="2">
    <mergeCell ref="B1:I1"/>
    <mergeCell ref="K1:R1"/>
  </mergeCell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tabColor rgb="FFFF0000"/>
  </sheetPr>
  <dimension ref="A1:U84"/>
  <sheetViews>
    <sheetView zoomScale="55" zoomScaleNormal="55" workbookViewId="0">
      <selection activeCell="J6" sqref="J6"/>
    </sheetView>
  </sheetViews>
  <sheetFormatPr defaultRowHeight="15" x14ac:dyDescent="0.25"/>
  <cols>
    <col min="1" max="1" width="35.5703125" bestFit="1" customWidth="1"/>
    <col min="2" max="11" width="17.5703125" customWidth="1"/>
    <col min="12" max="19" width="18.5703125" customWidth="1"/>
  </cols>
  <sheetData>
    <row r="1" spans="1:21" ht="108" x14ac:dyDescent="0.25">
      <c r="A1" s="71" t="s">
        <v>62</v>
      </c>
      <c r="B1" s="71" t="s">
        <v>63</v>
      </c>
      <c r="C1" s="71" t="s">
        <v>64</v>
      </c>
      <c r="D1" s="71" t="s">
        <v>65</v>
      </c>
      <c r="E1" s="71" t="s">
        <v>66</v>
      </c>
      <c r="F1" s="71" t="s">
        <v>67</v>
      </c>
      <c r="G1" s="71" t="s">
        <v>68</v>
      </c>
      <c r="H1" s="71" t="s">
        <v>69</v>
      </c>
      <c r="I1" s="71" t="s">
        <v>70</v>
      </c>
      <c r="J1" s="71" t="s">
        <v>71</v>
      </c>
      <c r="K1" s="71" t="s">
        <v>72</v>
      </c>
      <c r="L1" s="72" t="s">
        <v>73</v>
      </c>
      <c r="M1" s="72" t="s">
        <v>74</v>
      </c>
      <c r="N1" s="72" t="s">
        <v>75</v>
      </c>
      <c r="O1" s="72" t="s">
        <v>366</v>
      </c>
      <c r="P1" s="72" t="s">
        <v>76</v>
      </c>
      <c r="Q1" s="72" t="s">
        <v>77</v>
      </c>
      <c r="R1" s="72" t="s">
        <v>78</v>
      </c>
      <c r="S1" s="72" t="s">
        <v>79</v>
      </c>
      <c r="T1" s="72" t="s">
        <v>367</v>
      </c>
      <c r="U1" s="72" t="s">
        <v>80</v>
      </c>
    </row>
    <row r="2" spans="1:21" ht="18" x14ac:dyDescent="0.25">
      <c r="A2" s="118" t="s">
        <v>373</v>
      </c>
      <c r="B2" s="77">
        <v>469</v>
      </c>
      <c r="C2" s="77">
        <v>499</v>
      </c>
      <c r="D2" s="77">
        <v>399</v>
      </c>
      <c r="E2" s="77">
        <v>399</v>
      </c>
      <c r="F2" s="77">
        <v>399</v>
      </c>
      <c r="G2" s="77">
        <v>0</v>
      </c>
      <c r="H2" s="77">
        <v>399</v>
      </c>
      <c r="I2" s="77">
        <v>399</v>
      </c>
      <c r="J2" s="77">
        <v>399</v>
      </c>
      <c r="K2" s="77">
        <v>0</v>
      </c>
      <c r="L2" s="77">
        <v>399</v>
      </c>
      <c r="M2" s="77">
        <v>139</v>
      </c>
      <c r="N2" s="77">
        <v>0</v>
      </c>
      <c r="O2" s="77">
        <v>0</v>
      </c>
      <c r="P2" s="77">
        <v>0</v>
      </c>
      <c r="Q2" s="77">
        <v>399</v>
      </c>
      <c r="R2" s="77">
        <v>139</v>
      </c>
      <c r="S2" s="77">
        <v>0</v>
      </c>
      <c r="T2" s="77">
        <v>0</v>
      </c>
      <c r="U2" s="77">
        <v>0</v>
      </c>
    </row>
    <row r="3" spans="1:21" ht="18" x14ac:dyDescent="0.25">
      <c r="A3" s="118" t="s">
        <v>376</v>
      </c>
      <c r="B3" s="237">
        <v>599</v>
      </c>
      <c r="C3" s="237">
        <v>629</v>
      </c>
      <c r="D3" s="77">
        <v>529</v>
      </c>
      <c r="E3" s="77">
        <v>529</v>
      </c>
      <c r="F3" s="77">
        <v>529</v>
      </c>
      <c r="G3" s="238">
        <v>129</v>
      </c>
      <c r="H3" s="77">
        <v>529</v>
      </c>
      <c r="I3" s="77">
        <v>529</v>
      </c>
      <c r="J3" s="77">
        <v>529</v>
      </c>
      <c r="K3" s="238">
        <v>129</v>
      </c>
      <c r="L3" s="77">
        <v>529</v>
      </c>
      <c r="M3" s="77">
        <v>269</v>
      </c>
      <c r="N3" s="77">
        <v>129</v>
      </c>
      <c r="O3" s="77">
        <v>29</v>
      </c>
      <c r="P3" s="77">
        <v>0</v>
      </c>
      <c r="Q3" s="77">
        <v>529</v>
      </c>
      <c r="R3" s="77">
        <v>269</v>
      </c>
      <c r="S3" s="77">
        <v>129</v>
      </c>
      <c r="T3" s="77">
        <v>29</v>
      </c>
      <c r="U3" s="77">
        <v>0</v>
      </c>
    </row>
    <row r="4" spans="1:21" ht="18" x14ac:dyDescent="0.25">
      <c r="A4" s="118" t="s">
        <v>376</v>
      </c>
      <c r="B4" s="237">
        <v>599</v>
      </c>
      <c r="C4" s="237">
        <v>629</v>
      </c>
      <c r="D4" s="77">
        <v>529</v>
      </c>
      <c r="E4" s="77">
        <v>529</v>
      </c>
      <c r="F4" s="77">
        <v>529</v>
      </c>
      <c r="G4" s="238">
        <v>129</v>
      </c>
      <c r="H4" s="77">
        <v>529</v>
      </c>
      <c r="I4" s="77">
        <v>529</v>
      </c>
      <c r="J4" s="77">
        <v>529</v>
      </c>
      <c r="K4" s="238">
        <v>129</v>
      </c>
      <c r="L4" s="77">
        <v>529</v>
      </c>
      <c r="M4" s="77">
        <v>269</v>
      </c>
      <c r="N4" s="77">
        <v>129</v>
      </c>
      <c r="O4" s="77">
        <v>29</v>
      </c>
      <c r="P4" s="77">
        <v>0</v>
      </c>
      <c r="Q4" s="77">
        <v>529</v>
      </c>
      <c r="R4" s="77">
        <v>269</v>
      </c>
      <c r="S4" s="77">
        <v>129</v>
      </c>
      <c r="T4" s="77">
        <v>29</v>
      </c>
      <c r="U4" s="77">
        <v>0</v>
      </c>
    </row>
    <row r="5" spans="1:21" ht="18" x14ac:dyDescent="0.25">
      <c r="A5" s="118" t="s">
        <v>380</v>
      </c>
      <c r="B5" s="77">
        <v>739</v>
      </c>
      <c r="C5" s="77">
        <v>759</v>
      </c>
      <c r="D5" s="77">
        <v>659</v>
      </c>
      <c r="E5" s="77">
        <v>659</v>
      </c>
      <c r="F5" s="77">
        <v>659</v>
      </c>
      <c r="G5" s="78">
        <v>249</v>
      </c>
      <c r="H5" s="77">
        <v>659</v>
      </c>
      <c r="I5" s="77">
        <v>659</v>
      </c>
      <c r="J5" s="77">
        <v>659</v>
      </c>
      <c r="K5" s="78">
        <v>249</v>
      </c>
      <c r="L5" s="77">
        <v>659</v>
      </c>
      <c r="M5" s="77">
        <v>399</v>
      </c>
      <c r="N5" s="77">
        <v>259</v>
      </c>
      <c r="O5" s="77">
        <v>159</v>
      </c>
      <c r="P5" s="77">
        <v>59</v>
      </c>
      <c r="Q5" s="77">
        <v>659</v>
      </c>
      <c r="R5" s="77">
        <v>399</v>
      </c>
      <c r="S5" s="77">
        <v>259</v>
      </c>
      <c r="T5" s="77">
        <v>159</v>
      </c>
      <c r="U5" s="77">
        <v>59</v>
      </c>
    </row>
    <row r="6" spans="1:21" ht="18" x14ac:dyDescent="0.25">
      <c r="A6" s="118" t="s">
        <v>380</v>
      </c>
      <c r="B6" s="77">
        <v>739</v>
      </c>
      <c r="C6" s="77">
        <v>759</v>
      </c>
      <c r="D6" s="77">
        <v>659</v>
      </c>
      <c r="E6" s="77">
        <v>659</v>
      </c>
      <c r="F6" s="77">
        <v>659</v>
      </c>
      <c r="G6" s="78">
        <v>249</v>
      </c>
      <c r="H6" s="77">
        <v>659</v>
      </c>
      <c r="I6" s="77">
        <v>659</v>
      </c>
      <c r="J6" s="77">
        <v>659</v>
      </c>
      <c r="K6" s="78">
        <v>249</v>
      </c>
      <c r="L6" s="77">
        <v>659</v>
      </c>
      <c r="M6" s="77">
        <v>399</v>
      </c>
      <c r="N6" s="77">
        <v>259</v>
      </c>
      <c r="O6" s="77">
        <v>159</v>
      </c>
      <c r="P6" s="77">
        <v>59</v>
      </c>
      <c r="Q6" s="77">
        <v>659</v>
      </c>
      <c r="R6" s="77">
        <v>399</v>
      </c>
      <c r="S6" s="77">
        <v>259</v>
      </c>
      <c r="T6" s="77">
        <v>159</v>
      </c>
      <c r="U6" s="77">
        <v>59</v>
      </c>
    </row>
    <row r="7" spans="1:21" ht="36" x14ac:dyDescent="0.25">
      <c r="A7" s="118" t="s">
        <v>382</v>
      </c>
      <c r="B7" s="237">
        <v>739</v>
      </c>
      <c r="C7" s="237">
        <v>759</v>
      </c>
      <c r="D7" s="77">
        <v>659</v>
      </c>
      <c r="E7" s="77">
        <v>659</v>
      </c>
      <c r="F7" s="77">
        <v>659</v>
      </c>
      <c r="G7" s="238">
        <v>249</v>
      </c>
      <c r="H7" s="77">
        <v>659</v>
      </c>
      <c r="I7" s="77">
        <v>659</v>
      </c>
      <c r="J7" s="77">
        <v>659</v>
      </c>
      <c r="K7" s="238">
        <v>249</v>
      </c>
      <c r="L7" s="77">
        <v>659</v>
      </c>
      <c r="M7" s="77">
        <v>399</v>
      </c>
      <c r="N7" s="77">
        <v>259</v>
      </c>
      <c r="O7" s="77">
        <v>159</v>
      </c>
      <c r="P7" s="77">
        <v>59</v>
      </c>
      <c r="Q7" s="77">
        <v>659</v>
      </c>
      <c r="R7" s="77">
        <v>399</v>
      </c>
      <c r="S7" s="77">
        <v>259</v>
      </c>
      <c r="T7" s="77">
        <v>159</v>
      </c>
      <c r="U7" s="77">
        <v>59</v>
      </c>
    </row>
    <row r="8" spans="1:21" ht="18" x14ac:dyDescent="0.25">
      <c r="A8" s="118" t="s">
        <v>389</v>
      </c>
      <c r="B8" s="77">
        <v>469</v>
      </c>
      <c r="C8" s="77">
        <v>489</v>
      </c>
      <c r="D8" s="77">
        <v>389</v>
      </c>
      <c r="E8" s="77">
        <v>389</v>
      </c>
      <c r="F8" s="77">
        <v>389</v>
      </c>
      <c r="G8" s="78">
        <v>0</v>
      </c>
      <c r="H8" s="77">
        <v>389</v>
      </c>
      <c r="I8" s="77">
        <v>389</v>
      </c>
      <c r="J8" s="77">
        <v>389</v>
      </c>
      <c r="K8" s="78">
        <v>0</v>
      </c>
      <c r="L8" s="77">
        <v>389</v>
      </c>
      <c r="M8" s="77">
        <v>129</v>
      </c>
      <c r="N8" s="77">
        <v>0</v>
      </c>
      <c r="O8" s="77">
        <v>0</v>
      </c>
      <c r="P8" s="77">
        <v>0</v>
      </c>
      <c r="Q8" s="77">
        <v>389</v>
      </c>
      <c r="R8" s="77">
        <v>129</v>
      </c>
      <c r="S8" s="77">
        <v>0</v>
      </c>
      <c r="T8" s="77">
        <v>0</v>
      </c>
      <c r="U8" s="77">
        <v>0</v>
      </c>
    </row>
    <row r="9" spans="1:21" ht="18" x14ac:dyDescent="0.25">
      <c r="A9" s="118" t="s">
        <v>395</v>
      </c>
      <c r="B9" s="77">
        <v>599</v>
      </c>
      <c r="C9" s="77">
        <v>629</v>
      </c>
      <c r="D9" s="77">
        <v>529</v>
      </c>
      <c r="E9" s="77">
        <v>529</v>
      </c>
      <c r="F9" s="77">
        <v>529</v>
      </c>
      <c r="G9" s="78">
        <v>89</v>
      </c>
      <c r="H9" s="77">
        <v>529</v>
      </c>
      <c r="I9" s="77">
        <v>529</v>
      </c>
      <c r="J9" s="77">
        <v>529</v>
      </c>
      <c r="K9" s="78">
        <v>89</v>
      </c>
      <c r="L9" s="77">
        <v>529</v>
      </c>
      <c r="M9" s="77">
        <v>269</v>
      </c>
      <c r="N9" s="77">
        <v>129</v>
      </c>
      <c r="O9" s="77">
        <v>29</v>
      </c>
      <c r="P9" s="77">
        <v>0</v>
      </c>
      <c r="Q9" s="77">
        <v>529</v>
      </c>
      <c r="R9" s="77">
        <v>269</v>
      </c>
      <c r="S9" s="77">
        <v>129</v>
      </c>
      <c r="T9" s="77">
        <v>29</v>
      </c>
      <c r="U9" s="77">
        <v>0</v>
      </c>
    </row>
    <row r="10" spans="1:21" ht="18" x14ac:dyDescent="0.25">
      <c r="A10" s="76" t="s">
        <v>400</v>
      </c>
      <c r="B10" s="237">
        <v>739</v>
      </c>
      <c r="C10" s="237">
        <v>759</v>
      </c>
      <c r="D10" s="78">
        <v>659</v>
      </c>
      <c r="E10" s="78">
        <v>659</v>
      </c>
      <c r="F10" s="78">
        <v>659</v>
      </c>
      <c r="G10" s="78">
        <v>249</v>
      </c>
      <c r="H10" s="78">
        <v>659</v>
      </c>
      <c r="I10" s="78">
        <v>659</v>
      </c>
      <c r="J10" s="78">
        <v>659</v>
      </c>
      <c r="K10" s="78">
        <v>249</v>
      </c>
      <c r="L10" s="77">
        <v>659</v>
      </c>
      <c r="M10" s="77">
        <v>399</v>
      </c>
      <c r="N10" s="77">
        <v>259</v>
      </c>
      <c r="O10" s="77">
        <v>159</v>
      </c>
      <c r="P10" s="77">
        <v>59</v>
      </c>
      <c r="Q10" s="77">
        <v>659</v>
      </c>
      <c r="R10" s="77">
        <v>399</v>
      </c>
      <c r="S10" s="77">
        <v>259</v>
      </c>
      <c r="T10" s="77">
        <v>159</v>
      </c>
      <c r="U10" s="77">
        <v>59</v>
      </c>
    </row>
    <row r="11" spans="1:21" ht="18" x14ac:dyDescent="0.25">
      <c r="A11" s="76" t="s">
        <v>400</v>
      </c>
      <c r="B11" s="237">
        <v>739</v>
      </c>
      <c r="C11" s="237">
        <v>759</v>
      </c>
      <c r="D11" s="78">
        <v>659</v>
      </c>
      <c r="E11" s="78">
        <v>659</v>
      </c>
      <c r="F11" s="78">
        <v>659</v>
      </c>
      <c r="G11" s="78">
        <v>249</v>
      </c>
      <c r="H11" s="78">
        <v>659</v>
      </c>
      <c r="I11" s="78">
        <v>659</v>
      </c>
      <c r="J11" s="78">
        <v>659</v>
      </c>
      <c r="K11" s="78">
        <v>249</v>
      </c>
      <c r="L11" s="77">
        <v>659</v>
      </c>
      <c r="M11" s="77">
        <v>399</v>
      </c>
      <c r="N11" s="77">
        <v>259</v>
      </c>
      <c r="O11" s="77">
        <v>159</v>
      </c>
      <c r="P11" s="77">
        <v>59</v>
      </c>
      <c r="Q11" s="77">
        <v>659</v>
      </c>
      <c r="R11" s="77">
        <v>399</v>
      </c>
      <c r="S11" s="77">
        <v>259</v>
      </c>
      <c r="T11" s="77">
        <v>159</v>
      </c>
      <c r="U11" s="77">
        <v>59</v>
      </c>
    </row>
    <row r="12" spans="1:21" ht="18" x14ac:dyDescent="0.25">
      <c r="A12" s="76" t="s">
        <v>406</v>
      </c>
      <c r="B12" s="237">
        <v>869</v>
      </c>
      <c r="C12" s="237">
        <v>899</v>
      </c>
      <c r="D12" s="78">
        <v>799</v>
      </c>
      <c r="E12" s="78">
        <v>799</v>
      </c>
      <c r="F12" s="78">
        <v>799</v>
      </c>
      <c r="G12" s="78">
        <v>379</v>
      </c>
      <c r="H12" s="78">
        <v>799</v>
      </c>
      <c r="I12" s="78">
        <v>799</v>
      </c>
      <c r="J12" s="78">
        <v>799</v>
      </c>
      <c r="K12" s="78">
        <v>379</v>
      </c>
      <c r="L12" s="77">
        <v>799</v>
      </c>
      <c r="M12" s="77">
        <v>539</v>
      </c>
      <c r="N12" s="77">
        <v>399</v>
      </c>
      <c r="O12" s="77">
        <v>299</v>
      </c>
      <c r="P12" s="77">
        <v>199</v>
      </c>
      <c r="Q12" s="77">
        <v>799</v>
      </c>
      <c r="R12" s="77">
        <v>539</v>
      </c>
      <c r="S12" s="77">
        <v>399</v>
      </c>
      <c r="T12" s="77">
        <v>299</v>
      </c>
      <c r="U12" s="77">
        <v>199</v>
      </c>
    </row>
    <row r="13" spans="1:21" ht="18" x14ac:dyDescent="0.25">
      <c r="A13" s="76" t="s">
        <v>406</v>
      </c>
      <c r="B13" s="237">
        <v>869</v>
      </c>
      <c r="C13" s="237">
        <v>899</v>
      </c>
      <c r="D13" s="78">
        <v>799</v>
      </c>
      <c r="E13" s="78">
        <v>799</v>
      </c>
      <c r="F13" s="78">
        <v>799</v>
      </c>
      <c r="G13" s="78">
        <v>379</v>
      </c>
      <c r="H13" s="78">
        <v>799</v>
      </c>
      <c r="I13" s="78">
        <v>799</v>
      </c>
      <c r="J13" s="78">
        <v>799</v>
      </c>
      <c r="K13" s="78">
        <v>379</v>
      </c>
      <c r="L13" s="77">
        <v>799</v>
      </c>
      <c r="M13" s="77">
        <v>539</v>
      </c>
      <c r="N13" s="77">
        <v>399</v>
      </c>
      <c r="O13" s="77">
        <v>299</v>
      </c>
      <c r="P13" s="77">
        <v>199</v>
      </c>
      <c r="Q13" s="77">
        <v>799</v>
      </c>
      <c r="R13" s="77">
        <v>539</v>
      </c>
      <c r="S13" s="77">
        <v>399</v>
      </c>
      <c r="T13" s="77">
        <v>299</v>
      </c>
      <c r="U13" s="77">
        <v>199</v>
      </c>
    </row>
    <row r="14" spans="1:21" ht="18" x14ac:dyDescent="0.25">
      <c r="A14" s="76" t="s">
        <v>406</v>
      </c>
      <c r="B14" s="237">
        <v>869</v>
      </c>
      <c r="C14" s="237">
        <v>899</v>
      </c>
      <c r="D14" s="78">
        <v>799</v>
      </c>
      <c r="E14" s="78">
        <v>799</v>
      </c>
      <c r="F14" s="78">
        <v>799</v>
      </c>
      <c r="G14" s="78">
        <v>379</v>
      </c>
      <c r="H14" s="78">
        <v>799</v>
      </c>
      <c r="I14" s="78">
        <v>799</v>
      </c>
      <c r="J14" s="78">
        <v>799</v>
      </c>
      <c r="K14" s="78">
        <v>379</v>
      </c>
      <c r="L14" s="77">
        <v>799</v>
      </c>
      <c r="M14" s="77">
        <v>539</v>
      </c>
      <c r="N14" s="77">
        <v>399</v>
      </c>
      <c r="O14" s="77">
        <v>299</v>
      </c>
      <c r="P14" s="77">
        <v>199</v>
      </c>
      <c r="Q14" s="77">
        <v>799</v>
      </c>
      <c r="R14" s="77">
        <v>539</v>
      </c>
      <c r="S14" s="77">
        <v>399</v>
      </c>
      <c r="T14" s="77">
        <v>299</v>
      </c>
      <c r="U14" s="77">
        <v>199</v>
      </c>
    </row>
    <row r="15" spans="1:21" ht="18" x14ac:dyDescent="0.25">
      <c r="A15" s="76" t="s">
        <v>413</v>
      </c>
      <c r="B15" s="237">
        <v>1189</v>
      </c>
      <c r="C15" s="237">
        <v>1199</v>
      </c>
      <c r="D15" s="78">
        <v>1099</v>
      </c>
      <c r="E15" s="78">
        <v>1099</v>
      </c>
      <c r="F15" s="78">
        <v>1099</v>
      </c>
      <c r="G15" s="78">
        <v>379</v>
      </c>
      <c r="H15" s="78">
        <v>1099</v>
      </c>
      <c r="I15" s="78">
        <v>1099</v>
      </c>
      <c r="J15" s="78">
        <v>1099</v>
      </c>
      <c r="K15" s="78">
        <v>379</v>
      </c>
      <c r="L15" s="77">
        <v>1099</v>
      </c>
      <c r="M15" s="77">
        <v>839</v>
      </c>
      <c r="N15" s="77">
        <v>699</v>
      </c>
      <c r="O15" s="77">
        <v>599</v>
      </c>
      <c r="P15" s="77">
        <v>499</v>
      </c>
      <c r="Q15" s="77">
        <v>1099</v>
      </c>
      <c r="R15" s="77">
        <v>839</v>
      </c>
      <c r="S15" s="77">
        <v>699</v>
      </c>
      <c r="T15" s="77">
        <v>599</v>
      </c>
      <c r="U15" s="77">
        <v>499</v>
      </c>
    </row>
    <row r="16" spans="1:21" ht="18" x14ac:dyDescent="0.25">
      <c r="A16" s="76" t="s">
        <v>420</v>
      </c>
      <c r="B16" s="237">
        <v>899</v>
      </c>
      <c r="C16" s="237">
        <v>919</v>
      </c>
      <c r="D16" s="237">
        <v>819</v>
      </c>
      <c r="E16" s="237">
        <v>819</v>
      </c>
      <c r="F16" s="237">
        <v>819</v>
      </c>
      <c r="G16" s="237">
        <v>399</v>
      </c>
      <c r="H16" s="237">
        <v>819</v>
      </c>
      <c r="I16" s="237">
        <v>819</v>
      </c>
      <c r="J16" s="237">
        <v>819</v>
      </c>
      <c r="K16" s="237">
        <v>399</v>
      </c>
      <c r="L16" s="77">
        <v>819</v>
      </c>
      <c r="M16" s="77">
        <v>559</v>
      </c>
      <c r="N16" s="77">
        <v>419</v>
      </c>
      <c r="O16" s="77">
        <v>319</v>
      </c>
      <c r="P16" s="77">
        <v>219</v>
      </c>
      <c r="Q16" s="77">
        <v>819</v>
      </c>
      <c r="R16" s="77">
        <v>559</v>
      </c>
      <c r="S16" s="77">
        <v>419</v>
      </c>
      <c r="T16" s="77">
        <v>319</v>
      </c>
      <c r="U16" s="77">
        <v>219</v>
      </c>
    </row>
    <row r="17" spans="1:21" ht="18" x14ac:dyDescent="0.25">
      <c r="A17" s="76" t="s">
        <v>420</v>
      </c>
      <c r="B17" s="237">
        <v>899</v>
      </c>
      <c r="C17" s="237">
        <v>919</v>
      </c>
      <c r="D17" s="237">
        <v>819</v>
      </c>
      <c r="E17" s="237">
        <v>819</v>
      </c>
      <c r="F17" s="237">
        <v>819</v>
      </c>
      <c r="G17" s="237">
        <v>399</v>
      </c>
      <c r="H17" s="237">
        <v>819</v>
      </c>
      <c r="I17" s="237">
        <v>819</v>
      </c>
      <c r="J17" s="237">
        <v>819</v>
      </c>
      <c r="K17" s="237">
        <v>399</v>
      </c>
      <c r="L17" s="77">
        <v>819</v>
      </c>
      <c r="M17" s="77">
        <v>559</v>
      </c>
      <c r="N17" s="77">
        <v>419</v>
      </c>
      <c r="O17" s="77">
        <v>319</v>
      </c>
      <c r="P17" s="77">
        <v>219</v>
      </c>
      <c r="Q17" s="77">
        <v>819</v>
      </c>
      <c r="R17" s="77">
        <v>559</v>
      </c>
      <c r="S17" s="77">
        <v>419</v>
      </c>
      <c r="T17" s="77">
        <v>319</v>
      </c>
      <c r="U17" s="77">
        <v>219</v>
      </c>
    </row>
    <row r="18" spans="1:21" ht="18" x14ac:dyDescent="0.25">
      <c r="A18" s="76" t="s">
        <v>420</v>
      </c>
      <c r="B18" s="237">
        <v>899</v>
      </c>
      <c r="C18" s="237">
        <v>919</v>
      </c>
      <c r="D18" s="237">
        <v>819</v>
      </c>
      <c r="E18" s="237">
        <v>819</v>
      </c>
      <c r="F18" s="237">
        <v>819</v>
      </c>
      <c r="G18" s="237">
        <v>399</v>
      </c>
      <c r="H18" s="237">
        <v>819</v>
      </c>
      <c r="I18" s="237">
        <v>819</v>
      </c>
      <c r="J18" s="237">
        <v>819</v>
      </c>
      <c r="K18" s="237">
        <v>399</v>
      </c>
      <c r="L18" s="77">
        <v>819</v>
      </c>
      <c r="M18" s="77">
        <v>559</v>
      </c>
      <c r="N18" s="77">
        <v>419</v>
      </c>
      <c r="O18" s="77">
        <v>319</v>
      </c>
      <c r="P18" s="77">
        <v>219</v>
      </c>
      <c r="Q18" s="77">
        <v>819</v>
      </c>
      <c r="R18" s="77">
        <v>559</v>
      </c>
      <c r="S18" s="77">
        <v>419</v>
      </c>
      <c r="T18" s="77">
        <v>319</v>
      </c>
      <c r="U18" s="77">
        <v>219</v>
      </c>
    </row>
    <row r="19" spans="1:21" ht="18" x14ac:dyDescent="0.25">
      <c r="A19" s="75" t="s">
        <v>420</v>
      </c>
      <c r="B19" s="237">
        <v>899</v>
      </c>
      <c r="C19" s="237">
        <v>919</v>
      </c>
      <c r="D19" s="237">
        <v>819</v>
      </c>
      <c r="E19" s="237">
        <v>819</v>
      </c>
      <c r="F19" s="237">
        <v>819</v>
      </c>
      <c r="G19" s="237">
        <v>399</v>
      </c>
      <c r="H19" s="237">
        <v>819</v>
      </c>
      <c r="I19" s="237">
        <v>819</v>
      </c>
      <c r="J19" s="237">
        <v>819</v>
      </c>
      <c r="K19" s="237">
        <v>399</v>
      </c>
      <c r="L19" s="77">
        <v>819</v>
      </c>
      <c r="M19" s="77">
        <v>559</v>
      </c>
      <c r="N19" s="77">
        <v>419</v>
      </c>
      <c r="O19" s="77">
        <v>319</v>
      </c>
      <c r="P19" s="77">
        <v>219</v>
      </c>
      <c r="Q19" s="77">
        <v>819</v>
      </c>
      <c r="R19" s="77">
        <v>559</v>
      </c>
      <c r="S19" s="77">
        <v>419</v>
      </c>
      <c r="T19" s="77">
        <v>319</v>
      </c>
      <c r="U19" s="77">
        <v>219</v>
      </c>
    </row>
    <row r="20" spans="1:21" ht="18" x14ac:dyDescent="0.25">
      <c r="A20" s="76" t="s">
        <v>426</v>
      </c>
      <c r="B20" s="237">
        <v>1029</v>
      </c>
      <c r="C20" s="237">
        <v>1059</v>
      </c>
      <c r="D20" s="237">
        <v>959</v>
      </c>
      <c r="E20" s="237">
        <v>959</v>
      </c>
      <c r="F20" s="237">
        <v>959</v>
      </c>
      <c r="G20" s="237">
        <v>529</v>
      </c>
      <c r="H20" s="237">
        <v>959</v>
      </c>
      <c r="I20" s="237">
        <v>959</v>
      </c>
      <c r="J20" s="237">
        <v>959</v>
      </c>
      <c r="K20" s="237">
        <v>529</v>
      </c>
      <c r="L20" s="77">
        <v>959</v>
      </c>
      <c r="M20" s="77">
        <v>699</v>
      </c>
      <c r="N20" s="77">
        <v>559</v>
      </c>
      <c r="O20" s="77">
        <v>459</v>
      </c>
      <c r="P20" s="77">
        <v>359</v>
      </c>
      <c r="Q20" s="77">
        <v>959</v>
      </c>
      <c r="R20" s="77">
        <v>699</v>
      </c>
      <c r="S20" s="77">
        <v>559</v>
      </c>
      <c r="T20" s="77">
        <v>459</v>
      </c>
      <c r="U20" s="77">
        <v>359</v>
      </c>
    </row>
    <row r="21" spans="1:21" ht="18" x14ac:dyDescent="0.25">
      <c r="A21" s="76" t="s">
        <v>426</v>
      </c>
      <c r="B21" s="237">
        <v>1029</v>
      </c>
      <c r="C21" s="237">
        <v>1059</v>
      </c>
      <c r="D21" s="237">
        <v>959</v>
      </c>
      <c r="E21" s="237">
        <v>959</v>
      </c>
      <c r="F21" s="237">
        <v>959</v>
      </c>
      <c r="G21" s="237">
        <v>529</v>
      </c>
      <c r="H21" s="237">
        <v>959</v>
      </c>
      <c r="I21" s="237">
        <v>959</v>
      </c>
      <c r="J21" s="237">
        <v>959</v>
      </c>
      <c r="K21" s="237">
        <v>529</v>
      </c>
      <c r="L21" s="77">
        <v>959</v>
      </c>
      <c r="M21" s="77">
        <v>699</v>
      </c>
      <c r="N21" s="77">
        <v>559</v>
      </c>
      <c r="O21" s="77">
        <v>459</v>
      </c>
      <c r="P21" s="77">
        <v>359</v>
      </c>
      <c r="Q21" s="77">
        <v>959</v>
      </c>
      <c r="R21" s="77">
        <v>699</v>
      </c>
      <c r="S21" s="77">
        <v>559</v>
      </c>
      <c r="T21" s="77">
        <v>459</v>
      </c>
      <c r="U21" s="77">
        <v>359</v>
      </c>
    </row>
    <row r="22" spans="1:21" ht="18" x14ac:dyDescent="0.25">
      <c r="A22" s="76" t="s">
        <v>426</v>
      </c>
      <c r="B22" s="237">
        <v>1029</v>
      </c>
      <c r="C22" s="237">
        <v>1059</v>
      </c>
      <c r="D22" s="237">
        <v>959</v>
      </c>
      <c r="E22" s="237">
        <v>959</v>
      </c>
      <c r="F22" s="237">
        <v>959</v>
      </c>
      <c r="G22" s="237">
        <v>529</v>
      </c>
      <c r="H22" s="237">
        <v>959</v>
      </c>
      <c r="I22" s="237">
        <v>959</v>
      </c>
      <c r="J22" s="237">
        <v>959</v>
      </c>
      <c r="K22" s="237">
        <v>529</v>
      </c>
      <c r="L22" s="77">
        <v>959</v>
      </c>
      <c r="M22" s="77">
        <v>699</v>
      </c>
      <c r="N22" s="77">
        <v>559</v>
      </c>
      <c r="O22" s="77">
        <v>459</v>
      </c>
      <c r="P22" s="77">
        <v>359</v>
      </c>
      <c r="Q22" s="77">
        <v>959</v>
      </c>
      <c r="R22" s="77">
        <v>699</v>
      </c>
      <c r="S22" s="77">
        <v>559</v>
      </c>
      <c r="T22" s="77">
        <v>459</v>
      </c>
      <c r="U22" s="77">
        <v>359</v>
      </c>
    </row>
    <row r="23" spans="1:21" ht="18" x14ac:dyDescent="0.25">
      <c r="A23" s="76" t="s">
        <v>433</v>
      </c>
      <c r="B23" s="237">
        <v>1339</v>
      </c>
      <c r="C23" s="237">
        <v>1349</v>
      </c>
      <c r="D23" s="78">
        <v>1249</v>
      </c>
      <c r="E23" s="78">
        <v>1249</v>
      </c>
      <c r="F23" s="78">
        <v>1249</v>
      </c>
      <c r="G23" s="237">
        <v>529</v>
      </c>
      <c r="H23" s="78">
        <v>1249</v>
      </c>
      <c r="I23" s="78">
        <v>1249</v>
      </c>
      <c r="J23" s="78">
        <v>1249</v>
      </c>
      <c r="K23" s="237">
        <v>529</v>
      </c>
      <c r="L23" s="77">
        <v>1249</v>
      </c>
      <c r="M23" s="77">
        <v>989</v>
      </c>
      <c r="N23" s="77">
        <v>849</v>
      </c>
      <c r="O23" s="77">
        <v>749</v>
      </c>
      <c r="P23" s="77">
        <v>649</v>
      </c>
      <c r="Q23" s="77">
        <v>1249</v>
      </c>
      <c r="R23" s="77">
        <v>989</v>
      </c>
      <c r="S23" s="77">
        <v>849</v>
      </c>
      <c r="T23" s="77">
        <v>749</v>
      </c>
      <c r="U23" s="77">
        <v>649</v>
      </c>
    </row>
    <row r="24" spans="1:21" ht="18" x14ac:dyDescent="0.25">
      <c r="A24" s="237" t="s">
        <v>440</v>
      </c>
      <c r="B24" s="237">
        <v>899</v>
      </c>
      <c r="C24" s="259">
        <v>929</v>
      </c>
      <c r="D24" s="78">
        <v>829</v>
      </c>
      <c r="E24" s="78">
        <v>829</v>
      </c>
      <c r="F24" s="78">
        <v>829</v>
      </c>
      <c r="G24" s="78">
        <v>429</v>
      </c>
      <c r="H24" s="78">
        <v>829</v>
      </c>
      <c r="I24" s="78">
        <v>829</v>
      </c>
      <c r="J24" s="78">
        <v>829</v>
      </c>
      <c r="K24" s="78">
        <v>429</v>
      </c>
      <c r="L24" s="77">
        <v>829</v>
      </c>
      <c r="M24" s="77">
        <v>569</v>
      </c>
      <c r="N24" s="77">
        <v>429</v>
      </c>
      <c r="O24" s="77">
        <v>329</v>
      </c>
      <c r="P24" s="77">
        <v>229</v>
      </c>
      <c r="Q24" s="77">
        <v>829</v>
      </c>
      <c r="R24" s="77">
        <v>569</v>
      </c>
      <c r="S24" s="77">
        <v>429</v>
      </c>
      <c r="T24" s="77">
        <v>329</v>
      </c>
      <c r="U24" s="77">
        <v>229</v>
      </c>
    </row>
    <row r="25" spans="1:21" ht="18" x14ac:dyDescent="0.25">
      <c r="A25" s="237" t="s">
        <v>440</v>
      </c>
      <c r="B25" s="237">
        <v>899</v>
      </c>
      <c r="C25" s="259">
        <v>929</v>
      </c>
      <c r="D25" s="78">
        <v>829</v>
      </c>
      <c r="E25" s="78">
        <v>829</v>
      </c>
      <c r="F25" s="78">
        <v>829</v>
      </c>
      <c r="G25" s="78">
        <v>429</v>
      </c>
      <c r="H25" s="78">
        <v>829</v>
      </c>
      <c r="I25" s="78">
        <v>829</v>
      </c>
      <c r="J25" s="78">
        <v>829</v>
      </c>
      <c r="K25" s="78">
        <v>429</v>
      </c>
      <c r="L25" s="77">
        <v>829</v>
      </c>
      <c r="M25" s="77">
        <v>569</v>
      </c>
      <c r="N25" s="77">
        <v>429</v>
      </c>
      <c r="O25" s="77">
        <v>329</v>
      </c>
      <c r="P25" s="77">
        <v>229</v>
      </c>
      <c r="Q25" s="77">
        <v>829</v>
      </c>
      <c r="R25" s="77">
        <v>569</v>
      </c>
      <c r="S25" s="77">
        <v>429</v>
      </c>
      <c r="T25" s="77">
        <v>329</v>
      </c>
      <c r="U25" s="77">
        <v>229</v>
      </c>
    </row>
    <row r="26" spans="1:21" ht="18" x14ac:dyDescent="0.25">
      <c r="A26" s="237" t="s">
        <v>440</v>
      </c>
      <c r="B26" s="237">
        <v>899</v>
      </c>
      <c r="C26" s="259">
        <v>929</v>
      </c>
      <c r="D26" s="78">
        <v>829</v>
      </c>
      <c r="E26" s="78">
        <v>829</v>
      </c>
      <c r="F26" s="78">
        <v>829</v>
      </c>
      <c r="G26" s="78">
        <v>429</v>
      </c>
      <c r="H26" s="78">
        <v>829</v>
      </c>
      <c r="I26" s="78">
        <v>829</v>
      </c>
      <c r="J26" s="78">
        <v>829</v>
      </c>
      <c r="K26" s="78">
        <v>429</v>
      </c>
      <c r="L26" s="77">
        <v>829</v>
      </c>
      <c r="M26" s="77">
        <v>569</v>
      </c>
      <c r="N26" s="77">
        <v>429</v>
      </c>
      <c r="O26" s="77">
        <v>329</v>
      </c>
      <c r="P26" s="77">
        <v>229</v>
      </c>
      <c r="Q26" s="77">
        <v>829</v>
      </c>
      <c r="R26" s="77">
        <v>569</v>
      </c>
      <c r="S26" s="77">
        <v>429</v>
      </c>
      <c r="T26" s="77">
        <v>329</v>
      </c>
      <c r="U26" s="77">
        <v>229</v>
      </c>
    </row>
    <row r="27" spans="1:21" ht="36" x14ac:dyDescent="0.25">
      <c r="A27" s="118" t="s">
        <v>444</v>
      </c>
      <c r="B27" s="237">
        <v>899</v>
      </c>
      <c r="C27" s="237">
        <v>929</v>
      </c>
      <c r="D27" s="78">
        <v>829</v>
      </c>
      <c r="E27" s="78">
        <v>829</v>
      </c>
      <c r="F27" s="78">
        <v>829</v>
      </c>
      <c r="G27" s="78">
        <v>429</v>
      </c>
      <c r="H27" s="78">
        <v>829</v>
      </c>
      <c r="I27" s="78">
        <v>829</v>
      </c>
      <c r="J27" s="78">
        <v>829</v>
      </c>
      <c r="K27" s="78">
        <v>429</v>
      </c>
      <c r="L27" s="77">
        <v>829</v>
      </c>
      <c r="M27" s="77">
        <v>569</v>
      </c>
      <c r="N27" s="77">
        <v>429</v>
      </c>
      <c r="O27" s="77">
        <v>329</v>
      </c>
      <c r="P27" s="77">
        <v>229</v>
      </c>
      <c r="Q27" s="77">
        <v>829</v>
      </c>
      <c r="R27" s="77">
        <v>569</v>
      </c>
      <c r="S27" s="77">
        <v>429</v>
      </c>
      <c r="T27" s="77">
        <v>329</v>
      </c>
      <c r="U27" s="77">
        <v>229</v>
      </c>
    </row>
    <row r="28" spans="1:21" ht="18" x14ac:dyDescent="0.25">
      <c r="A28" s="237" t="s">
        <v>446</v>
      </c>
      <c r="B28" s="237">
        <v>1109</v>
      </c>
      <c r="C28" s="259">
        <v>1139</v>
      </c>
      <c r="D28" s="78">
        <v>1039</v>
      </c>
      <c r="E28" s="78">
        <v>1039</v>
      </c>
      <c r="F28" s="78">
        <v>1039</v>
      </c>
      <c r="G28" s="78">
        <v>629</v>
      </c>
      <c r="H28" s="78">
        <v>1039</v>
      </c>
      <c r="I28" s="78">
        <v>1039</v>
      </c>
      <c r="J28" s="78">
        <v>1039</v>
      </c>
      <c r="K28" s="78">
        <v>629</v>
      </c>
      <c r="L28" s="77">
        <v>1039</v>
      </c>
      <c r="M28" s="77">
        <v>779</v>
      </c>
      <c r="N28" s="77">
        <v>639</v>
      </c>
      <c r="O28" s="77">
        <v>539</v>
      </c>
      <c r="P28" s="77">
        <v>439</v>
      </c>
      <c r="Q28" s="77">
        <v>1039</v>
      </c>
      <c r="R28" s="77">
        <v>779</v>
      </c>
      <c r="S28" s="77">
        <v>639</v>
      </c>
      <c r="T28" s="77">
        <v>539</v>
      </c>
      <c r="U28" s="77">
        <v>439</v>
      </c>
    </row>
    <row r="29" spans="1:21" ht="18" x14ac:dyDescent="0.25">
      <c r="A29" s="237" t="s">
        <v>446</v>
      </c>
      <c r="B29" s="237">
        <v>1109</v>
      </c>
      <c r="C29" s="259">
        <v>1139</v>
      </c>
      <c r="D29" s="78">
        <v>1039</v>
      </c>
      <c r="E29" s="78">
        <v>1039</v>
      </c>
      <c r="F29" s="78">
        <v>1039</v>
      </c>
      <c r="G29" s="78">
        <v>629</v>
      </c>
      <c r="H29" s="78">
        <v>1039</v>
      </c>
      <c r="I29" s="78">
        <v>1039</v>
      </c>
      <c r="J29" s="78">
        <v>1039</v>
      </c>
      <c r="K29" s="78">
        <v>629</v>
      </c>
      <c r="L29" s="77">
        <v>1039</v>
      </c>
      <c r="M29" s="77">
        <v>779</v>
      </c>
      <c r="N29" s="77">
        <v>639</v>
      </c>
      <c r="O29" s="77">
        <v>539</v>
      </c>
      <c r="P29" s="77">
        <v>439</v>
      </c>
      <c r="Q29" s="77">
        <v>1039</v>
      </c>
      <c r="R29" s="77">
        <v>779</v>
      </c>
      <c r="S29" s="77">
        <v>639</v>
      </c>
      <c r="T29" s="77">
        <v>539</v>
      </c>
      <c r="U29" s="77">
        <v>439</v>
      </c>
    </row>
    <row r="30" spans="1:21" ht="18" x14ac:dyDescent="0.25">
      <c r="A30" s="237" t="s">
        <v>450</v>
      </c>
      <c r="B30" s="237">
        <v>1029</v>
      </c>
      <c r="C30" s="259">
        <v>1059</v>
      </c>
      <c r="D30" s="78">
        <v>959</v>
      </c>
      <c r="E30" s="78">
        <v>959</v>
      </c>
      <c r="F30" s="78">
        <v>959</v>
      </c>
      <c r="G30" s="78">
        <v>559</v>
      </c>
      <c r="H30" s="78">
        <v>959</v>
      </c>
      <c r="I30" s="78">
        <v>959</v>
      </c>
      <c r="J30" s="78">
        <v>959</v>
      </c>
      <c r="K30" s="78">
        <v>559</v>
      </c>
      <c r="L30" s="77">
        <v>959</v>
      </c>
      <c r="M30" s="77">
        <v>699</v>
      </c>
      <c r="N30" s="77">
        <v>559</v>
      </c>
      <c r="O30" s="77">
        <v>459</v>
      </c>
      <c r="P30" s="77">
        <v>359</v>
      </c>
      <c r="Q30" s="77">
        <v>959</v>
      </c>
      <c r="R30" s="77">
        <v>699</v>
      </c>
      <c r="S30" s="77">
        <v>559</v>
      </c>
      <c r="T30" s="77">
        <v>459</v>
      </c>
      <c r="U30" s="77">
        <v>359</v>
      </c>
    </row>
    <row r="31" spans="1:21" ht="18" x14ac:dyDescent="0.25">
      <c r="A31" s="237" t="s">
        <v>450</v>
      </c>
      <c r="B31" s="237">
        <v>1029</v>
      </c>
      <c r="C31" s="259">
        <v>1059</v>
      </c>
      <c r="D31" s="78">
        <v>959</v>
      </c>
      <c r="E31" s="78">
        <v>959</v>
      </c>
      <c r="F31" s="78">
        <v>959</v>
      </c>
      <c r="G31" s="78">
        <v>559</v>
      </c>
      <c r="H31" s="78">
        <v>959</v>
      </c>
      <c r="I31" s="78">
        <v>959</v>
      </c>
      <c r="J31" s="78">
        <v>959</v>
      </c>
      <c r="K31" s="78">
        <v>559</v>
      </c>
      <c r="L31" s="77">
        <v>959</v>
      </c>
      <c r="M31" s="77">
        <v>699</v>
      </c>
      <c r="N31" s="77">
        <v>559</v>
      </c>
      <c r="O31" s="77">
        <v>459</v>
      </c>
      <c r="P31" s="77">
        <v>359</v>
      </c>
      <c r="Q31" s="77">
        <v>959</v>
      </c>
      <c r="R31" s="77">
        <v>699</v>
      </c>
      <c r="S31" s="77">
        <v>559</v>
      </c>
      <c r="T31" s="77">
        <v>459</v>
      </c>
      <c r="U31" s="77">
        <v>359</v>
      </c>
    </row>
    <row r="32" spans="1:21" ht="18" x14ac:dyDescent="0.25">
      <c r="A32" s="237" t="s">
        <v>450</v>
      </c>
      <c r="B32" s="237">
        <v>1029</v>
      </c>
      <c r="C32" s="259">
        <v>1059</v>
      </c>
      <c r="D32" s="78">
        <v>959</v>
      </c>
      <c r="E32" s="78">
        <v>959</v>
      </c>
      <c r="F32" s="78">
        <v>959</v>
      </c>
      <c r="G32" s="78">
        <v>559</v>
      </c>
      <c r="H32" s="78">
        <v>959</v>
      </c>
      <c r="I32" s="78">
        <v>959</v>
      </c>
      <c r="J32" s="78">
        <v>959</v>
      </c>
      <c r="K32" s="78">
        <v>559</v>
      </c>
      <c r="L32" s="77">
        <v>959</v>
      </c>
      <c r="M32" s="77">
        <v>699</v>
      </c>
      <c r="N32" s="77">
        <v>559</v>
      </c>
      <c r="O32" s="77">
        <v>459</v>
      </c>
      <c r="P32" s="77">
        <v>359</v>
      </c>
      <c r="Q32" s="77">
        <v>959</v>
      </c>
      <c r="R32" s="77">
        <v>699</v>
      </c>
      <c r="S32" s="77">
        <v>559</v>
      </c>
      <c r="T32" s="77">
        <v>459</v>
      </c>
      <c r="U32" s="77">
        <v>359</v>
      </c>
    </row>
    <row r="33" spans="1:21" ht="36" x14ac:dyDescent="0.25">
      <c r="A33" s="118" t="s">
        <v>454</v>
      </c>
      <c r="B33" s="237">
        <v>1029</v>
      </c>
      <c r="C33" s="237">
        <v>1059</v>
      </c>
      <c r="D33" s="78">
        <v>959</v>
      </c>
      <c r="E33" s="78">
        <v>959</v>
      </c>
      <c r="F33" s="78">
        <v>959</v>
      </c>
      <c r="G33" s="78">
        <v>559</v>
      </c>
      <c r="H33" s="78">
        <v>959</v>
      </c>
      <c r="I33" s="78">
        <v>959</v>
      </c>
      <c r="J33" s="78">
        <v>959</v>
      </c>
      <c r="K33" s="78">
        <v>559</v>
      </c>
      <c r="L33" s="77">
        <v>959</v>
      </c>
      <c r="M33" s="77">
        <v>699</v>
      </c>
      <c r="N33" s="77">
        <v>559</v>
      </c>
      <c r="O33" s="77">
        <v>459</v>
      </c>
      <c r="P33" s="77">
        <v>359</v>
      </c>
      <c r="Q33" s="77">
        <v>959</v>
      </c>
      <c r="R33" s="77">
        <v>699</v>
      </c>
      <c r="S33" s="77">
        <v>559</v>
      </c>
      <c r="T33" s="77">
        <v>459</v>
      </c>
      <c r="U33" s="77">
        <v>359</v>
      </c>
    </row>
    <row r="34" spans="1:21" ht="18" x14ac:dyDescent="0.25">
      <c r="A34" s="237" t="s">
        <v>456</v>
      </c>
      <c r="B34" s="237">
        <v>1239</v>
      </c>
      <c r="C34" s="259">
        <v>1269</v>
      </c>
      <c r="D34" s="78">
        <v>1169</v>
      </c>
      <c r="E34" s="78">
        <v>1169</v>
      </c>
      <c r="F34" s="78">
        <v>1169</v>
      </c>
      <c r="G34" s="78">
        <v>759</v>
      </c>
      <c r="H34" s="78">
        <v>1169</v>
      </c>
      <c r="I34" s="78">
        <v>1169</v>
      </c>
      <c r="J34" s="78">
        <v>1169</v>
      </c>
      <c r="K34" s="78">
        <v>759</v>
      </c>
      <c r="L34" s="77">
        <v>1169</v>
      </c>
      <c r="M34" s="77">
        <v>909</v>
      </c>
      <c r="N34" s="77">
        <v>769</v>
      </c>
      <c r="O34" s="77">
        <v>669</v>
      </c>
      <c r="P34" s="77">
        <v>569</v>
      </c>
      <c r="Q34" s="77">
        <v>1169</v>
      </c>
      <c r="R34" s="77">
        <v>909</v>
      </c>
      <c r="S34" s="77">
        <v>769</v>
      </c>
      <c r="T34" s="77">
        <v>669</v>
      </c>
      <c r="U34" s="77">
        <v>569</v>
      </c>
    </row>
    <row r="35" spans="1:21" ht="18" x14ac:dyDescent="0.25">
      <c r="A35" s="237" t="s">
        <v>456</v>
      </c>
      <c r="B35" s="237">
        <v>1239</v>
      </c>
      <c r="C35" s="259">
        <v>1269</v>
      </c>
      <c r="D35" s="78">
        <v>1169</v>
      </c>
      <c r="E35" s="78">
        <v>1169</v>
      </c>
      <c r="F35" s="78">
        <v>1169</v>
      </c>
      <c r="G35" s="78">
        <v>759</v>
      </c>
      <c r="H35" s="78">
        <v>1169</v>
      </c>
      <c r="I35" s="78">
        <v>1169</v>
      </c>
      <c r="J35" s="78">
        <v>1169</v>
      </c>
      <c r="K35" s="78">
        <v>759</v>
      </c>
      <c r="L35" s="77">
        <v>1169</v>
      </c>
      <c r="M35" s="77">
        <v>909</v>
      </c>
      <c r="N35" s="77">
        <v>769</v>
      </c>
      <c r="O35" s="77">
        <v>669</v>
      </c>
      <c r="P35" s="77">
        <v>569</v>
      </c>
      <c r="Q35" s="77">
        <v>1169</v>
      </c>
      <c r="R35" s="77">
        <v>909</v>
      </c>
      <c r="S35" s="77">
        <v>769</v>
      </c>
      <c r="T35" s="77">
        <v>669</v>
      </c>
      <c r="U35" s="77">
        <v>569</v>
      </c>
    </row>
    <row r="36" spans="1:21" ht="18" x14ac:dyDescent="0.25">
      <c r="A36" s="237" t="s">
        <v>460</v>
      </c>
      <c r="B36" s="237">
        <v>1289</v>
      </c>
      <c r="C36" s="237">
        <v>1319</v>
      </c>
      <c r="D36" s="78">
        <v>1219</v>
      </c>
      <c r="E36" s="78">
        <v>1219</v>
      </c>
      <c r="F36" s="78">
        <v>1219</v>
      </c>
      <c r="G36" s="78">
        <v>799</v>
      </c>
      <c r="H36" s="78">
        <v>1219</v>
      </c>
      <c r="I36" s="78">
        <v>1219</v>
      </c>
      <c r="J36" s="78">
        <v>1219</v>
      </c>
      <c r="K36" s="78">
        <v>799</v>
      </c>
      <c r="L36" s="77">
        <v>1219</v>
      </c>
      <c r="M36" s="77">
        <v>959</v>
      </c>
      <c r="N36" s="77">
        <v>819</v>
      </c>
      <c r="O36" s="77">
        <v>719</v>
      </c>
      <c r="P36" s="77">
        <v>619</v>
      </c>
      <c r="Q36" s="77">
        <v>1219</v>
      </c>
      <c r="R36" s="77">
        <v>959</v>
      </c>
      <c r="S36" s="77">
        <v>819</v>
      </c>
      <c r="T36" s="77">
        <v>719</v>
      </c>
      <c r="U36" s="77">
        <v>619</v>
      </c>
    </row>
    <row r="37" spans="1:21" ht="18" x14ac:dyDescent="0.25">
      <c r="A37" s="237" t="s">
        <v>460</v>
      </c>
      <c r="B37" s="237">
        <v>1289</v>
      </c>
      <c r="C37" s="237">
        <v>1319</v>
      </c>
      <c r="D37" s="78">
        <v>1219</v>
      </c>
      <c r="E37" s="78">
        <v>1219</v>
      </c>
      <c r="F37" s="78">
        <v>1219</v>
      </c>
      <c r="G37" s="78">
        <v>799</v>
      </c>
      <c r="H37" s="78">
        <v>1219</v>
      </c>
      <c r="I37" s="78">
        <v>1219</v>
      </c>
      <c r="J37" s="78">
        <v>1219</v>
      </c>
      <c r="K37" s="78">
        <v>799</v>
      </c>
      <c r="L37" s="77">
        <v>1219</v>
      </c>
      <c r="M37" s="77">
        <v>959</v>
      </c>
      <c r="N37" s="77">
        <v>819</v>
      </c>
      <c r="O37" s="77">
        <v>719</v>
      </c>
      <c r="P37" s="77">
        <v>619</v>
      </c>
      <c r="Q37" s="77">
        <v>1219</v>
      </c>
      <c r="R37" s="77">
        <v>959</v>
      </c>
      <c r="S37" s="77">
        <v>819</v>
      </c>
      <c r="T37" s="77">
        <v>719</v>
      </c>
      <c r="U37" s="77">
        <v>619</v>
      </c>
    </row>
    <row r="38" spans="1:21" ht="18" x14ac:dyDescent="0.25">
      <c r="A38" s="237" t="s">
        <v>463</v>
      </c>
      <c r="B38" s="237">
        <v>1499</v>
      </c>
      <c r="C38" s="237">
        <v>1529</v>
      </c>
      <c r="D38" s="78">
        <v>1429</v>
      </c>
      <c r="E38" s="78">
        <v>1429</v>
      </c>
      <c r="F38" s="78">
        <v>1429</v>
      </c>
      <c r="G38" s="78">
        <v>999</v>
      </c>
      <c r="H38" s="78">
        <v>1429</v>
      </c>
      <c r="I38" s="78">
        <v>1429</v>
      </c>
      <c r="J38" s="78">
        <v>1429</v>
      </c>
      <c r="K38" s="78">
        <v>999</v>
      </c>
      <c r="L38" s="77">
        <v>1429</v>
      </c>
      <c r="M38" s="77">
        <v>1169</v>
      </c>
      <c r="N38" s="77">
        <v>1029</v>
      </c>
      <c r="O38" s="77">
        <v>929</v>
      </c>
      <c r="P38" s="77">
        <v>829</v>
      </c>
      <c r="Q38" s="77">
        <v>1429</v>
      </c>
      <c r="R38" s="77">
        <v>1169</v>
      </c>
      <c r="S38" s="77">
        <v>1029</v>
      </c>
      <c r="T38" s="77">
        <v>929</v>
      </c>
      <c r="U38" s="77">
        <v>829</v>
      </c>
    </row>
    <row r="39" spans="1:21" ht="18" x14ac:dyDescent="0.25">
      <c r="A39" s="237" t="s">
        <v>463</v>
      </c>
      <c r="B39" s="237">
        <v>1499</v>
      </c>
      <c r="C39" s="237">
        <v>1529</v>
      </c>
      <c r="D39" s="78">
        <v>1429</v>
      </c>
      <c r="E39" s="78">
        <v>1429</v>
      </c>
      <c r="F39" s="78">
        <v>1429</v>
      </c>
      <c r="G39" s="78">
        <v>999</v>
      </c>
      <c r="H39" s="78">
        <v>1429</v>
      </c>
      <c r="I39" s="78">
        <v>1429</v>
      </c>
      <c r="J39" s="78">
        <v>1429</v>
      </c>
      <c r="K39" s="78">
        <v>999</v>
      </c>
      <c r="L39" s="77">
        <v>1429</v>
      </c>
      <c r="M39" s="77">
        <v>1169</v>
      </c>
      <c r="N39" s="77">
        <v>1029</v>
      </c>
      <c r="O39" s="77">
        <v>929</v>
      </c>
      <c r="P39" s="77">
        <v>829</v>
      </c>
      <c r="Q39" s="77">
        <v>1429</v>
      </c>
      <c r="R39" s="77">
        <v>1169</v>
      </c>
      <c r="S39" s="77">
        <v>1029</v>
      </c>
      <c r="T39" s="77">
        <v>929</v>
      </c>
      <c r="U39" s="77">
        <v>829</v>
      </c>
    </row>
    <row r="40" spans="1:21" ht="18" x14ac:dyDescent="0.25">
      <c r="A40" s="76" t="s">
        <v>470</v>
      </c>
      <c r="B40" s="237">
        <v>599</v>
      </c>
      <c r="C40" s="237">
        <v>619</v>
      </c>
      <c r="D40" s="78" t="s">
        <v>40</v>
      </c>
      <c r="E40" s="78" t="s">
        <v>40</v>
      </c>
      <c r="F40" s="78" t="s">
        <v>40</v>
      </c>
      <c r="G40" s="78" t="s">
        <v>40</v>
      </c>
      <c r="H40" s="78" t="s">
        <v>40</v>
      </c>
      <c r="I40" s="78" t="s">
        <v>40</v>
      </c>
      <c r="J40" s="78" t="s">
        <v>40</v>
      </c>
      <c r="K40" s="78" t="s">
        <v>40</v>
      </c>
      <c r="L40" s="77">
        <v>499</v>
      </c>
      <c r="M40" s="77">
        <v>239</v>
      </c>
      <c r="N40" s="77">
        <v>99</v>
      </c>
      <c r="O40" s="77">
        <v>0</v>
      </c>
      <c r="P40" s="77">
        <v>0</v>
      </c>
      <c r="Q40" s="77">
        <v>499</v>
      </c>
      <c r="R40" s="77">
        <v>239</v>
      </c>
      <c r="S40" s="77">
        <v>99</v>
      </c>
      <c r="T40" s="77">
        <v>0</v>
      </c>
      <c r="U40" s="77">
        <v>0</v>
      </c>
    </row>
    <row r="41" spans="1:21" ht="18" x14ac:dyDescent="0.25">
      <c r="A41" s="76" t="s">
        <v>470</v>
      </c>
      <c r="B41" s="237">
        <v>599</v>
      </c>
      <c r="C41" s="237">
        <v>619</v>
      </c>
      <c r="D41" s="78" t="s">
        <v>40</v>
      </c>
      <c r="E41" s="78" t="s">
        <v>40</v>
      </c>
      <c r="F41" s="78" t="s">
        <v>40</v>
      </c>
      <c r="G41" s="78" t="s">
        <v>40</v>
      </c>
      <c r="H41" s="78" t="s">
        <v>40</v>
      </c>
      <c r="I41" s="78" t="s">
        <v>40</v>
      </c>
      <c r="J41" s="78" t="s">
        <v>40</v>
      </c>
      <c r="K41" s="78" t="s">
        <v>40</v>
      </c>
      <c r="L41" s="77">
        <v>499</v>
      </c>
      <c r="M41" s="77">
        <v>239</v>
      </c>
      <c r="N41" s="77">
        <v>99</v>
      </c>
      <c r="O41" s="77">
        <v>0</v>
      </c>
      <c r="P41" s="77">
        <v>0</v>
      </c>
      <c r="Q41" s="77">
        <v>499</v>
      </c>
      <c r="R41" s="77">
        <v>239</v>
      </c>
      <c r="S41" s="77">
        <v>99</v>
      </c>
      <c r="T41" s="77">
        <v>0</v>
      </c>
      <c r="U41" s="77">
        <v>0</v>
      </c>
    </row>
    <row r="42" spans="1:21" ht="18" x14ac:dyDescent="0.25">
      <c r="A42" s="76" t="s">
        <v>473</v>
      </c>
      <c r="B42" s="237">
        <v>729</v>
      </c>
      <c r="C42" s="237">
        <v>749</v>
      </c>
      <c r="D42" s="78" t="s">
        <v>40</v>
      </c>
      <c r="E42" s="78" t="s">
        <v>40</v>
      </c>
      <c r="F42" s="78" t="s">
        <v>40</v>
      </c>
      <c r="G42" s="78" t="s">
        <v>40</v>
      </c>
      <c r="H42" s="78" t="s">
        <v>40</v>
      </c>
      <c r="I42" s="78" t="s">
        <v>40</v>
      </c>
      <c r="J42" s="78" t="s">
        <v>40</v>
      </c>
      <c r="K42" s="78" t="s">
        <v>40</v>
      </c>
      <c r="L42" s="77">
        <v>629</v>
      </c>
      <c r="M42" s="77">
        <v>369</v>
      </c>
      <c r="N42" s="77">
        <v>229</v>
      </c>
      <c r="O42" s="77">
        <v>129</v>
      </c>
      <c r="P42" s="77">
        <v>29</v>
      </c>
      <c r="Q42" s="77">
        <v>629</v>
      </c>
      <c r="R42" s="77">
        <v>369</v>
      </c>
      <c r="S42" s="77">
        <v>229</v>
      </c>
      <c r="T42" s="77">
        <v>129</v>
      </c>
      <c r="U42" s="77">
        <v>29</v>
      </c>
    </row>
    <row r="43" spans="1:21" ht="18" x14ac:dyDescent="0.25">
      <c r="A43" s="76" t="s">
        <v>473</v>
      </c>
      <c r="B43" s="237">
        <v>729</v>
      </c>
      <c r="C43" s="237">
        <v>749</v>
      </c>
      <c r="D43" s="78" t="s">
        <v>40</v>
      </c>
      <c r="E43" s="78" t="s">
        <v>40</v>
      </c>
      <c r="F43" s="78" t="s">
        <v>40</v>
      </c>
      <c r="G43" s="78" t="s">
        <v>40</v>
      </c>
      <c r="H43" s="78" t="s">
        <v>40</v>
      </c>
      <c r="I43" s="78" t="s">
        <v>40</v>
      </c>
      <c r="J43" s="78" t="s">
        <v>40</v>
      </c>
      <c r="K43" s="78" t="s">
        <v>40</v>
      </c>
      <c r="L43" s="77">
        <v>629</v>
      </c>
      <c r="M43" s="77">
        <v>369</v>
      </c>
      <c r="N43" s="77">
        <v>229</v>
      </c>
      <c r="O43" s="77">
        <v>129</v>
      </c>
      <c r="P43" s="77">
        <v>29</v>
      </c>
      <c r="Q43" s="77">
        <v>629</v>
      </c>
      <c r="R43" s="77">
        <v>369</v>
      </c>
      <c r="S43" s="77">
        <v>229</v>
      </c>
      <c r="T43" s="77">
        <v>129</v>
      </c>
      <c r="U43" s="77">
        <v>29</v>
      </c>
    </row>
    <row r="44" spans="1:21" ht="18" x14ac:dyDescent="0.25">
      <c r="A44" s="76" t="s">
        <v>476</v>
      </c>
      <c r="B44" s="77">
        <v>1149</v>
      </c>
      <c r="C44" s="77">
        <v>1219</v>
      </c>
      <c r="D44" s="78" t="s">
        <v>40</v>
      </c>
      <c r="E44" s="78" t="s">
        <v>40</v>
      </c>
      <c r="F44" s="78" t="s">
        <v>40</v>
      </c>
      <c r="G44" s="78" t="s">
        <v>40</v>
      </c>
      <c r="H44" s="78" t="s">
        <v>40</v>
      </c>
      <c r="I44" s="78" t="s">
        <v>40</v>
      </c>
      <c r="J44" s="78" t="s">
        <v>40</v>
      </c>
      <c r="K44" s="78" t="s">
        <v>40</v>
      </c>
      <c r="L44" s="77">
        <v>1119</v>
      </c>
      <c r="M44" s="77">
        <v>859</v>
      </c>
      <c r="N44" s="77">
        <v>719</v>
      </c>
      <c r="O44" s="77">
        <v>619</v>
      </c>
      <c r="P44" s="77">
        <v>519</v>
      </c>
      <c r="Q44" s="77">
        <v>1119</v>
      </c>
      <c r="R44" s="77">
        <v>859</v>
      </c>
      <c r="S44" s="77">
        <v>719</v>
      </c>
      <c r="T44" s="77">
        <v>619</v>
      </c>
      <c r="U44" s="77">
        <v>519</v>
      </c>
    </row>
    <row r="45" spans="1:21" ht="18" x14ac:dyDescent="0.25">
      <c r="A45" s="76" t="s">
        <v>480</v>
      </c>
      <c r="B45" s="77">
        <v>659</v>
      </c>
      <c r="C45" s="77">
        <v>679</v>
      </c>
      <c r="D45" s="78">
        <v>579</v>
      </c>
      <c r="E45" s="78">
        <v>579</v>
      </c>
      <c r="F45" s="78">
        <v>579</v>
      </c>
      <c r="G45" s="78">
        <v>149</v>
      </c>
      <c r="H45" s="78">
        <v>579</v>
      </c>
      <c r="I45" s="78">
        <v>579</v>
      </c>
      <c r="J45" s="78">
        <v>579</v>
      </c>
      <c r="K45" s="78">
        <v>149</v>
      </c>
      <c r="L45" s="77">
        <v>579</v>
      </c>
      <c r="M45" s="77">
        <v>319</v>
      </c>
      <c r="N45" s="77">
        <v>179</v>
      </c>
      <c r="O45" s="77">
        <v>79</v>
      </c>
      <c r="P45" s="77">
        <v>0</v>
      </c>
      <c r="Q45" s="77">
        <v>579</v>
      </c>
      <c r="R45" s="77">
        <v>319</v>
      </c>
      <c r="S45" s="77">
        <v>179</v>
      </c>
      <c r="T45" s="77">
        <v>79</v>
      </c>
      <c r="U45" s="77">
        <v>0</v>
      </c>
    </row>
    <row r="46" spans="1:21" ht="18" x14ac:dyDescent="0.25">
      <c r="A46" s="76" t="s">
        <v>498</v>
      </c>
      <c r="B46" s="77">
        <v>869</v>
      </c>
      <c r="C46" s="77">
        <v>899</v>
      </c>
      <c r="D46" s="78">
        <v>799</v>
      </c>
      <c r="E46" s="78">
        <v>799</v>
      </c>
      <c r="F46" s="78">
        <v>799</v>
      </c>
      <c r="G46" s="78">
        <v>429</v>
      </c>
      <c r="H46" s="78">
        <v>799</v>
      </c>
      <c r="I46" s="78">
        <v>799</v>
      </c>
      <c r="J46" s="78">
        <v>799</v>
      </c>
      <c r="K46" s="78">
        <v>429</v>
      </c>
      <c r="L46" s="77">
        <v>799</v>
      </c>
      <c r="M46" s="77">
        <v>539</v>
      </c>
      <c r="N46" s="77">
        <v>399</v>
      </c>
      <c r="O46" s="77">
        <v>299</v>
      </c>
      <c r="P46" s="77">
        <v>199</v>
      </c>
      <c r="Q46" s="77">
        <v>799</v>
      </c>
      <c r="R46" s="77">
        <v>539</v>
      </c>
      <c r="S46" s="77">
        <v>399</v>
      </c>
      <c r="T46" s="77">
        <v>299</v>
      </c>
      <c r="U46" s="77">
        <v>199</v>
      </c>
    </row>
    <row r="47" spans="1:21" ht="18" x14ac:dyDescent="0.25">
      <c r="A47" s="76" t="s">
        <v>498</v>
      </c>
      <c r="B47" s="77">
        <v>869</v>
      </c>
      <c r="C47" s="77">
        <v>899</v>
      </c>
      <c r="D47" s="78">
        <v>799</v>
      </c>
      <c r="E47" s="78">
        <v>799</v>
      </c>
      <c r="F47" s="78">
        <v>799</v>
      </c>
      <c r="G47" s="78">
        <v>429</v>
      </c>
      <c r="H47" s="78">
        <v>799</v>
      </c>
      <c r="I47" s="78">
        <v>799</v>
      </c>
      <c r="J47" s="78">
        <v>799</v>
      </c>
      <c r="K47" s="78">
        <v>429</v>
      </c>
      <c r="L47" s="77">
        <v>799</v>
      </c>
      <c r="M47" s="77">
        <v>539</v>
      </c>
      <c r="N47" s="77">
        <v>399</v>
      </c>
      <c r="O47" s="77">
        <v>299</v>
      </c>
      <c r="P47" s="77">
        <v>199</v>
      </c>
      <c r="Q47" s="77">
        <v>799</v>
      </c>
      <c r="R47" s="77">
        <v>539</v>
      </c>
      <c r="S47" s="77">
        <v>399</v>
      </c>
      <c r="T47" s="77">
        <v>299</v>
      </c>
      <c r="U47" s="77">
        <v>199</v>
      </c>
    </row>
    <row r="48" spans="1:21" ht="18" x14ac:dyDescent="0.25">
      <c r="A48" s="76" t="s">
        <v>501</v>
      </c>
      <c r="B48" s="77">
        <v>999</v>
      </c>
      <c r="C48" s="77">
        <v>1029</v>
      </c>
      <c r="D48" s="78">
        <v>929</v>
      </c>
      <c r="E48" s="78">
        <v>929</v>
      </c>
      <c r="F48" s="78">
        <v>929</v>
      </c>
      <c r="G48" s="78">
        <v>539</v>
      </c>
      <c r="H48" s="78">
        <v>929</v>
      </c>
      <c r="I48" s="78">
        <v>929</v>
      </c>
      <c r="J48" s="78">
        <v>929</v>
      </c>
      <c r="K48" s="78">
        <v>539</v>
      </c>
      <c r="L48" s="77">
        <v>929</v>
      </c>
      <c r="M48" s="77">
        <v>669</v>
      </c>
      <c r="N48" s="77">
        <v>529</v>
      </c>
      <c r="O48" s="77">
        <v>429</v>
      </c>
      <c r="P48" s="77">
        <v>329</v>
      </c>
      <c r="Q48" s="77">
        <v>929</v>
      </c>
      <c r="R48" s="77">
        <v>669</v>
      </c>
      <c r="S48" s="77">
        <v>529</v>
      </c>
      <c r="T48" s="77">
        <v>429</v>
      </c>
      <c r="U48" s="77">
        <v>329</v>
      </c>
    </row>
    <row r="49" spans="1:21" ht="18" x14ac:dyDescent="0.25">
      <c r="A49" s="76" t="s">
        <v>501</v>
      </c>
      <c r="B49" s="77">
        <v>999</v>
      </c>
      <c r="C49" s="77">
        <v>1029</v>
      </c>
      <c r="D49" s="78">
        <v>929</v>
      </c>
      <c r="E49" s="78">
        <v>929</v>
      </c>
      <c r="F49" s="78">
        <v>929</v>
      </c>
      <c r="G49" s="78">
        <v>539</v>
      </c>
      <c r="H49" s="78">
        <v>929</v>
      </c>
      <c r="I49" s="78">
        <v>929</v>
      </c>
      <c r="J49" s="78">
        <v>929</v>
      </c>
      <c r="K49" s="78">
        <v>539</v>
      </c>
      <c r="L49" s="77">
        <v>929</v>
      </c>
      <c r="M49" s="77">
        <v>669</v>
      </c>
      <c r="N49" s="77">
        <v>529</v>
      </c>
      <c r="O49" s="77">
        <v>429</v>
      </c>
      <c r="P49" s="77">
        <v>329</v>
      </c>
      <c r="Q49" s="77">
        <v>929</v>
      </c>
      <c r="R49" s="77">
        <v>669</v>
      </c>
      <c r="S49" s="77">
        <v>529</v>
      </c>
      <c r="T49" s="77">
        <v>429</v>
      </c>
      <c r="U49" s="77">
        <v>329</v>
      </c>
    </row>
    <row r="50" spans="1:21" ht="18" x14ac:dyDescent="0.25">
      <c r="A50" s="76" t="s">
        <v>504</v>
      </c>
      <c r="B50" s="77">
        <v>1129</v>
      </c>
      <c r="C50" s="77">
        <v>1159</v>
      </c>
      <c r="D50" s="78">
        <v>1059</v>
      </c>
      <c r="E50" s="78">
        <v>1059</v>
      </c>
      <c r="F50" s="78">
        <v>1059</v>
      </c>
      <c r="G50" s="78">
        <v>669</v>
      </c>
      <c r="H50" s="78">
        <v>1059</v>
      </c>
      <c r="I50" s="78">
        <v>1059</v>
      </c>
      <c r="J50" s="78">
        <v>1059</v>
      </c>
      <c r="K50" s="78">
        <v>669</v>
      </c>
      <c r="L50" s="77">
        <v>1059</v>
      </c>
      <c r="M50" s="77">
        <v>799</v>
      </c>
      <c r="N50" s="77">
        <v>659</v>
      </c>
      <c r="O50" s="77">
        <v>559</v>
      </c>
      <c r="P50" s="77">
        <v>459</v>
      </c>
      <c r="Q50" s="77">
        <v>1059</v>
      </c>
      <c r="R50" s="77">
        <v>799</v>
      </c>
      <c r="S50" s="77">
        <v>659</v>
      </c>
      <c r="T50" s="77">
        <v>559</v>
      </c>
      <c r="U50" s="77">
        <v>459</v>
      </c>
    </row>
    <row r="51" spans="1:21" ht="18" x14ac:dyDescent="0.25">
      <c r="A51" s="76" t="s">
        <v>504</v>
      </c>
      <c r="B51" s="77">
        <v>1129</v>
      </c>
      <c r="C51" s="77">
        <v>1159</v>
      </c>
      <c r="D51" s="78">
        <v>1059</v>
      </c>
      <c r="E51" s="78">
        <v>1059</v>
      </c>
      <c r="F51" s="78">
        <v>1059</v>
      </c>
      <c r="G51" s="78">
        <v>669</v>
      </c>
      <c r="H51" s="78">
        <v>1059</v>
      </c>
      <c r="I51" s="78">
        <v>1059</v>
      </c>
      <c r="J51" s="78">
        <v>1059</v>
      </c>
      <c r="K51" s="78">
        <v>669</v>
      </c>
      <c r="L51" s="77">
        <v>1059</v>
      </c>
      <c r="M51" s="77">
        <v>799</v>
      </c>
      <c r="N51" s="77">
        <v>659</v>
      </c>
      <c r="O51" s="77">
        <v>559</v>
      </c>
      <c r="P51" s="77">
        <v>459</v>
      </c>
      <c r="Q51" s="77">
        <v>1059</v>
      </c>
      <c r="R51" s="77">
        <v>799</v>
      </c>
      <c r="S51" s="77">
        <v>659</v>
      </c>
      <c r="T51" s="77">
        <v>559</v>
      </c>
      <c r="U51" s="77">
        <v>459</v>
      </c>
    </row>
    <row r="52" spans="1:21" ht="18" x14ac:dyDescent="0.25">
      <c r="A52" s="76" t="s">
        <v>122</v>
      </c>
      <c r="B52" s="77">
        <v>130</v>
      </c>
      <c r="C52" s="77">
        <v>179.99</v>
      </c>
      <c r="D52" s="78">
        <v>39.99</v>
      </c>
      <c r="E52" s="78" t="s">
        <v>40</v>
      </c>
      <c r="F52" s="78" t="s">
        <v>40</v>
      </c>
      <c r="G52" s="77" t="s">
        <v>40</v>
      </c>
      <c r="H52" s="78">
        <v>39.99</v>
      </c>
      <c r="I52" s="78" t="s">
        <v>40</v>
      </c>
      <c r="J52" s="78" t="s">
        <v>40</v>
      </c>
      <c r="K52" s="77" t="s">
        <v>40</v>
      </c>
      <c r="L52" s="77">
        <v>79.990000000000009</v>
      </c>
      <c r="M52" s="77">
        <v>0</v>
      </c>
      <c r="N52" s="77">
        <v>0</v>
      </c>
      <c r="O52" s="77">
        <v>0</v>
      </c>
      <c r="P52" s="77">
        <v>0</v>
      </c>
      <c r="Q52" s="77">
        <v>79.990000000000009</v>
      </c>
      <c r="R52" s="77">
        <v>0</v>
      </c>
      <c r="S52" s="77">
        <v>0</v>
      </c>
      <c r="T52" s="77">
        <v>0</v>
      </c>
      <c r="U52" s="77">
        <v>0</v>
      </c>
    </row>
    <row r="53" spans="1:21" ht="18" x14ac:dyDescent="0.25">
      <c r="A53" s="82" t="s">
        <v>520</v>
      </c>
      <c r="B53" s="83">
        <v>399</v>
      </c>
      <c r="C53" s="83">
        <v>499</v>
      </c>
      <c r="D53" s="84">
        <v>399</v>
      </c>
      <c r="E53" s="84">
        <v>399</v>
      </c>
      <c r="F53" s="84">
        <v>399</v>
      </c>
      <c r="G53" s="83">
        <v>0</v>
      </c>
      <c r="H53" s="84">
        <v>399</v>
      </c>
      <c r="I53" s="84">
        <v>399</v>
      </c>
      <c r="J53" s="84">
        <v>399</v>
      </c>
      <c r="K53" s="83">
        <v>0</v>
      </c>
      <c r="L53" s="83">
        <v>399</v>
      </c>
      <c r="M53" s="83">
        <v>139</v>
      </c>
      <c r="N53" s="83">
        <v>0</v>
      </c>
      <c r="O53" s="83">
        <v>0</v>
      </c>
      <c r="P53" s="83">
        <v>0</v>
      </c>
      <c r="Q53" s="83">
        <v>399</v>
      </c>
      <c r="R53" s="83">
        <v>139</v>
      </c>
      <c r="S53" s="83">
        <v>0</v>
      </c>
      <c r="T53" s="83">
        <v>0</v>
      </c>
      <c r="U53" s="83">
        <v>0</v>
      </c>
    </row>
    <row r="54" spans="1:21" ht="18" x14ac:dyDescent="0.25">
      <c r="A54" s="82" t="s">
        <v>522</v>
      </c>
      <c r="B54" s="83">
        <v>649</v>
      </c>
      <c r="C54" s="83">
        <v>749</v>
      </c>
      <c r="D54" s="84">
        <v>649</v>
      </c>
      <c r="E54" s="84">
        <v>649</v>
      </c>
      <c r="F54" s="84">
        <v>649</v>
      </c>
      <c r="G54" s="83">
        <v>249</v>
      </c>
      <c r="H54" s="84">
        <v>649</v>
      </c>
      <c r="I54" s="84">
        <v>649</v>
      </c>
      <c r="J54" s="84">
        <v>649</v>
      </c>
      <c r="K54" s="83">
        <v>249</v>
      </c>
      <c r="L54" s="83">
        <v>649</v>
      </c>
      <c r="M54" s="83">
        <v>389</v>
      </c>
      <c r="N54" s="83">
        <v>249</v>
      </c>
      <c r="O54" s="83">
        <v>149</v>
      </c>
      <c r="P54" s="83">
        <v>49</v>
      </c>
      <c r="Q54" s="83">
        <v>649</v>
      </c>
      <c r="R54" s="83">
        <v>389</v>
      </c>
      <c r="S54" s="83">
        <v>249</v>
      </c>
      <c r="T54" s="83">
        <v>149</v>
      </c>
      <c r="U54" s="83">
        <v>49</v>
      </c>
    </row>
    <row r="55" spans="1:21" ht="18" x14ac:dyDescent="0.25">
      <c r="A55" s="82" t="s">
        <v>524</v>
      </c>
      <c r="B55" s="83">
        <v>899</v>
      </c>
      <c r="C55" s="83">
        <v>999</v>
      </c>
      <c r="D55" s="84">
        <v>899</v>
      </c>
      <c r="E55" s="84">
        <v>899</v>
      </c>
      <c r="F55" s="84">
        <v>899</v>
      </c>
      <c r="G55" s="83">
        <v>499</v>
      </c>
      <c r="H55" s="84">
        <v>899</v>
      </c>
      <c r="I55" s="84">
        <v>899</v>
      </c>
      <c r="J55" s="84">
        <v>899</v>
      </c>
      <c r="K55" s="83">
        <v>499</v>
      </c>
      <c r="L55" s="83">
        <v>899</v>
      </c>
      <c r="M55" s="83">
        <v>639</v>
      </c>
      <c r="N55" s="83">
        <v>499</v>
      </c>
      <c r="O55" s="83">
        <v>399</v>
      </c>
      <c r="P55" s="83">
        <v>299</v>
      </c>
      <c r="Q55" s="83">
        <v>899</v>
      </c>
      <c r="R55" s="83">
        <v>639</v>
      </c>
      <c r="S55" s="83">
        <v>499</v>
      </c>
      <c r="T55" s="83">
        <v>399</v>
      </c>
      <c r="U55" s="83">
        <v>299</v>
      </c>
    </row>
    <row r="56" spans="1:21" ht="36" x14ac:dyDescent="0.25">
      <c r="A56" s="82" t="s">
        <v>526</v>
      </c>
      <c r="B56" s="83">
        <v>0</v>
      </c>
      <c r="C56" s="83">
        <v>0</v>
      </c>
      <c r="D56" s="84" t="s">
        <v>40</v>
      </c>
      <c r="E56" s="84" t="s">
        <v>40</v>
      </c>
      <c r="F56" s="84" t="s">
        <v>40</v>
      </c>
      <c r="G56" s="84" t="s">
        <v>40</v>
      </c>
      <c r="H56" s="84" t="s">
        <v>40</v>
      </c>
      <c r="I56" s="84" t="s">
        <v>40</v>
      </c>
      <c r="J56" s="84" t="s">
        <v>40</v>
      </c>
      <c r="K56" s="84" t="s">
        <v>40</v>
      </c>
      <c r="L56" s="84" t="s">
        <v>40</v>
      </c>
      <c r="M56" s="84" t="s">
        <v>40</v>
      </c>
      <c r="N56" s="84" t="s">
        <v>40</v>
      </c>
      <c r="O56" s="84" t="s">
        <v>40</v>
      </c>
      <c r="P56" s="84" t="s">
        <v>40</v>
      </c>
      <c r="Q56" s="84" t="s">
        <v>40</v>
      </c>
      <c r="R56" s="84" t="s">
        <v>40</v>
      </c>
      <c r="S56" s="84" t="s">
        <v>40</v>
      </c>
      <c r="T56" s="84" t="s">
        <v>40</v>
      </c>
      <c r="U56" s="84" t="s">
        <v>40</v>
      </c>
    </row>
    <row r="57" spans="1:21" ht="18" x14ac:dyDescent="0.25">
      <c r="A57" s="76" t="s">
        <v>131</v>
      </c>
      <c r="B57" s="77">
        <v>479</v>
      </c>
      <c r="C57" s="77">
        <v>499</v>
      </c>
      <c r="D57" s="78">
        <v>399</v>
      </c>
      <c r="E57" s="78">
        <v>399</v>
      </c>
      <c r="F57" s="78">
        <v>399</v>
      </c>
      <c r="G57" s="78">
        <v>49</v>
      </c>
      <c r="H57" s="78">
        <v>399</v>
      </c>
      <c r="I57" s="78">
        <v>399</v>
      </c>
      <c r="J57" s="78">
        <v>399</v>
      </c>
      <c r="K57" s="78">
        <v>49</v>
      </c>
      <c r="L57" s="77">
        <v>399</v>
      </c>
      <c r="M57" s="77">
        <v>139</v>
      </c>
      <c r="N57" s="77">
        <v>0</v>
      </c>
      <c r="O57" s="77">
        <v>0</v>
      </c>
      <c r="P57" s="77">
        <v>0</v>
      </c>
      <c r="Q57" s="77">
        <v>399</v>
      </c>
      <c r="R57" s="77">
        <v>139</v>
      </c>
      <c r="S57" s="77">
        <v>0</v>
      </c>
      <c r="T57" s="77">
        <v>0</v>
      </c>
      <c r="U57" s="77">
        <v>0</v>
      </c>
    </row>
    <row r="58" spans="1:21" ht="18" x14ac:dyDescent="0.25">
      <c r="A58" s="76" t="s">
        <v>321</v>
      </c>
      <c r="B58" s="77">
        <v>870</v>
      </c>
      <c r="C58" s="77">
        <v>900</v>
      </c>
      <c r="D58" s="78">
        <v>800</v>
      </c>
      <c r="E58" s="78">
        <v>800</v>
      </c>
      <c r="F58" s="78">
        <v>800</v>
      </c>
      <c r="G58" s="78">
        <v>399</v>
      </c>
      <c r="H58" s="78">
        <v>800</v>
      </c>
      <c r="I58" s="78">
        <v>800</v>
      </c>
      <c r="J58" s="78">
        <v>800</v>
      </c>
      <c r="K58" s="78">
        <v>399</v>
      </c>
      <c r="L58" s="77">
        <v>800</v>
      </c>
      <c r="M58" s="77">
        <v>540</v>
      </c>
      <c r="N58" s="77">
        <v>400</v>
      </c>
      <c r="O58" s="77">
        <v>300</v>
      </c>
      <c r="P58" s="77">
        <v>200</v>
      </c>
      <c r="Q58" s="77">
        <v>800</v>
      </c>
      <c r="R58" s="77">
        <v>540</v>
      </c>
      <c r="S58" s="77">
        <v>400</v>
      </c>
      <c r="T58" s="77">
        <v>300</v>
      </c>
      <c r="U58" s="77">
        <v>200</v>
      </c>
    </row>
    <row r="59" spans="1:21" ht="18" x14ac:dyDescent="0.25">
      <c r="A59" s="76" t="s">
        <v>321</v>
      </c>
      <c r="B59" s="77">
        <v>870</v>
      </c>
      <c r="C59" s="77">
        <v>900</v>
      </c>
      <c r="D59" s="78">
        <v>800</v>
      </c>
      <c r="E59" s="78">
        <v>800</v>
      </c>
      <c r="F59" s="78">
        <v>800</v>
      </c>
      <c r="G59" s="78">
        <v>399</v>
      </c>
      <c r="H59" s="78">
        <v>800</v>
      </c>
      <c r="I59" s="78">
        <v>800</v>
      </c>
      <c r="J59" s="78">
        <v>800</v>
      </c>
      <c r="K59" s="78">
        <v>399</v>
      </c>
      <c r="L59" s="77">
        <v>800</v>
      </c>
      <c r="M59" s="77">
        <v>540</v>
      </c>
      <c r="N59" s="77">
        <v>400</v>
      </c>
      <c r="O59" s="77">
        <v>300</v>
      </c>
      <c r="P59" s="77">
        <v>200</v>
      </c>
      <c r="Q59" s="77">
        <v>800</v>
      </c>
      <c r="R59" s="77">
        <v>540</v>
      </c>
      <c r="S59" s="77">
        <v>400</v>
      </c>
      <c r="T59" s="77">
        <v>300</v>
      </c>
      <c r="U59" s="77">
        <v>200</v>
      </c>
    </row>
    <row r="60" spans="1:21" ht="18" x14ac:dyDescent="0.25">
      <c r="A60" s="76" t="s">
        <v>531</v>
      </c>
      <c r="B60" s="77">
        <v>110</v>
      </c>
      <c r="C60" s="77">
        <v>120</v>
      </c>
      <c r="D60" s="78">
        <v>20</v>
      </c>
      <c r="E60" s="78">
        <v>20</v>
      </c>
      <c r="F60" s="78">
        <v>20</v>
      </c>
      <c r="G60" s="78">
        <v>0</v>
      </c>
      <c r="H60" s="78">
        <v>20</v>
      </c>
      <c r="I60" s="78">
        <v>20</v>
      </c>
      <c r="J60" s="78">
        <v>20</v>
      </c>
      <c r="K60" s="78">
        <v>0</v>
      </c>
      <c r="L60" s="77">
        <v>20</v>
      </c>
      <c r="M60" s="77">
        <v>0</v>
      </c>
      <c r="N60" s="77">
        <v>0</v>
      </c>
      <c r="O60" s="77">
        <v>0</v>
      </c>
      <c r="P60" s="77">
        <v>0</v>
      </c>
      <c r="Q60" s="77">
        <v>20</v>
      </c>
      <c r="R60" s="77">
        <v>0</v>
      </c>
      <c r="S60" s="77">
        <v>0</v>
      </c>
      <c r="T60" s="77">
        <v>0</v>
      </c>
      <c r="U60" s="77">
        <v>0</v>
      </c>
    </row>
    <row r="61" spans="1:21" ht="18" x14ac:dyDescent="0.25">
      <c r="A61" s="76" t="s">
        <v>135</v>
      </c>
      <c r="B61" s="77">
        <v>360</v>
      </c>
      <c r="C61" s="77">
        <v>359.99</v>
      </c>
      <c r="D61" s="78">
        <v>174.99</v>
      </c>
      <c r="E61" s="78">
        <v>174.99</v>
      </c>
      <c r="F61" s="78">
        <v>174.99</v>
      </c>
      <c r="G61" s="78">
        <v>0</v>
      </c>
      <c r="H61" s="78">
        <v>174.99</v>
      </c>
      <c r="I61" s="78">
        <v>174.99</v>
      </c>
      <c r="J61" s="78">
        <v>174.99</v>
      </c>
      <c r="K61" s="78">
        <v>0</v>
      </c>
      <c r="L61" s="77">
        <v>259.99</v>
      </c>
      <c r="M61" s="77">
        <v>0</v>
      </c>
      <c r="N61" s="77">
        <v>0</v>
      </c>
      <c r="O61" s="77">
        <v>0</v>
      </c>
      <c r="P61" s="77">
        <v>0</v>
      </c>
      <c r="Q61" s="77">
        <v>259.99</v>
      </c>
      <c r="R61" s="77">
        <v>0</v>
      </c>
      <c r="S61" s="77">
        <v>0</v>
      </c>
      <c r="T61" s="77">
        <v>0</v>
      </c>
      <c r="U61" s="77">
        <v>0</v>
      </c>
    </row>
    <row r="62" spans="1:21" ht="18" x14ac:dyDescent="0.25">
      <c r="A62" s="76" t="s">
        <v>133</v>
      </c>
      <c r="B62" s="77">
        <v>360</v>
      </c>
      <c r="C62" s="77">
        <v>359.99</v>
      </c>
      <c r="D62" s="78">
        <v>174.99</v>
      </c>
      <c r="E62" s="78">
        <v>174.99</v>
      </c>
      <c r="F62" s="78">
        <v>174.99</v>
      </c>
      <c r="G62" s="78">
        <v>0</v>
      </c>
      <c r="H62" s="78">
        <v>174.99</v>
      </c>
      <c r="I62" s="78">
        <v>174.99</v>
      </c>
      <c r="J62" s="78">
        <v>174.99</v>
      </c>
      <c r="K62" s="78">
        <v>0</v>
      </c>
      <c r="L62" s="77">
        <v>259.99</v>
      </c>
      <c r="M62" s="77">
        <v>0</v>
      </c>
      <c r="N62" s="77">
        <v>0</v>
      </c>
      <c r="O62" s="77">
        <v>0</v>
      </c>
      <c r="P62" s="77">
        <v>0</v>
      </c>
      <c r="Q62" s="77">
        <v>259.99</v>
      </c>
      <c r="R62" s="77">
        <v>0</v>
      </c>
      <c r="S62" s="77">
        <v>0</v>
      </c>
      <c r="T62" s="77">
        <v>0</v>
      </c>
      <c r="U62" s="77">
        <v>0</v>
      </c>
    </row>
    <row r="63" spans="1:21" ht="18" x14ac:dyDescent="0.25">
      <c r="A63" s="76" t="s">
        <v>536</v>
      </c>
      <c r="B63" s="77">
        <v>399</v>
      </c>
      <c r="C63" s="77">
        <v>449</v>
      </c>
      <c r="D63" s="78">
        <v>349</v>
      </c>
      <c r="E63" s="78">
        <v>349</v>
      </c>
      <c r="F63" s="78">
        <v>349</v>
      </c>
      <c r="G63" s="78">
        <v>49.99</v>
      </c>
      <c r="H63" s="78">
        <v>349</v>
      </c>
      <c r="I63" s="78">
        <v>349</v>
      </c>
      <c r="J63" s="78">
        <v>349</v>
      </c>
      <c r="K63" s="78">
        <v>49.99</v>
      </c>
      <c r="L63" s="77">
        <v>349</v>
      </c>
      <c r="M63" s="77">
        <v>89</v>
      </c>
      <c r="N63" s="77">
        <v>0</v>
      </c>
      <c r="O63" s="77">
        <v>0</v>
      </c>
      <c r="P63" s="77">
        <v>0</v>
      </c>
      <c r="Q63" s="77">
        <v>349</v>
      </c>
      <c r="R63" s="77">
        <v>89</v>
      </c>
      <c r="S63" s="77">
        <v>0</v>
      </c>
      <c r="T63" s="77">
        <v>0</v>
      </c>
      <c r="U63" s="77">
        <v>0</v>
      </c>
    </row>
    <row r="64" spans="1:21" ht="18" x14ac:dyDescent="0.25">
      <c r="A64" s="76" t="s">
        <v>544</v>
      </c>
      <c r="B64" s="77">
        <v>485</v>
      </c>
      <c r="C64" s="77">
        <v>500</v>
      </c>
      <c r="D64" s="77">
        <v>400</v>
      </c>
      <c r="E64" s="77">
        <v>400</v>
      </c>
      <c r="F64" s="77">
        <v>400</v>
      </c>
      <c r="G64" s="77">
        <v>0</v>
      </c>
      <c r="H64" s="77">
        <v>400</v>
      </c>
      <c r="I64" s="77">
        <v>400</v>
      </c>
      <c r="J64" s="77">
        <v>400</v>
      </c>
      <c r="K64" s="77">
        <v>0</v>
      </c>
      <c r="L64" s="77">
        <v>400</v>
      </c>
      <c r="M64" s="77">
        <v>140</v>
      </c>
      <c r="N64" s="77">
        <v>0</v>
      </c>
      <c r="O64" s="77">
        <v>0</v>
      </c>
      <c r="P64" s="77">
        <v>0</v>
      </c>
      <c r="Q64" s="77">
        <v>400</v>
      </c>
      <c r="R64" s="77">
        <v>140</v>
      </c>
      <c r="S64" s="77">
        <v>0</v>
      </c>
      <c r="T64" s="77">
        <v>0</v>
      </c>
      <c r="U64" s="77">
        <v>0</v>
      </c>
    </row>
    <row r="65" spans="1:21" ht="18" x14ac:dyDescent="0.25">
      <c r="A65" s="245" t="s">
        <v>546</v>
      </c>
      <c r="B65" s="77">
        <v>649</v>
      </c>
      <c r="C65" s="77">
        <v>699</v>
      </c>
      <c r="D65" s="77">
        <v>599</v>
      </c>
      <c r="E65" s="77">
        <v>599</v>
      </c>
      <c r="F65" s="77">
        <v>599</v>
      </c>
      <c r="G65" s="246">
        <v>169</v>
      </c>
      <c r="H65" s="77">
        <v>599</v>
      </c>
      <c r="I65" s="77">
        <v>599</v>
      </c>
      <c r="J65" s="77">
        <v>599</v>
      </c>
      <c r="K65" s="246">
        <v>169</v>
      </c>
      <c r="L65" s="77">
        <v>599</v>
      </c>
      <c r="M65" s="77">
        <v>339</v>
      </c>
      <c r="N65" s="246">
        <v>149</v>
      </c>
      <c r="O65" s="246">
        <v>49</v>
      </c>
      <c r="P65" s="77">
        <v>0</v>
      </c>
      <c r="Q65" s="77">
        <v>599</v>
      </c>
      <c r="R65" s="77">
        <v>339</v>
      </c>
      <c r="S65" s="246">
        <v>149</v>
      </c>
      <c r="T65" s="246">
        <v>49</v>
      </c>
      <c r="U65" s="77">
        <v>0</v>
      </c>
    </row>
    <row r="66" spans="1:21" ht="18" x14ac:dyDescent="0.25">
      <c r="A66" s="245" t="s">
        <v>546</v>
      </c>
      <c r="B66" s="77">
        <v>649</v>
      </c>
      <c r="C66" s="77">
        <v>699</v>
      </c>
      <c r="D66" s="77">
        <v>599</v>
      </c>
      <c r="E66" s="77">
        <v>599</v>
      </c>
      <c r="F66" s="77">
        <v>599</v>
      </c>
      <c r="G66" s="246">
        <v>169</v>
      </c>
      <c r="H66" s="77">
        <v>599</v>
      </c>
      <c r="I66" s="77">
        <v>599</v>
      </c>
      <c r="J66" s="77">
        <v>599</v>
      </c>
      <c r="K66" s="246">
        <v>169</v>
      </c>
      <c r="L66" s="77">
        <v>599</v>
      </c>
      <c r="M66" s="77">
        <v>339</v>
      </c>
      <c r="N66" s="246">
        <v>149</v>
      </c>
      <c r="O66" s="246">
        <v>49</v>
      </c>
      <c r="P66" s="77">
        <v>0</v>
      </c>
      <c r="Q66" s="77">
        <v>599</v>
      </c>
      <c r="R66" s="77">
        <v>339</v>
      </c>
      <c r="S66" s="246">
        <v>149</v>
      </c>
      <c r="T66" s="246">
        <v>49</v>
      </c>
      <c r="U66" s="77">
        <v>0</v>
      </c>
    </row>
    <row r="67" spans="1:21" ht="18" x14ac:dyDescent="0.25">
      <c r="A67" s="76" t="s">
        <v>549</v>
      </c>
      <c r="B67" s="77">
        <v>240</v>
      </c>
      <c r="C67" s="77">
        <v>250</v>
      </c>
      <c r="D67" s="77">
        <v>150</v>
      </c>
      <c r="E67" s="77">
        <v>150</v>
      </c>
      <c r="F67" s="77">
        <v>150</v>
      </c>
      <c r="G67" s="77">
        <v>0</v>
      </c>
      <c r="H67" s="77">
        <v>150</v>
      </c>
      <c r="I67" s="77">
        <v>150</v>
      </c>
      <c r="J67" s="77">
        <v>150</v>
      </c>
      <c r="K67" s="77">
        <v>0</v>
      </c>
      <c r="L67" s="77">
        <v>150</v>
      </c>
      <c r="M67" s="77">
        <v>0</v>
      </c>
      <c r="N67" s="77">
        <v>0</v>
      </c>
      <c r="O67" s="77">
        <v>0</v>
      </c>
      <c r="P67" s="77">
        <v>0</v>
      </c>
      <c r="Q67" s="77">
        <v>150</v>
      </c>
      <c r="R67" s="77">
        <v>0</v>
      </c>
      <c r="S67" s="77">
        <v>0</v>
      </c>
      <c r="T67" s="77">
        <v>0</v>
      </c>
      <c r="U67" s="77">
        <v>0</v>
      </c>
    </row>
    <row r="68" spans="1:21" ht="18" x14ac:dyDescent="0.25">
      <c r="A68" s="76" t="s">
        <v>551</v>
      </c>
      <c r="B68" s="77">
        <v>230</v>
      </c>
      <c r="C68" s="77">
        <v>250</v>
      </c>
      <c r="D68" s="77">
        <v>130</v>
      </c>
      <c r="E68" s="77">
        <v>130</v>
      </c>
      <c r="F68" s="77">
        <v>130</v>
      </c>
      <c r="G68" s="77">
        <v>0</v>
      </c>
      <c r="H68" s="77">
        <v>130</v>
      </c>
      <c r="I68" s="77">
        <v>130</v>
      </c>
      <c r="J68" s="77">
        <v>130</v>
      </c>
      <c r="K68" s="77">
        <v>0</v>
      </c>
      <c r="L68" s="77">
        <v>150</v>
      </c>
      <c r="M68" s="77">
        <v>0</v>
      </c>
      <c r="N68" s="77">
        <v>0</v>
      </c>
      <c r="O68" s="77">
        <v>0</v>
      </c>
      <c r="P68" s="77">
        <v>0</v>
      </c>
      <c r="Q68" s="77">
        <v>150</v>
      </c>
      <c r="R68" s="77">
        <v>0</v>
      </c>
      <c r="S68" s="77">
        <v>0</v>
      </c>
      <c r="T68" s="77">
        <v>0</v>
      </c>
      <c r="U68" s="77">
        <v>0</v>
      </c>
    </row>
    <row r="69" spans="1:21" ht="18" x14ac:dyDescent="0.25">
      <c r="A69" s="245" t="s">
        <v>553</v>
      </c>
      <c r="B69" s="77">
        <v>799</v>
      </c>
      <c r="C69" s="77">
        <v>849</v>
      </c>
      <c r="D69" s="78">
        <v>749</v>
      </c>
      <c r="E69" s="78">
        <v>749</v>
      </c>
      <c r="F69" s="78">
        <v>749</v>
      </c>
      <c r="G69" s="247">
        <v>165</v>
      </c>
      <c r="H69" s="78">
        <v>749</v>
      </c>
      <c r="I69" s="78">
        <v>749</v>
      </c>
      <c r="J69" s="78">
        <v>749</v>
      </c>
      <c r="K69" s="247">
        <v>165</v>
      </c>
      <c r="L69" s="77">
        <v>749</v>
      </c>
      <c r="M69" s="77">
        <v>399</v>
      </c>
      <c r="N69" s="246">
        <v>199</v>
      </c>
      <c r="O69" s="246">
        <v>99</v>
      </c>
      <c r="P69" s="246">
        <v>0</v>
      </c>
      <c r="Q69" s="77">
        <v>749</v>
      </c>
      <c r="R69" s="77">
        <v>399</v>
      </c>
      <c r="S69" s="246">
        <v>199</v>
      </c>
      <c r="T69" s="246">
        <v>99</v>
      </c>
      <c r="U69" s="246">
        <v>0</v>
      </c>
    </row>
    <row r="70" spans="1:21" ht="18" x14ac:dyDescent="0.25">
      <c r="A70" s="245" t="s">
        <v>553</v>
      </c>
      <c r="B70" s="77">
        <v>799</v>
      </c>
      <c r="C70" s="77">
        <v>849</v>
      </c>
      <c r="D70" s="78">
        <v>749</v>
      </c>
      <c r="E70" s="78">
        <v>749</v>
      </c>
      <c r="F70" s="78">
        <v>749</v>
      </c>
      <c r="G70" s="247">
        <v>165</v>
      </c>
      <c r="H70" s="78">
        <v>749</v>
      </c>
      <c r="I70" s="78">
        <v>749</v>
      </c>
      <c r="J70" s="78">
        <v>749</v>
      </c>
      <c r="K70" s="247">
        <v>165</v>
      </c>
      <c r="L70" s="77">
        <v>749</v>
      </c>
      <c r="M70" s="77">
        <v>399</v>
      </c>
      <c r="N70" s="246">
        <v>199</v>
      </c>
      <c r="O70" s="246">
        <v>99</v>
      </c>
      <c r="P70" s="246">
        <v>0</v>
      </c>
      <c r="Q70" s="77">
        <v>749</v>
      </c>
      <c r="R70" s="77">
        <v>399</v>
      </c>
      <c r="S70" s="246">
        <v>199</v>
      </c>
      <c r="T70" s="246">
        <v>99</v>
      </c>
      <c r="U70" s="246">
        <v>0</v>
      </c>
    </row>
    <row r="71" spans="1:21" ht="18" x14ac:dyDescent="0.25">
      <c r="A71" s="76" t="s">
        <v>556</v>
      </c>
      <c r="B71" s="77">
        <v>909</v>
      </c>
      <c r="C71" s="77">
        <v>969</v>
      </c>
      <c r="D71" s="78">
        <v>869</v>
      </c>
      <c r="E71" s="78">
        <v>869</v>
      </c>
      <c r="F71" s="78">
        <v>869</v>
      </c>
      <c r="G71" s="78">
        <v>549.99</v>
      </c>
      <c r="H71" s="78">
        <v>869</v>
      </c>
      <c r="I71" s="78">
        <v>869</v>
      </c>
      <c r="J71" s="78">
        <v>869</v>
      </c>
      <c r="K71" s="78">
        <v>549.99</v>
      </c>
      <c r="L71" s="77">
        <v>869</v>
      </c>
      <c r="M71" s="77">
        <v>609</v>
      </c>
      <c r="N71" s="77">
        <v>469</v>
      </c>
      <c r="O71" s="77">
        <v>369</v>
      </c>
      <c r="P71" s="77">
        <v>269</v>
      </c>
      <c r="Q71" s="77">
        <v>869</v>
      </c>
      <c r="R71" s="77">
        <v>609</v>
      </c>
      <c r="S71" s="77">
        <v>469</v>
      </c>
      <c r="T71" s="77">
        <v>369</v>
      </c>
      <c r="U71" s="77">
        <v>269</v>
      </c>
    </row>
    <row r="72" spans="1:21" ht="18" x14ac:dyDescent="0.25">
      <c r="A72" s="245" t="s">
        <v>559</v>
      </c>
      <c r="B72" s="77">
        <v>1249</v>
      </c>
      <c r="C72" s="77">
        <v>1299</v>
      </c>
      <c r="D72" s="77">
        <v>1199</v>
      </c>
      <c r="E72" s="77">
        <v>1199</v>
      </c>
      <c r="F72" s="77">
        <v>1199</v>
      </c>
      <c r="G72" s="246">
        <v>679</v>
      </c>
      <c r="H72" s="77">
        <v>1199</v>
      </c>
      <c r="I72" s="77">
        <v>1199</v>
      </c>
      <c r="J72" s="77">
        <v>1199</v>
      </c>
      <c r="K72" s="246">
        <v>679</v>
      </c>
      <c r="L72" s="77">
        <v>1199</v>
      </c>
      <c r="M72" s="77">
        <v>939</v>
      </c>
      <c r="N72" s="246">
        <v>729</v>
      </c>
      <c r="O72" s="246">
        <v>629</v>
      </c>
      <c r="P72" s="246">
        <v>529</v>
      </c>
      <c r="Q72" s="77">
        <v>1199</v>
      </c>
      <c r="R72" s="77">
        <v>939</v>
      </c>
      <c r="S72" s="246">
        <v>729</v>
      </c>
      <c r="T72" s="246">
        <v>629</v>
      </c>
      <c r="U72" s="246">
        <v>529</v>
      </c>
    </row>
    <row r="73" spans="1:21" ht="18" x14ac:dyDescent="0.25">
      <c r="A73" s="76" t="s">
        <v>562</v>
      </c>
      <c r="B73" s="77">
        <v>929</v>
      </c>
      <c r="C73" s="77">
        <v>1019</v>
      </c>
      <c r="D73" s="77">
        <v>919</v>
      </c>
      <c r="E73" s="77">
        <v>919</v>
      </c>
      <c r="F73" s="77">
        <v>919</v>
      </c>
      <c r="G73" s="77">
        <v>489</v>
      </c>
      <c r="H73" s="77">
        <v>919</v>
      </c>
      <c r="I73" s="77">
        <v>919</v>
      </c>
      <c r="J73" s="77">
        <v>919</v>
      </c>
      <c r="K73" s="77">
        <v>489</v>
      </c>
      <c r="L73" s="77">
        <v>919</v>
      </c>
      <c r="M73" s="77">
        <v>659</v>
      </c>
      <c r="N73" s="77">
        <v>519</v>
      </c>
      <c r="O73" s="77">
        <v>419</v>
      </c>
      <c r="P73" s="77">
        <v>319</v>
      </c>
      <c r="Q73" s="77">
        <v>919</v>
      </c>
      <c r="R73" s="77">
        <v>659</v>
      </c>
      <c r="S73" s="77">
        <v>519</v>
      </c>
      <c r="T73" s="77">
        <v>419</v>
      </c>
      <c r="U73" s="77">
        <v>319</v>
      </c>
    </row>
    <row r="74" spans="1:21" ht="18" x14ac:dyDescent="0.25">
      <c r="A74" s="76" t="s">
        <v>562</v>
      </c>
      <c r="B74" s="77">
        <v>929</v>
      </c>
      <c r="C74" s="77">
        <v>1019</v>
      </c>
      <c r="D74" s="77">
        <v>919</v>
      </c>
      <c r="E74" s="77">
        <v>919</v>
      </c>
      <c r="F74" s="77">
        <v>919</v>
      </c>
      <c r="G74" s="77">
        <v>489</v>
      </c>
      <c r="H74" s="77">
        <v>919</v>
      </c>
      <c r="I74" s="77">
        <v>919</v>
      </c>
      <c r="J74" s="77">
        <v>919</v>
      </c>
      <c r="K74" s="77">
        <v>489</v>
      </c>
      <c r="L74" s="77">
        <v>919</v>
      </c>
      <c r="M74" s="77">
        <v>659</v>
      </c>
      <c r="N74" s="77">
        <v>519</v>
      </c>
      <c r="O74" s="77">
        <v>419</v>
      </c>
      <c r="P74" s="77">
        <v>319</v>
      </c>
      <c r="Q74" s="77">
        <v>919</v>
      </c>
      <c r="R74" s="77">
        <v>659</v>
      </c>
      <c r="S74" s="77">
        <v>519</v>
      </c>
      <c r="T74" s="77">
        <v>419</v>
      </c>
      <c r="U74" s="77">
        <v>319</v>
      </c>
    </row>
    <row r="75" spans="1:21" ht="18" x14ac:dyDescent="0.25">
      <c r="A75" s="76" t="s">
        <v>565</v>
      </c>
      <c r="B75" s="77">
        <v>1069</v>
      </c>
      <c r="C75" s="77">
        <v>1179</v>
      </c>
      <c r="D75" s="77">
        <v>1079</v>
      </c>
      <c r="E75" s="77">
        <v>1079</v>
      </c>
      <c r="F75" s="77">
        <v>1079</v>
      </c>
      <c r="G75" s="77">
        <v>629</v>
      </c>
      <c r="H75" s="77">
        <v>1079</v>
      </c>
      <c r="I75" s="77">
        <v>1079</v>
      </c>
      <c r="J75" s="77">
        <v>1079</v>
      </c>
      <c r="K75" s="77">
        <v>629</v>
      </c>
      <c r="L75" s="77">
        <v>1079</v>
      </c>
      <c r="M75" s="77">
        <v>819</v>
      </c>
      <c r="N75" s="77">
        <v>679</v>
      </c>
      <c r="O75" s="77">
        <v>579</v>
      </c>
      <c r="P75" s="77">
        <v>479</v>
      </c>
      <c r="Q75" s="77">
        <v>1079</v>
      </c>
      <c r="R75" s="77">
        <v>819</v>
      </c>
      <c r="S75" s="77">
        <v>679</v>
      </c>
      <c r="T75" s="77">
        <v>579</v>
      </c>
      <c r="U75" s="77">
        <v>479</v>
      </c>
    </row>
    <row r="76" spans="1:21" ht="18" x14ac:dyDescent="0.25">
      <c r="A76" s="76" t="s">
        <v>565</v>
      </c>
      <c r="B76" s="77">
        <v>1069</v>
      </c>
      <c r="C76" s="77">
        <v>1179</v>
      </c>
      <c r="D76" s="77">
        <v>1079</v>
      </c>
      <c r="E76" s="77">
        <v>1079</v>
      </c>
      <c r="F76" s="77">
        <v>1079</v>
      </c>
      <c r="G76" s="77">
        <v>629</v>
      </c>
      <c r="H76" s="77">
        <v>1079</v>
      </c>
      <c r="I76" s="77">
        <v>1079</v>
      </c>
      <c r="J76" s="77">
        <v>1079</v>
      </c>
      <c r="K76" s="77">
        <v>629</v>
      </c>
      <c r="L76" s="77">
        <v>1079</v>
      </c>
      <c r="M76" s="77">
        <v>819</v>
      </c>
      <c r="N76" s="77">
        <v>679</v>
      </c>
      <c r="O76" s="77">
        <v>579</v>
      </c>
      <c r="P76" s="77">
        <v>479</v>
      </c>
      <c r="Q76" s="77">
        <v>1079</v>
      </c>
      <c r="R76" s="77">
        <v>819</v>
      </c>
      <c r="S76" s="77">
        <v>679</v>
      </c>
      <c r="T76" s="77">
        <v>579</v>
      </c>
      <c r="U76" s="77">
        <v>479</v>
      </c>
    </row>
    <row r="77" spans="1:21" ht="18" x14ac:dyDescent="0.25">
      <c r="A77" s="76" t="s">
        <v>568</v>
      </c>
      <c r="B77" s="77">
        <v>330</v>
      </c>
      <c r="C77" s="77">
        <v>350</v>
      </c>
      <c r="D77" s="77">
        <v>250</v>
      </c>
      <c r="E77" s="77">
        <v>250</v>
      </c>
      <c r="F77" s="77">
        <v>250</v>
      </c>
      <c r="G77" s="77">
        <v>0</v>
      </c>
      <c r="H77" s="77">
        <v>250</v>
      </c>
      <c r="I77" s="77">
        <v>250</v>
      </c>
      <c r="J77" s="77">
        <v>250</v>
      </c>
      <c r="K77" s="77">
        <v>0</v>
      </c>
      <c r="L77" s="77">
        <v>250</v>
      </c>
      <c r="M77" s="77">
        <v>0</v>
      </c>
      <c r="N77" s="77">
        <v>0</v>
      </c>
      <c r="O77" s="77">
        <v>0</v>
      </c>
      <c r="P77" s="77">
        <v>0</v>
      </c>
      <c r="Q77" s="77">
        <v>250</v>
      </c>
      <c r="R77" s="77">
        <v>0</v>
      </c>
      <c r="S77" s="77">
        <v>0</v>
      </c>
      <c r="T77" s="77">
        <v>0</v>
      </c>
      <c r="U77" s="77">
        <v>0</v>
      </c>
    </row>
    <row r="78" spans="1:21" ht="18" x14ac:dyDescent="0.25">
      <c r="A78" s="248" t="s">
        <v>154</v>
      </c>
      <c r="B78" s="77">
        <v>270</v>
      </c>
      <c r="C78" s="77">
        <v>329</v>
      </c>
      <c r="D78" s="78">
        <v>276</v>
      </c>
      <c r="E78" s="78" t="s">
        <v>40</v>
      </c>
      <c r="F78" s="78" t="s">
        <v>40</v>
      </c>
      <c r="G78" s="78" t="s">
        <v>40</v>
      </c>
      <c r="H78" s="78">
        <v>276</v>
      </c>
      <c r="I78" s="78" t="s">
        <v>40</v>
      </c>
      <c r="J78" s="78" t="s">
        <v>40</v>
      </c>
      <c r="K78" s="78" t="s">
        <v>40</v>
      </c>
      <c r="L78" s="249">
        <v>229</v>
      </c>
      <c r="M78" s="78" t="s">
        <v>40</v>
      </c>
      <c r="N78" s="78" t="s">
        <v>40</v>
      </c>
      <c r="O78" s="78" t="s">
        <v>40</v>
      </c>
      <c r="P78" s="78" t="s">
        <v>40</v>
      </c>
      <c r="Q78" s="78" t="s">
        <v>40</v>
      </c>
      <c r="R78" s="78" t="s">
        <v>40</v>
      </c>
      <c r="S78" s="78" t="s">
        <v>40</v>
      </c>
      <c r="T78" s="78" t="s">
        <v>40</v>
      </c>
      <c r="U78" s="78" t="s">
        <v>40</v>
      </c>
    </row>
    <row r="79" spans="1:21" ht="18" x14ac:dyDescent="0.25">
      <c r="A79" s="76" t="s">
        <v>570</v>
      </c>
      <c r="B79" s="77">
        <v>670</v>
      </c>
      <c r="C79" s="77">
        <v>720</v>
      </c>
      <c r="D79" s="78" t="s">
        <v>40</v>
      </c>
      <c r="E79" s="78" t="s">
        <v>40</v>
      </c>
      <c r="F79" s="78" t="s">
        <v>40</v>
      </c>
      <c r="G79" s="78" t="s">
        <v>40</v>
      </c>
      <c r="H79" s="78" t="s">
        <v>40</v>
      </c>
      <c r="I79" s="78" t="s">
        <v>40</v>
      </c>
      <c r="J79" s="78" t="s">
        <v>40</v>
      </c>
      <c r="K79" s="78" t="s">
        <v>40</v>
      </c>
      <c r="L79" s="77">
        <v>620</v>
      </c>
      <c r="M79" s="77">
        <v>360</v>
      </c>
      <c r="N79" s="77">
        <v>220</v>
      </c>
      <c r="O79" s="77">
        <v>120</v>
      </c>
      <c r="P79" s="77">
        <v>20</v>
      </c>
      <c r="Q79" s="77">
        <v>620</v>
      </c>
      <c r="R79" s="77">
        <v>360</v>
      </c>
      <c r="S79" s="77">
        <v>220</v>
      </c>
      <c r="T79" s="77">
        <v>120</v>
      </c>
      <c r="U79" s="77">
        <v>20</v>
      </c>
    </row>
    <row r="80" spans="1:21" ht="18" x14ac:dyDescent="0.25">
      <c r="A80" s="75" t="s">
        <v>160</v>
      </c>
      <c r="B80" s="77">
        <v>400</v>
      </c>
      <c r="C80" s="77">
        <v>399.99</v>
      </c>
      <c r="D80" s="78">
        <v>299.99</v>
      </c>
      <c r="E80" s="78">
        <v>99.99</v>
      </c>
      <c r="F80" s="78">
        <v>49.99</v>
      </c>
      <c r="G80" s="78">
        <v>0</v>
      </c>
      <c r="H80" s="78">
        <v>299.99</v>
      </c>
      <c r="I80" s="78">
        <v>99.99</v>
      </c>
      <c r="J80" s="78">
        <v>49.99</v>
      </c>
      <c r="K80" s="78">
        <v>0</v>
      </c>
      <c r="L80" s="77">
        <v>299.99</v>
      </c>
      <c r="M80" s="77">
        <v>69.989999999999995</v>
      </c>
      <c r="N80" s="77">
        <v>0</v>
      </c>
      <c r="O80" s="77">
        <v>0</v>
      </c>
      <c r="P80" s="77">
        <v>0</v>
      </c>
      <c r="Q80" s="77">
        <v>299.99</v>
      </c>
      <c r="R80" s="246">
        <v>69.989999999999995</v>
      </c>
      <c r="S80" s="77">
        <v>0</v>
      </c>
      <c r="T80" s="77">
        <v>0</v>
      </c>
      <c r="U80" s="77">
        <v>0</v>
      </c>
    </row>
    <row r="81" spans="1:21" ht="18" x14ac:dyDescent="0.25">
      <c r="A81" s="75" t="s">
        <v>162</v>
      </c>
      <c r="B81" s="77">
        <v>750</v>
      </c>
      <c r="C81" s="77">
        <v>749.99</v>
      </c>
      <c r="D81" s="78">
        <v>549.99</v>
      </c>
      <c r="E81" s="78">
        <v>549.99</v>
      </c>
      <c r="F81" s="78">
        <v>549.99</v>
      </c>
      <c r="G81" s="78">
        <v>199.99</v>
      </c>
      <c r="H81" s="78">
        <v>549.99</v>
      </c>
      <c r="I81" s="78">
        <v>549.99</v>
      </c>
      <c r="J81" s="78">
        <v>549.99</v>
      </c>
      <c r="K81" s="78">
        <v>199.99</v>
      </c>
      <c r="L81" s="77">
        <v>649.99</v>
      </c>
      <c r="M81" s="77">
        <v>389.99</v>
      </c>
      <c r="N81" s="77">
        <v>249.99</v>
      </c>
      <c r="O81" s="77">
        <v>149.99</v>
      </c>
      <c r="P81" s="77">
        <v>49.990000000000009</v>
      </c>
      <c r="Q81" s="77">
        <v>649.99</v>
      </c>
      <c r="R81" s="77">
        <v>389.99</v>
      </c>
      <c r="S81" s="77">
        <v>249.99</v>
      </c>
      <c r="T81" s="77">
        <v>149.99</v>
      </c>
      <c r="U81" s="77">
        <v>49.990000000000009</v>
      </c>
    </row>
    <row r="82" spans="1:21" ht="36" x14ac:dyDescent="0.25">
      <c r="A82" s="76" t="s">
        <v>573</v>
      </c>
      <c r="B82" s="77">
        <v>235</v>
      </c>
      <c r="C82" s="77">
        <v>239.99</v>
      </c>
      <c r="D82" s="78">
        <v>139.99</v>
      </c>
      <c r="E82" s="78" t="s">
        <v>40</v>
      </c>
      <c r="F82" s="78" t="s">
        <v>40</v>
      </c>
      <c r="G82" s="78" t="s">
        <v>40</v>
      </c>
      <c r="H82" s="78">
        <v>139.99</v>
      </c>
      <c r="I82" s="78" t="s">
        <v>40</v>
      </c>
      <c r="J82" s="78" t="s">
        <v>40</v>
      </c>
      <c r="K82" s="78" t="s">
        <v>40</v>
      </c>
      <c r="L82" s="250">
        <v>139.99</v>
      </c>
      <c r="M82" s="78" t="s">
        <v>40</v>
      </c>
      <c r="N82" s="78" t="s">
        <v>40</v>
      </c>
      <c r="O82" s="78" t="s">
        <v>40</v>
      </c>
      <c r="P82" s="78" t="s">
        <v>40</v>
      </c>
      <c r="Q82" s="78" t="s">
        <v>40</v>
      </c>
      <c r="R82" s="78" t="s">
        <v>40</v>
      </c>
      <c r="S82" s="78" t="s">
        <v>40</v>
      </c>
      <c r="T82" s="78" t="s">
        <v>40</v>
      </c>
      <c r="U82" s="78" t="s">
        <v>40</v>
      </c>
    </row>
    <row r="83" spans="1:21" ht="18" x14ac:dyDescent="0.25">
      <c r="A83" s="76" t="s">
        <v>169</v>
      </c>
      <c r="B83" s="77">
        <v>175</v>
      </c>
      <c r="C83" s="77">
        <v>199.99</v>
      </c>
      <c r="D83" s="78">
        <v>99.99</v>
      </c>
      <c r="E83" s="78" t="s">
        <v>40</v>
      </c>
      <c r="F83" s="78" t="s">
        <v>40</v>
      </c>
      <c r="G83" s="78" t="s">
        <v>40</v>
      </c>
      <c r="H83" s="78">
        <v>99.99</v>
      </c>
      <c r="I83" s="78" t="s">
        <v>40</v>
      </c>
      <c r="J83" s="78" t="s">
        <v>40</v>
      </c>
      <c r="K83" s="78" t="s">
        <v>40</v>
      </c>
      <c r="L83" s="250">
        <v>99.990000000000009</v>
      </c>
      <c r="M83" s="78" t="s">
        <v>40</v>
      </c>
      <c r="N83" s="78" t="s">
        <v>40</v>
      </c>
      <c r="O83" s="78" t="s">
        <v>40</v>
      </c>
      <c r="P83" s="78" t="s">
        <v>40</v>
      </c>
      <c r="Q83" s="78" t="s">
        <v>40</v>
      </c>
      <c r="R83" s="78" t="s">
        <v>40</v>
      </c>
      <c r="S83" s="78" t="s">
        <v>40</v>
      </c>
      <c r="T83" s="78" t="s">
        <v>40</v>
      </c>
      <c r="U83" s="78" t="s">
        <v>40</v>
      </c>
    </row>
    <row r="84" spans="1:21" ht="18" x14ac:dyDescent="0.25">
      <c r="A84" s="76" t="s">
        <v>575</v>
      </c>
      <c r="B84" s="77">
        <v>63</v>
      </c>
      <c r="C84" s="77">
        <v>63</v>
      </c>
      <c r="D84" s="78" t="s">
        <v>40</v>
      </c>
      <c r="E84" s="78">
        <v>0</v>
      </c>
      <c r="F84" s="78">
        <v>0</v>
      </c>
      <c r="G84" s="78">
        <v>0</v>
      </c>
      <c r="H84" s="78" t="s">
        <v>40</v>
      </c>
      <c r="I84" s="78">
        <v>0</v>
      </c>
      <c r="J84" s="78">
        <v>0</v>
      </c>
      <c r="K84" s="78">
        <v>0</v>
      </c>
      <c r="L84" s="77">
        <v>0</v>
      </c>
      <c r="M84" s="77">
        <v>0</v>
      </c>
      <c r="N84" s="77">
        <v>0</v>
      </c>
      <c r="O84" s="77">
        <v>0</v>
      </c>
      <c r="P84" s="77">
        <v>0</v>
      </c>
      <c r="Q84" s="77">
        <v>0</v>
      </c>
      <c r="R84" s="77">
        <v>0</v>
      </c>
      <c r="S84" s="77">
        <v>0</v>
      </c>
      <c r="T84" s="77">
        <v>0</v>
      </c>
      <c r="U84" s="77">
        <v>0</v>
      </c>
    </row>
  </sheetData>
  <conditionalFormatting sqref="L82:U84 L79:L81 S79:U81 L57:U78 L34:U55 L28:U32 L4:U26 S2:U3">
    <cfRule type="expression" dxfId="2" priority="3">
      <formula>"&lt;&gt;0"</formula>
    </cfRule>
  </conditionalFormatting>
  <conditionalFormatting sqref="L27:U27">
    <cfRule type="expression" dxfId="1" priority="2">
      <formula>"&lt;&gt;0"</formula>
    </cfRule>
  </conditionalFormatting>
  <conditionalFormatting sqref="L33:U33">
    <cfRule type="expression" dxfId="0" priority="1">
      <formula>"&lt;&gt;0"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tabColor rgb="FFFF0000"/>
  </sheetPr>
  <dimension ref="A1:AC31"/>
  <sheetViews>
    <sheetView topLeftCell="D1" zoomScale="55" zoomScaleNormal="55" workbookViewId="0">
      <selection activeCell="L56" sqref="L56"/>
    </sheetView>
  </sheetViews>
  <sheetFormatPr defaultRowHeight="15" x14ac:dyDescent="0.25"/>
  <cols>
    <col min="3" max="4" width="11.5703125" customWidth="1"/>
    <col min="5" max="5" width="3" customWidth="1"/>
    <col min="6" max="6" width="27.5703125" customWidth="1"/>
    <col min="7" max="7" width="13.5703125" style="23" customWidth="1"/>
    <col min="8" max="8" width="4" style="23" customWidth="1"/>
    <col min="9" max="9" width="27.5703125" style="23" customWidth="1"/>
    <col min="10" max="10" width="13.5703125" style="23" customWidth="1"/>
    <col min="11" max="11" width="4" style="23" customWidth="1"/>
    <col min="12" max="12" width="27.5703125" style="23" customWidth="1"/>
    <col min="13" max="13" width="13.5703125" style="23" customWidth="1"/>
    <col min="14" max="14" width="4" style="23" customWidth="1"/>
    <col min="15" max="15" width="27.5703125" style="23" customWidth="1"/>
    <col min="16" max="17" width="13.5703125" style="23" customWidth="1"/>
    <col min="18" max="18" width="4" style="23" customWidth="1"/>
    <col min="19" max="19" width="27.5703125" style="23" customWidth="1"/>
    <col min="20" max="20" width="13.5703125" style="23" customWidth="1"/>
    <col min="21" max="21" width="4" style="23" customWidth="1"/>
    <col min="22" max="22" width="27.5703125" style="23" customWidth="1"/>
    <col min="23" max="23" width="13.5703125" style="23" customWidth="1"/>
    <col min="24" max="24" width="4" style="23" customWidth="1"/>
    <col min="25" max="25" width="27.5703125" style="23" customWidth="1"/>
    <col min="26" max="26" width="13.5703125" style="23" customWidth="1"/>
    <col min="27" max="27" width="4" style="23" customWidth="1"/>
    <col min="28" max="28" width="27.5703125" style="23" customWidth="1"/>
    <col min="29" max="29" width="13.5703125" style="23" customWidth="1"/>
  </cols>
  <sheetData>
    <row r="1" spans="1:29" x14ac:dyDescent="0.25">
      <c r="F1" s="439" t="s">
        <v>359</v>
      </c>
      <c r="G1" s="439"/>
      <c r="H1" s="48"/>
      <c r="I1" s="439" t="s">
        <v>4</v>
      </c>
      <c r="J1" s="439"/>
      <c r="K1" s="48"/>
      <c r="L1" s="439" t="s">
        <v>360</v>
      </c>
      <c r="M1" s="439"/>
      <c r="N1" s="48"/>
      <c r="O1" s="439" t="s">
        <v>361</v>
      </c>
      <c r="P1" s="439"/>
      <c r="Q1" s="48"/>
      <c r="S1" s="439" t="s">
        <v>359</v>
      </c>
      <c r="T1" s="439"/>
      <c r="U1" s="48"/>
      <c r="V1" s="439" t="s">
        <v>4</v>
      </c>
      <c r="W1" s="439"/>
      <c r="X1" s="48"/>
      <c r="Y1" s="439" t="s">
        <v>360</v>
      </c>
      <c r="Z1" s="439"/>
      <c r="AA1" s="48"/>
      <c r="AB1" s="439" t="s">
        <v>361</v>
      </c>
      <c r="AC1" s="439"/>
    </row>
    <row r="2" spans="1:29" x14ac:dyDescent="0.25">
      <c r="C2" s="440" t="s">
        <v>21</v>
      </c>
      <c r="D2" s="440"/>
      <c r="G2" s="25" t="s">
        <v>22</v>
      </c>
      <c r="H2" s="25"/>
      <c r="I2" s="25"/>
      <c r="J2" s="25" t="s">
        <v>22</v>
      </c>
      <c r="K2" s="25"/>
      <c r="L2" s="25"/>
      <c r="M2" s="25" t="s">
        <v>22</v>
      </c>
      <c r="N2" s="25"/>
      <c r="O2" s="25"/>
      <c r="P2" s="25" t="s">
        <v>22</v>
      </c>
      <c r="Q2" s="25"/>
      <c r="T2" s="25" t="s">
        <v>23</v>
      </c>
      <c r="U2" s="25"/>
      <c r="V2" s="25"/>
      <c r="W2" s="25" t="s">
        <v>23</v>
      </c>
      <c r="X2" s="25"/>
      <c r="Y2" s="25"/>
      <c r="Z2" s="25" t="s">
        <v>23</v>
      </c>
      <c r="AA2" s="25"/>
      <c r="AB2" s="25"/>
      <c r="AC2" s="25" t="s">
        <v>23</v>
      </c>
    </row>
    <row r="3" spans="1:29" x14ac:dyDescent="0.25">
      <c r="C3" s="47" t="s">
        <v>19</v>
      </c>
      <c r="D3" s="47" t="s">
        <v>20</v>
      </c>
    </row>
    <row r="4" spans="1:29" x14ac:dyDescent="0.25">
      <c r="A4">
        <v>1</v>
      </c>
      <c r="C4" s="35">
        <f>+'LOOKUP_ACQ_&lt;10'!B23</f>
        <v>20</v>
      </c>
      <c r="D4" s="35">
        <f>+'LOOKUP_ACQ_&lt;10'!C23</f>
        <v>29.99</v>
      </c>
      <c r="F4" t="str">
        <f>LEFT(G$2,3)&amp;" $"&amp;G4&amp;" Investment Credit"</f>
        <v>2YR $115 Investment Credit</v>
      </c>
      <c r="G4" s="49">
        <f>+'LOOKUP_ACQ_&lt;10'!P23</f>
        <v>115</v>
      </c>
      <c r="H4" s="49"/>
      <c r="I4" t="str">
        <f>LEFT(J$2,3)&amp;" $"&amp;J4&amp;" Investment Credit"</f>
        <v>2YR $155 Investment Credit</v>
      </c>
      <c r="J4" s="49">
        <f>+'LOOKUP_ACQ_&lt;10'!Q23</f>
        <v>155</v>
      </c>
      <c r="K4" s="49"/>
      <c r="L4" t="str">
        <f>LEFT(M$2,3)&amp;" $"&amp;M4&amp;" Investment Credit"</f>
        <v>2YR $155 Investment Credit</v>
      </c>
      <c r="M4" s="49">
        <f>+'LOOKUP_ACQ_&lt;10'!R23</f>
        <v>155</v>
      </c>
      <c r="N4" s="49"/>
      <c r="O4" t="str">
        <f>LEFT(P$2,3)&amp;" $"&amp;P4&amp;" Investment Credit"</f>
        <v>2YR $180 Investment Credit</v>
      </c>
      <c r="P4" s="49">
        <f>+'LOOKUP_ACQ_&lt;10'!S23</f>
        <v>180</v>
      </c>
      <c r="Q4" s="49"/>
      <c r="R4" s="49"/>
      <c r="S4" t="str">
        <f>LEFT(T$2,3)&amp;" $"&amp;T4&amp;" Investment Credit"</f>
        <v>3YR $170 Investment Credit</v>
      </c>
      <c r="T4" s="49">
        <f>+'LOOKUP_ACQ_&lt;10'!U23</f>
        <v>170</v>
      </c>
      <c r="U4" s="49"/>
      <c r="V4" t="str">
        <f>LEFT(W$2,3)&amp;" $"&amp;W4&amp;" Investment Credit"</f>
        <v>3YR $230 Investment Credit</v>
      </c>
      <c r="W4" s="49">
        <f>+'LOOKUP_ACQ_&lt;10'!V23</f>
        <v>230</v>
      </c>
      <c r="X4" s="49"/>
      <c r="Y4" t="str">
        <f>LEFT(Z$2,3)&amp;" $"&amp;Z4&amp;" Investment Credit"</f>
        <v>3YR $230 Investment Credit</v>
      </c>
      <c r="Z4" s="49">
        <f>+'LOOKUP_ACQ_&lt;10'!W23</f>
        <v>230</v>
      </c>
      <c r="AA4" s="49"/>
      <c r="AB4" t="str">
        <f>LEFT(AC$2,3)&amp;" $"&amp;AC4&amp;" Investment Credit"</f>
        <v>3YR $270 Investment Credit</v>
      </c>
      <c r="AC4" s="49">
        <f>+'LOOKUP_ACQ_&lt;10'!X23</f>
        <v>270</v>
      </c>
    </row>
    <row r="5" spans="1:29" x14ac:dyDescent="0.25">
      <c r="A5">
        <f>1+A4</f>
        <v>2</v>
      </c>
      <c r="C5" s="35">
        <f>+'LOOKUP_ACQ_&lt;10'!B24</f>
        <v>30</v>
      </c>
      <c r="D5" s="35">
        <f>+'LOOKUP_ACQ_&lt;10'!C24</f>
        <v>32.49</v>
      </c>
      <c r="F5" t="str">
        <f t="shared" ref="F5:F31" si="0">LEFT(G$2,3)&amp;" $"&amp;G5&amp;" Investment Credit"</f>
        <v>2YR $140 Investment Credit</v>
      </c>
      <c r="G5" s="49">
        <f>+'LOOKUP_ACQ_&lt;10'!P24</f>
        <v>140</v>
      </c>
      <c r="H5" s="49"/>
      <c r="I5" t="str">
        <f t="shared" ref="I5:I31" si="1">LEFT(J$2,3)&amp;" $"&amp;J5&amp;" Investment Credit"</f>
        <v>2YR $195 Investment Credit</v>
      </c>
      <c r="J5" s="49">
        <f>+'LOOKUP_ACQ_&lt;10'!Q24</f>
        <v>195</v>
      </c>
      <c r="K5" s="49"/>
      <c r="L5" t="str">
        <f t="shared" ref="L5:L31" si="2">LEFT(M$2,3)&amp;" $"&amp;M5&amp;" Investment Credit"</f>
        <v>2YR $195 Investment Credit</v>
      </c>
      <c r="M5" s="49">
        <f>+'LOOKUP_ACQ_&lt;10'!R24</f>
        <v>195</v>
      </c>
      <c r="N5" s="49"/>
      <c r="O5" t="str">
        <f t="shared" ref="O5:O31" si="3">LEFT(P$2,3)&amp;" $"&amp;P5&amp;" Investment Credit"</f>
        <v>2YR $225 Investment Credit</v>
      </c>
      <c r="P5" s="49">
        <f>+'LOOKUP_ACQ_&lt;10'!S24</f>
        <v>225</v>
      </c>
      <c r="Q5" s="49"/>
      <c r="R5" s="49"/>
      <c r="S5" t="str">
        <f t="shared" ref="S5:S31" si="4">LEFT(T$2,3)&amp;" $"&amp;T5&amp;" Investment Credit"</f>
        <v>3YR $210 Investment Credit</v>
      </c>
      <c r="T5" s="49">
        <f>+'LOOKUP_ACQ_&lt;10'!U24</f>
        <v>210</v>
      </c>
      <c r="U5" s="49"/>
      <c r="V5" t="str">
        <f t="shared" ref="V5:V31" si="5">LEFT(W$2,3)&amp;" $"&amp;W5&amp;" Investment Credit"</f>
        <v>3YR $290 Investment Credit</v>
      </c>
      <c r="W5" s="49">
        <f>+'LOOKUP_ACQ_&lt;10'!V24</f>
        <v>290</v>
      </c>
      <c r="X5" s="49"/>
      <c r="Y5" t="str">
        <f t="shared" ref="Y5:Y31" si="6">LEFT(Z$2,3)&amp;" $"&amp;Z5&amp;" Investment Credit"</f>
        <v>3YR $290 Investment Credit</v>
      </c>
      <c r="Z5" s="49">
        <f>+'LOOKUP_ACQ_&lt;10'!W24</f>
        <v>290</v>
      </c>
      <c r="AA5" s="49"/>
      <c r="AB5" t="str">
        <f t="shared" ref="AB5:AB31" si="7">LEFT(AC$2,3)&amp;" $"&amp;AC5&amp;" Investment Credit"</f>
        <v>3YR $340 Investment Credit</v>
      </c>
      <c r="AC5" s="49">
        <f>+'LOOKUP_ACQ_&lt;10'!X24</f>
        <v>340</v>
      </c>
    </row>
    <row r="6" spans="1:29" x14ac:dyDescent="0.25">
      <c r="A6">
        <f t="shared" ref="A6:A31" si="8">1+A5</f>
        <v>3</v>
      </c>
      <c r="C6" s="35">
        <f>+'LOOKUP_ACQ_&lt;10'!B25</f>
        <v>32.5</v>
      </c>
      <c r="D6" s="35">
        <f>+'LOOKUP_ACQ_&lt;10'!C25</f>
        <v>34.99</v>
      </c>
      <c r="F6" t="str">
        <f t="shared" si="0"/>
        <v>2YR $155 Investment Credit</v>
      </c>
      <c r="G6" s="49">
        <f>+'LOOKUP_ACQ_&lt;10'!P25</f>
        <v>155</v>
      </c>
      <c r="H6" s="49"/>
      <c r="I6" t="str">
        <f t="shared" si="1"/>
        <v>2YR $210 Investment Credit</v>
      </c>
      <c r="J6" s="49">
        <f>+'LOOKUP_ACQ_&lt;10'!Q25</f>
        <v>210</v>
      </c>
      <c r="K6" s="49"/>
      <c r="L6" t="str">
        <f t="shared" si="2"/>
        <v>2YR $210 Investment Credit</v>
      </c>
      <c r="M6" s="49">
        <f>+'LOOKUP_ACQ_&lt;10'!R25</f>
        <v>210</v>
      </c>
      <c r="N6" s="49"/>
      <c r="O6" t="str">
        <f t="shared" si="3"/>
        <v>2YR $245 Investment Credit</v>
      </c>
      <c r="P6" s="49">
        <f>+'LOOKUP_ACQ_&lt;10'!S25</f>
        <v>245</v>
      </c>
      <c r="Q6" s="49"/>
      <c r="R6" s="49"/>
      <c r="S6" t="str">
        <f t="shared" si="4"/>
        <v>3YR $230 Investment Credit</v>
      </c>
      <c r="T6" s="49">
        <f>+'LOOKUP_ACQ_&lt;10'!U25</f>
        <v>230</v>
      </c>
      <c r="U6" s="49"/>
      <c r="V6" t="str">
        <f t="shared" si="5"/>
        <v>3YR $320 Investment Credit</v>
      </c>
      <c r="W6" s="49">
        <f>+'LOOKUP_ACQ_&lt;10'!V25</f>
        <v>320</v>
      </c>
      <c r="X6" s="49"/>
      <c r="Y6" t="str">
        <f t="shared" si="6"/>
        <v>3YR $320 Investment Credit</v>
      </c>
      <c r="Z6" s="49">
        <f>+'LOOKUP_ACQ_&lt;10'!W25</f>
        <v>320</v>
      </c>
      <c r="AA6" s="49"/>
      <c r="AB6" t="str">
        <f t="shared" si="7"/>
        <v>3YR $360 Investment Credit</v>
      </c>
      <c r="AC6" s="49">
        <f>+'LOOKUP_ACQ_&lt;10'!X25</f>
        <v>360</v>
      </c>
    </row>
    <row r="7" spans="1:29" x14ac:dyDescent="0.25">
      <c r="A7">
        <f t="shared" si="8"/>
        <v>4</v>
      </c>
      <c r="C7" s="35">
        <f>+'LOOKUP_ACQ_&lt;10'!B26</f>
        <v>35</v>
      </c>
      <c r="D7" s="35">
        <f>+'LOOKUP_ACQ_&lt;10'!C26</f>
        <v>37.49</v>
      </c>
      <c r="F7" t="str">
        <f t="shared" si="0"/>
        <v>2YR $165 Investment Credit</v>
      </c>
      <c r="G7" s="49">
        <f>+'LOOKUP_ACQ_&lt;10'!P26</f>
        <v>165</v>
      </c>
      <c r="H7" s="49"/>
      <c r="I7" t="str">
        <f t="shared" si="1"/>
        <v>2YR $225 Investment Credit</v>
      </c>
      <c r="J7" s="49">
        <f>+'LOOKUP_ACQ_&lt;10'!Q26</f>
        <v>225</v>
      </c>
      <c r="K7" s="49"/>
      <c r="L7" t="str">
        <f t="shared" si="2"/>
        <v>2YR $225 Investment Credit</v>
      </c>
      <c r="M7" s="49">
        <f>+'LOOKUP_ACQ_&lt;10'!R26</f>
        <v>225</v>
      </c>
      <c r="N7" s="49"/>
      <c r="O7" t="str">
        <f t="shared" si="3"/>
        <v>2YR $260 Investment Credit</v>
      </c>
      <c r="P7" s="49">
        <f>+'LOOKUP_ACQ_&lt;10'!S26</f>
        <v>260</v>
      </c>
      <c r="Q7" s="49"/>
      <c r="R7" s="49"/>
      <c r="S7" t="str">
        <f t="shared" si="4"/>
        <v>3YR $250 Investment Credit</v>
      </c>
      <c r="T7" s="49">
        <f>+'LOOKUP_ACQ_&lt;10'!U26</f>
        <v>250</v>
      </c>
      <c r="U7" s="49"/>
      <c r="V7" t="str">
        <f t="shared" si="5"/>
        <v>3YR $340 Investment Credit</v>
      </c>
      <c r="W7" s="49">
        <f>+'LOOKUP_ACQ_&lt;10'!V26</f>
        <v>340</v>
      </c>
      <c r="X7" s="49"/>
      <c r="Y7" t="str">
        <f t="shared" si="6"/>
        <v>3YR $340 Investment Credit</v>
      </c>
      <c r="Z7" s="49">
        <f>+'LOOKUP_ACQ_&lt;10'!W26</f>
        <v>340</v>
      </c>
      <c r="AA7" s="49"/>
      <c r="AB7" t="str">
        <f t="shared" si="7"/>
        <v>3YR $390 Investment Credit</v>
      </c>
      <c r="AC7" s="49">
        <f>+'LOOKUP_ACQ_&lt;10'!X26</f>
        <v>390</v>
      </c>
    </row>
    <row r="8" spans="1:29" x14ac:dyDescent="0.25">
      <c r="A8">
        <f t="shared" si="8"/>
        <v>5</v>
      </c>
      <c r="C8" s="35">
        <f>+'LOOKUP_ACQ_&lt;10'!B27</f>
        <v>37.5</v>
      </c>
      <c r="D8" s="35">
        <f>+'LOOKUP_ACQ_&lt;10'!C27</f>
        <v>39.99</v>
      </c>
      <c r="F8" t="str">
        <f t="shared" si="0"/>
        <v>2YR $175 Investment Credit</v>
      </c>
      <c r="G8" s="49">
        <f>+'LOOKUP_ACQ_&lt;10'!P27</f>
        <v>175</v>
      </c>
      <c r="H8" s="49"/>
      <c r="I8" t="str">
        <f t="shared" si="1"/>
        <v>2YR $240 Investment Credit</v>
      </c>
      <c r="J8" s="49">
        <f>+'LOOKUP_ACQ_&lt;10'!Q27</f>
        <v>240</v>
      </c>
      <c r="K8" s="49"/>
      <c r="L8" t="str">
        <f t="shared" si="2"/>
        <v>2YR $240 Investment Credit</v>
      </c>
      <c r="M8" s="49">
        <f>+'LOOKUP_ACQ_&lt;10'!R27</f>
        <v>240</v>
      </c>
      <c r="N8" s="49"/>
      <c r="O8" t="str">
        <f t="shared" si="3"/>
        <v>2YR $280 Investment Credit</v>
      </c>
      <c r="P8" s="49">
        <f>+'LOOKUP_ACQ_&lt;10'!S27</f>
        <v>280</v>
      </c>
      <c r="Q8" s="49"/>
      <c r="R8" s="49"/>
      <c r="S8" t="str">
        <f t="shared" si="4"/>
        <v>3YR $270 Investment Credit</v>
      </c>
      <c r="T8" s="49">
        <f>+'LOOKUP_ACQ_&lt;10'!U27</f>
        <v>270</v>
      </c>
      <c r="U8" s="49"/>
      <c r="V8" t="str">
        <f t="shared" si="5"/>
        <v>3YR $360 Investment Credit</v>
      </c>
      <c r="W8" s="49">
        <f>+'LOOKUP_ACQ_&lt;10'!V27</f>
        <v>360</v>
      </c>
      <c r="X8" s="49"/>
      <c r="Y8" t="str">
        <f t="shared" si="6"/>
        <v>3YR $360 Investment Credit</v>
      </c>
      <c r="Z8" s="49">
        <f>+'LOOKUP_ACQ_&lt;10'!W27</f>
        <v>360</v>
      </c>
      <c r="AA8" s="49"/>
      <c r="AB8" t="str">
        <f t="shared" si="7"/>
        <v>3YR $420 Investment Credit</v>
      </c>
      <c r="AC8" s="49">
        <f>+'LOOKUP_ACQ_&lt;10'!X27</f>
        <v>420</v>
      </c>
    </row>
    <row r="9" spans="1:29" x14ac:dyDescent="0.25">
      <c r="A9">
        <f t="shared" si="8"/>
        <v>6</v>
      </c>
      <c r="C9" s="35">
        <f>+'LOOKUP_ACQ_&lt;10'!B28</f>
        <v>40</v>
      </c>
      <c r="D9" s="35">
        <f>+'LOOKUP_ACQ_&lt;10'!C28</f>
        <v>42.49</v>
      </c>
      <c r="F9" t="str">
        <f t="shared" si="0"/>
        <v>2YR $190 Investment Credit</v>
      </c>
      <c r="G9" s="49">
        <f>+'LOOKUP_ACQ_&lt;10'!P28</f>
        <v>190</v>
      </c>
      <c r="H9" s="49"/>
      <c r="I9" t="str">
        <f t="shared" si="1"/>
        <v>2YR $255 Investment Credit</v>
      </c>
      <c r="J9" s="49">
        <f>+'LOOKUP_ACQ_&lt;10'!Q28</f>
        <v>255</v>
      </c>
      <c r="K9" s="49"/>
      <c r="L9" t="str">
        <f t="shared" si="2"/>
        <v>2YR $255 Investment Credit</v>
      </c>
      <c r="M9" s="49">
        <f>+'LOOKUP_ACQ_&lt;10'!R28</f>
        <v>255</v>
      </c>
      <c r="N9" s="49"/>
      <c r="O9" t="str">
        <f t="shared" si="3"/>
        <v>2YR $295 Investment Credit</v>
      </c>
      <c r="P9" s="49">
        <f>+'LOOKUP_ACQ_&lt;10'!S28</f>
        <v>295</v>
      </c>
      <c r="Q9" s="49"/>
      <c r="R9" s="49"/>
      <c r="S9" t="str">
        <f t="shared" si="4"/>
        <v>3YR $280 Investment Credit</v>
      </c>
      <c r="T9" s="49">
        <f>+'LOOKUP_ACQ_&lt;10'!U28</f>
        <v>280</v>
      </c>
      <c r="U9" s="49"/>
      <c r="V9" t="str">
        <f t="shared" si="5"/>
        <v>3YR $390 Investment Credit</v>
      </c>
      <c r="W9" s="49">
        <f>+'LOOKUP_ACQ_&lt;10'!V28</f>
        <v>390</v>
      </c>
      <c r="X9" s="49"/>
      <c r="Y9" t="str">
        <f t="shared" si="6"/>
        <v>3YR $390 Investment Credit</v>
      </c>
      <c r="Z9" s="49">
        <f>+'LOOKUP_ACQ_&lt;10'!W28</f>
        <v>390</v>
      </c>
      <c r="AA9" s="49"/>
      <c r="AB9" t="str">
        <f t="shared" si="7"/>
        <v>3YR $450 Investment Credit</v>
      </c>
      <c r="AC9" s="49">
        <f>+'LOOKUP_ACQ_&lt;10'!X28</f>
        <v>450</v>
      </c>
    </row>
    <row r="10" spans="1:29" x14ac:dyDescent="0.25">
      <c r="A10">
        <f t="shared" si="8"/>
        <v>7</v>
      </c>
      <c r="C10" s="35">
        <f>+'LOOKUP_ACQ_&lt;10'!B29</f>
        <v>42.5</v>
      </c>
      <c r="D10" s="35">
        <f>+'LOOKUP_ACQ_&lt;10'!C29</f>
        <v>44.99</v>
      </c>
      <c r="F10" t="str">
        <f t="shared" si="0"/>
        <v>2YR $200 Investment Credit</v>
      </c>
      <c r="G10" s="49">
        <f>+'LOOKUP_ACQ_&lt;10'!P29</f>
        <v>200</v>
      </c>
      <c r="H10" s="49"/>
      <c r="I10" t="str">
        <f t="shared" si="1"/>
        <v>2YR $275 Investment Credit</v>
      </c>
      <c r="J10" s="49">
        <f>+'LOOKUP_ACQ_&lt;10'!Q29</f>
        <v>275</v>
      </c>
      <c r="K10" s="49"/>
      <c r="L10" t="str">
        <f t="shared" si="2"/>
        <v>2YR $275 Investment Credit</v>
      </c>
      <c r="M10" s="49">
        <f>+'LOOKUP_ACQ_&lt;10'!R29</f>
        <v>275</v>
      </c>
      <c r="N10" s="49"/>
      <c r="O10" t="str">
        <f t="shared" si="3"/>
        <v>2YR $315 Investment Credit</v>
      </c>
      <c r="P10" s="49">
        <f>+'LOOKUP_ACQ_&lt;10'!S29</f>
        <v>315</v>
      </c>
      <c r="Q10" s="49"/>
      <c r="R10" s="49"/>
      <c r="S10" t="str">
        <f t="shared" si="4"/>
        <v>3YR $300 Investment Credit</v>
      </c>
      <c r="T10" s="49">
        <f>+'LOOKUP_ACQ_&lt;10'!U29</f>
        <v>300</v>
      </c>
      <c r="U10" s="49"/>
      <c r="V10" t="str">
        <f t="shared" si="5"/>
        <v>3YR $410 Investment Credit</v>
      </c>
      <c r="W10" s="49">
        <f>+'LOOKUP_ACQ_&lt;10'!V29</f>
        <v>410</v>
      </c>
      <c r="X10" s="49"/>
      <c r="Y10" t="str">
        <f t="shared" si="6"/>
        <v>3YR $410 Investment Credit</v>
      </c>
      <c r="Z10" s="49">
        <f>+'LOOKUP_ACQ_&lt;10'!W29</f>
        <v>410</v>
      </c>
      <c r="AA10" s="49"/>
      <c r="AB10" t="str">
        <f t="shared" si="7"/>
        <v>3YR $470 Investment Credit</v>
      </c>
      <c r="AC10" s="49">
        <f>+'LOOKUP_ACQ_&lt;10'!X29</f>
        <v>470</v>
      </c>
    </row>
    <row r="11" spans="1:29" x14ac:dyDescent="0.25">
      <c r="A11">
        <f t="shared" si="8"/>
        <v>8</v>
      </c>
      <c r="C11" s="35">
        <f>+'LOOKUP_ACQ_&lt;10'!B30</f>
        <v>45</v>
      </c>
      <c r="D11" s="35">
        <f>+'LOOKUP_ACQ_&lt;10'!C30</f>
        <v>47.49</v>
      </c>
      <c r="F11" t="str">
        <f t="shared" si="0"/>
        <v>2YR $210 Investment Credit</v>
      </c>
      <c r="G11" s="49">
        <f>+'LOOKUP_ACQ_&lt;10'!P30</f>
        <v>210</v>
      </c>
      <c r="H11" s="49"/>
      <c r="I11" t="str">
        <f t="shared" si="1"/>
        <v>2YR $290 Investment Credit</v>
      </c>
      <c r="J11" s="49">
        <f>+'LOOKUP_ACQ_&lt;10'!Q30</f>
        <v>290</v>
      </c>
      <c r="K11" s="49"/>
      <c r="L11" t="str">
        <f t="shared" si="2"/>
        <v>2YR $290 Investment Credit</v>
      </c>
      <c r="M11" s="49">
        <f>+'LOOKUP_ACQ_&lt;10'!R30</f>
        <v>290</v>
      </c>
      <c r="N11" s="49"/>
      <c r="O11" t="str">
        <f t="shared" si="3"/>
        <v>2YR $335 Investment Credit</v>
      </c>
      <c r="P11" s="49">
        <f>+'LOOKUP_ACQ_&lt;10'!S30</f>
        <v>335</v>
      </c>
      <c r="Q11" s="49"/>
      <c r="R11" s="49"/>
      <c r="S11" t="str">
        <f t="shared" si="4"/>
        <v>3YR $320 Investment Credit</v>
      </c>
      <c r="T11" s="49">
        <f>+'LOOKUP_ACQ_&lt;10'!U30</f>
        <v>320</v>
      </c>
      <c r="U11" s="49"/>
      <c r="V11" t="str">
        <f t="shared" si="5"/>
        <v>3YR $430 Investment Credit</v>
      </c>
      <c r="W11" s="49">
        <f>+'LOOKUP_ACQ_&lt;10'!V30</f>
        <v>430</v>
      </c>
      <c r="X11" s="49"/>
      <c r="Y11" t="str">
        <f t="shared" si="6"/>
        <v>3YR $430 Investment Credit</v>
      </c>
      <c r="Z11" s="49">
        <f>+'LOOKUP_ACQ_&lt;10'!W30</f>
        <v>430</v>
      </c>
      <c r="AA11" s="49"/>
      <c r="AB11" t="str">
        <f t="shared" si="7"/>
        <v>3YR $500 Investment Credit</v>
      </c>
      <c r="AC11" s="49">
        <f>+'LOOKUP_ACQ_&lt;10'!X30</f>
        <v>500</v>
      </c>
    </row>
    <row r="12" spans="1:29" x14ac:dyDescent="0.25">
      <c r="A12">
        <f t="shared" si="8"/>
        <v>9</v>
      </c>
      <c r="C12" s="35">
        <f>+'LOOKUP_ACQ_&lt;10'!B31</f>
        <v>47.5</v>
      </c>
      <c r="D12" s="35">
        <f>+'LOOKUP_ACQ_&lt;10'!C31</f>
        <v>54.99</v>
      </c>
      <c r="F12" t="str">
        <f t="shared" si="0"/>
        <v>2YR $235 Investment Credit</v>
      </c>
      <c r="G12" s="49">
        <f>+'LOOKUP_ACQ_&lt;10'!P31</f>
        <v>235</v>
      </c>
      <c r="H12" s="49"/>
      <c r="I12" t="str">
        <f t="shared" si="1"/>
        <v>2YR $320 Investment Credit</v>
      </c>
      <c r="J12" s="49">
        <f>+'LOOKUP_ACQ_&lt;10'!Q31</f>
        <v>320</v>
      </c>
      <c r="K12" s="49"/>
      <c r="L12" t="str">
        <f t="shared" si="2"/>
        <v>2YR $320 Investment Credit</v>
      </c>
      <c r="M12" s="49">
        <f>+'LOOKUP_ACQ_&lt;10'!R31</f>
        <v>320</v>
      </c>
      <c r="N12" s="49"/>
      <c r="O12" t="str">
        <f t="shared" si="3"/>
        <v>2YR $370 Investment Credit</v>
      </c>
      <c r="P12" s="49">
        <f>+'LOOKUP_ACQ_&lt;10'!S31</f>
        <v>370</v>
      </c>
      <c r="Q12" s="49"/>
      <c r="R12" s="49"/>
      <c r="S12" t="str">
        <f t="shared" si="4"/>
        <v>3YR $350 Investment Credit</v>
      </c>
      <c r="T12" s="49">
        <f>+'LOOKUP_ACQ_&lt;10'!U31</f>
        <v>350</v>
      </c>
      <c r="U12" s="49"/>
      <c r="V12" t="str">
        <f t="shared" si="5"/>
        <v>3YR $480 Investment Credit</v>
      </c>
      <c r="W12" s="49">
        <f>+'LOOKUP_ACQ_&lt;10'!V31</f>
        <v>480</v>
      </c>
      <c r="X12" s="49"/>
      <c r="Y12" t="str">
        <f t="shared" si="6"/>
        <v>3YR $480 Investment Credit</v>
      </c>
      <c r="Z12" s="49">
        <f>+'LOOKUP_ACQ_&lt;10'!W31</f>
        <v>480</v>
      </c>
      <c r="AA12" s="49"/>
      <c r="AB12" t="str">
        <f t="shared" si="7"/>
        <v>3YR $550 Investment Credit</v>
      </c>
      <c r="AC12" s="49">
        <f>+'LOOKUP_ACQ_&lt;10'!X31</f>
        <v>550</v>
      </c>
    </row>
    <row r="13" spans="1:29" x14ac:dyDescent="0.25">
      <c r="A13">
        <f t="shared" si="8"/>
        <v>10</v>
      </c>
      <c r="C13" s="35">
        <f>+'LOOKUP_ACQ_&lt;10'!B32</f>
        <v>55</v>
      </c>
      <c r="D13" s="35">
        <f>+'LOOKUP_ACQ_&lt;10'!C32</f>
        <v>59.99</v>
      </c>
      <c r="F13" t="str">
        <f t="shared" si="0"/>
        <v>2YR $260 Investment Credit</v>
      </c>
      <c r="G13" s="49">
        <f>+'LOOKUP_ACQ_&lt;10'!P32</f>
        <v>260</v>
      </c>
      <c r="H13" s="49"/>
      <c r="I13" t="str">
        <f t="shared" si="1"/>
        <v>2YR $360 Investment Credit</v>
      </c>
      <c r="J13" s="49">
        <f>+'LOOKUP_ACQ_&lt;10'!Q32</f>
        <v>360</v>
      </c>
      <c r="K13" s="49"/>
      <c r="L13" t="str">
        <f t="shared" si="2"/>
        <v>2YR $360 Investment Credit</v>
      </c>
      <c r="M13" s="49">
        <f>+'LOOKUP_ACQ_&lt;10'!R32</f>
        <v>360</v>
      </c>
      <c r="N13" s="49"/>
      <c r="O13" t="str">
        <f t="shared" si="3"/>
        <v>2YR $415 Investment Credit</v>
      </c>
      <c r="P13" s="49">
        <f>+'LOOKUP_ACQ_&lt;10'!S32</f>
        <v>415</v>
      </c>
      <c r="Q13" s="49"/>
      <c r="R13" s="49"/>
      <c r="S13" t="str">
        <f t="shared" si="4"/>
        <v>3YR $390 Investment Credit</v>
      </c>
      <c r="T13" s="49">
        <f>+'LOOKUP_ACQ_&lt;10'!U32</f>
        <v>390</v>
      </c>
      <c r="U13" s="49"/>
      <c r="V13" t="str">
        <f t="shared" si="5"/>
        <v>3YR $540 Investment Credit</v>
      </c>
      <c r="W13" s="49">
        <f>+'LOOKUP_ACQ_&lt;10'!V32</f>
        <v>540</v>
      </c>
      <c r="X13" s="49"/>
      <c r="Y13" t="str">
        <f t="shared" si="6"/>
        <v>3YR $540 Investment Credit</v>
      </c>
      <c r="Z13" s="49">
        <f>+'LOOKUP_ACQ_&lt;10'!W32</f>
        <v>540</v>
      </c>
      <c r="AA13" s="49"/>
      <c r="AB13" t="str">
        <f t="shared" si="7"/>
        <v>3YR $620 Investment Credit</v>
      </c>
      <c r="AC13" s="49">
        <f>+'LOOKUP_ACQ_&lt;10'!X32</f>
        <v>620</v>
      </c>
    </row>
    <row r="14" spans="1:29" x14ac:dyDescent="0.25">
      <c r="A14">
        <f t="shared" si="8"/>
        <v>11</v>
      </c>
      <c r="C14" s="35">
        <f>+'LOOKUP_ACQ_&lt;10'!B33</f>
        <v>60</v>
      </c>
      <c r="D14" s="35">
        <f>+'LOOKUP_ACQ_&lt;10'!C33</f>
        <v>69.990000000000009</v>
      </c>
      <c r="F14" t="str">
        <f t="shared" si="0"/>
        <v>2YR $295 Investment Credit</v>
      </c>
      <c r="G14" s="49">
        <f>+'LOOKUP_ACQ_&lt;10'!P33</f>
        <v>295</v>
      </c>
      <c r="H14" s="49"/>
      <c r="I14" t="str">
        <f t="shared" si="1"/>
        <v>2YR $405 Investment Credit</v>
      </c>
      <c r="J14" s="49">
        <f>+'LOOKUP_ACQ_&lt;10'!Q33</f>
        <v>405</v>
      </c>
      <c r="K14" s="49"/>
      <c r="L14" t="str">
        <f t="shared" si="2"/>
        <v>2YR $405 Investment Credit</v>
      </c>
      <c r="M14" s="49">
        <f>+'LOOKUP_ACQ_&lt;10'!R33</f>
        <v>405</v>
      </c>
      <c r="N14" s="49"/>
      <c r="O14" t="str">
        <f t="shared" si="3"/>
        <v>2YR $470 Investment Credit</v>
      </c>
      <c r="P14" s="49">
        <f>+'LOOKUP_ACQ_&lt;10'!S33</f>
        <v>470</v>
      </c>
      <c r="Q14" s="49"/>
      <c r="R14" s="49"/>
      <c r="S14" t="str">
        <f t="shared" si="4"/>
        <v>3YR $440 Investment Credit</v>
      </c>
      <c r="T14" s="49">
        <f>+'LOOKUP_ACQ_&lt;10'!U33</f>
        <v>440</v>
      </c>
      <c r="U14" s="49"/>
      <c r="V14" t="str">
        <f t="shared" si="5"/>
        <v>3YR $610 Investment Credit</v>
      </c>
      <c r="W14" s="49">
        <f>+'LOOKUP_ACQ_&lt;10'!V33</f>
        <v>610</v>
      </c>
      <c r="X14" s="49"/>
      <c r="Y14" t="str">
        <f t="shared" si="6"/>
        <v>3YR $610 Investment Credit</v>
      </c>
      <c r="Z14" s="49">
        <f>+'LOOKUP_ACQ_&lt;10'!W33</f>
        <v>610</v>
      </c>
      <c r="AA14" s="49"/>
      <c r="AB14" t="str">
        <f t="shared" si="7"/>
        <v>3YR $700 Investment Credit</v>
      </c>
      <c r="AC14" s="49">
        <f>+'LOOKUP_ACQ_&lt;10'!X33</f>
        <v>700</v>
      </c>
    </row>
    <row r="15" spans="1:29" x14ac:dyDescent="0.25">
      <c r="A15">
        <f t="shared" si="8"/>
        <v>12</v>
      </c>
      <c r="C15" s="35">
        <f>+'LOOKUP_ACQ_&lt;10'!B34</f>
        <v>70.000000000000014</v>
      </c>
      <c r="D15" s="35">
        <f>+'LOOKUP_ACQ_&lt;10'!C34</f>
        <v>79.990000000000009</v>
      </c>
      <c r="F15" t="str">
        <f t="shared" si="0"/>
        <v>2YR $340 Investment Credit</v>
      </c>
      <c r="G15" s="49">
        <f>+'LOOKUP_ACQ_&lt;10'!P34</f>
        <v>340</v>
      </c>
      <c r="H15" s="49"/>
      <c r="I15" t="str">
        <f t="shared" si="1"/>
        <v>2YR $470 Investment Credit</v>
      </c>
      <c r="J15" s="49">
        <f>+'LOOKUP_ACQ_&lt;10'!Q34</f>
        <v>470</v>
      </c>
      <c r="K15" s="49"/>
      <c r="L15" t="str">
        <f t="shared" si="2"/>
        <v>2YR $470 Investment Credit</v>
      </c>
      <c r="M15" s="49">
        <f>+'LOOKUP_ACQ_&lt;10'!R34</f>
        <v>470</v>
      </c>
      <c r="N15" s="49"/>
      <c r="O15" t="str">
        <f t="shared" si="3"/>
        <v>2YR $540 Investment Credit</v>
      </c>
      <c r="P15" s="49">
        <f>+'LOOKUP_ACQ_&lt;10'!S34</f>
        <v>540</v>
      </c>
      <c r="Q15" s="49"/>
      <c r="R15" s="49"/>
      <c r="S15" t="str">
        <f t="shared" si="4"/>
        <v>3YR $510 Investment Credit</v>
      </c>
      <c r="T15" s="49">
        <f>+'LOOKUP_ACQ_&lt;10'!U34</f>
        <v>510</v>
      </c>
      <c r="U15" s="49"/>
      <c r="V15" t="str">
        <f t="shared" si="5"/>
        <v>3YR $700 Investment Credit</v>
      </c>
      <c r="W15" s="49">
        <f>+'LOOKUP_ACQ_&lt;10'!V34</f>
        <v>700</v>
      </c>
      <c r="X15" s="49"/>
      <c r="Y15" t="str">
        <f t="shared" si="6"/>
        <v>3YR $700 Investment Credit</v>
      </c>
      <c r="Z15" s="49">
        <f>+'LOOKUP_ACQ_&lt;10'!W34</f>
        <v>700</v>
      </c>
      <c r="AA15" s="49"/>
      <c r="AB15" t="str">
        <f t="shared" si="7"/>
        <v>3YR $810 Investment Credit</v>
      </c>
      <c r="AC15" s="49">
        <f>+'LOOKUP_ACQ_&lt;10'!X34</f>
        <v>810</v>
      </c>
    </row>
    <row r="16" spans="1:29" x14ac:dyDescent="0.25">
      <c r="A16">
        <f t="shared" si="8"/>
        <v>13</v>
      </c>
      <c r="C16" s="35">
        <f>+'LOOKUP_ACQ_&lt;10'!B35</f>
        <v>80.000000000000014</v>
      </c>
      <c r="D16" s="35">
        <f>+'LOOKUP_ACQ_&lt;10'!C35</f>
        <v>129.99</v>
      </c>
      <c r="F16" t="str">
        <f t="shared" si="0"/>
        <v>2YR $480 Investment Credit</v>
      </c>
      <c r="G16" s="49">
        <f>+'LOOKUP_ACQ_&lt;10'!P35</f>
        <v>480</v>
      </c>
      <c r="H16" s="49"/>
      <c r="I16" t="str">
        <f t="shared" si="1"/>
        <v>2YR $655 Investment Credit</v>
      </c>
      <c r="J16" s="49">
        <f>+'LOOKUP_ACQ_&lt;10'!Q35</f>
        <v>655</v>
      </c>
      <c r="K16" s="49"/>
      <c r="L16" t="str">
        <f t="shared" si="2"/>
        <v>2YR $655 Investment Credit</v>
      </c>
      <c r="M16" s="49">
        <f>+'LOOKUP_ACQ_&lt;10'!R35</f>
        <v>655</v>
      </c>
      <c r="N16" s="49"/>
      <c r="O16" t="str">
        <f t="shared" si="3"/>
        <v>2YR $755 Investment Credit</v>
      </c>
      <c r="P16" s="49">
        <f>+'LOOKUP_ACQ_&lt;10'!S35</f>
        <v>755</v>
      </c>
      <c r="Q16" s="49"/>
      <c r="R16" s="49"/>
      <c r="S16" t="str">
        <f t="shared" si="4"/>
        <v>3YR $720 Investment Credit</v>
      </c>
      <c r="T16" s="49">
        <f>+'LOOKUP_ACQ_&lt;10'!U35</f>
        <v>720</v>
      </c>
      <c r="U16" s="49"/>
      <c r="V16" t="str">
        <f t="shared" si="5"/>
        <v>3YR $980 Investment Credit</v>
      </c>
      <c r="W16" s="49">
        <f>+'LOOKUP_ACQ_&lt;10'!V35</f>
        <v>980</v>
      </c>
      <c r="X16" s="49"/>
      <c r="Y16" t="str">
        <f t="shared" si="6"/>
        <v>3YR $980 Investment Credit</v>
      </c>
      <c r="Z16" s="49">
        <f>+'LOOKUP_ACQ_&lt;10'!W35</f>
        <v>980</v>
      </c>
      <c r="AA16" s="49"/>
      <c r="AB16" t="str">
        <f t="shared" si="7"/>
        <v>3YR $1130 Investment Credit</v>
      </c>
      <c r="AC16" s="49">
        <f>+'LOOKUP_ACQ_&lt;10'!X35</f>
        <v>1130</v>
      </c>
    </row>
    <row r="17" spans="1:29" x14ac:dyDescent="0.25">
      <c r="A17">
        <f t="shared" si="8"/>
        <v>14</v>
      </c>
      <c r="C17" s="35">
        <f>+'LOOKUP_ACQ_&lt;10'!B36</f>
        <v>130</v>
      </c>
      <c r="D17" s="35">
        <f>+'LOOKUP_ACQ_&lt;10'!C36</f>
        <v>204.99</v>
      </c>
      <c r="F17" t="str">
        <f t="shared" si="0"/>
        <v>2YR $765 Investment Credit</v>
      </c>
      <c r="G17" s="49">
        <f>+'LOOKUP_ACQ_&lt;10'!P36</f>
        <v>765</v>
      </c>
      <c r="H17" s="49"/>
      <c r="I17" t="str">
        <f t="shared" si="1"/>
        <v>2YR $1045 Investment Credit</v>
      </c>
      <c r="J17" s="49">
        <f>+'LOOKUP_ACQ_&lt;10'!Q36</f>
        <v>1045</v>
      </c>
      <c r="K17" s="49"/>
      <c r="L17" t="str">
        <f t="shared" si="2"/>
        <v>2YR $1045 Investment Credit</v>
      </c>
      <c r="M17" s="49">
        <f>+'LOOKUP_ACQ_&lt;10'!R36</f>
        <v>1045</v>
      </c>
      <c r="N17" s="49"/>
      <c r="O17" t="str">
        <f t="shared" si="3"/>
        <v>2YR $1205 Investment Credit</v>
      </c>
      <c r="P17" s="49">
        <f>+'LOOKUP_ACQ_&lt;10'!S36</f>
        <v>1205</v>
      </c>
      <c r="Q17" s="49"/>
      <c r="R17" s="49"/>
      <c r="S17" t="str">
        <f t="shared" si="4"/>
        <v>3YR $1150 Investment Credit</v>
      </c>
      <c r="T17" s="49">
        <f>+'LOOKUP_ACQ_&lt;10'!U36</f>
        <v>1150</v>
      </c>
      <c r="U17" s="49"/>
      <c r="V17" t="str">
        <f t="shared" si="5"/>
        <v>3YR $1570 Investment Credit</v>
      </c>
      <c r="W17" s="49">
        <f>+'LOOKUP_ACQ_&lt;10'!V36</f>
        <v>1570</v>
      </c>
      <c r="X17" s="49"/>
      <c r="Y17" t="str">
        <f t="shared" si="6"/>
        <v>3YR $1570 Investment Credit</v>
      </c>
      <c r="Z17" s="49">
        <f>+'LOOKUP_ACQ_&lt;10'!W36</f>
        <v>1570</v>
      </c>
      <c r="AA17" s="49"/>
      <c r="AB17" t="str">
        <f t="shared" si="7"/>
        <v>3YR $1810 Investment Credit</v>
      </c>
      <c r="AC17" s="49">
        <f>+'LOOKUP_ACQ_&lt;10'!X36</f>
        <v>1810</v>
      </c>
    </row>
    <row r="18" spans="1:29" x14ac:dyDescent="0.25">
      <c r="A18">
        <f t="shared" si="8"/>
        <v>15</v>
      </c>
      <c r="C18" s="35">
        <f>+'LOOKUP_ACQ_&lt;10'!B37</f>
        <v>205</v>
      </c>
      <c r="D18" s="35">
        <f>+'LOOKUP_ACQ_&lt;10'!C37</f>
        <v>279.99</v>
      </c>
      <c r="F18" t="str">
        <f t="shared" si="0"/>
        <v>2YR $1105 Investment Credit</v>
      </c>
      <c r="G18" s="49">
        <f>+'LOOKUP_ACQ_&lt;10'!P37</f>
        <v>1105</v>
      </c>
      <c r="H18" s="49"/>
      <c r="I18" t="str">
        <f t="shared" si="1"/>
        <v>2YR $1515 Investment Credit</v>
      </c>
      <c r="J18" s="49">
        <f>+'LOOKUP_ACQ_&lt;10'!Q37</f>
        <v>1515</v>
      </c>
      <c r="K18" s="49"/>
      <c r="L18" t="str">
        <f t="shared" si="2"/>
        <v>2YR $1515 Investment Credit</v>
      </c>
      <c r="M18" s="49">
        <f>+'LOOKUP_ACQ_&lt;10'!R37</f>
        <v>1515</v>
      </c>
      <c r="N18" s="49"/>
      <c r="O18" t="str">
        <f t="shared" si="3"/>
        <v>2YR $1745 Investment Credit</v>
      </c>
      <c r="P18" s="49">
        <f>+'LOOKUP_ACQ_&lt;10'!S37</f>
        <v>1745</v>
      </c>
      <c r="Q18" s="49"/>
      <c r="R18" s="49"/>
      <c r="S18" t="str">
        <f t="shared" si="4"/>
        <v>3YR $1660 Investment Credit</v>
      </c>
      <c r="T18" s="49">
        <f>+'LOOKUP_ACQ_&lt;10'!U37</f>
        <v>1660</v>
      </c>
      <c r="U18" s="49"/>
      <c r="V18" t="str">
        <f t="shared" si="5"/>
        <v>3YR $2270 Investment Credit</v>
      </c>
      <c r="W18" s="49">
        <f>+'LOOKUP_ACQ_&lt;10'!V37</f>
        <v>2270</v>
      </c>
      <c r="X18" s="49"/>
      <c r="Y18" t="str">
        <f t="shared" si="6"/>
        <v>3YR $2270 Investment Credit</v>
      </c>
      <c r="Z18" s="49">
        <f>+'LOOKUP_ACQ_&lt;10'!W37</f>
        <v>2270</v>
      </c>
      <c r="AA18" s="49"/>
      <c r="AB18" t="str">
        <f t="shared" si="7"/>
        <v>3YR $2620 Investment Credit</v>
      </c>
      <c r="AC18" s="49">
        <f>+'LOOKUP_ACQ_&lt;10'!X37</f>
        <v>2620</v>
      </c>
    </row>
    <row r="19" spans="1:29" x14ac:dyDescent="0.25">
      <c r="A19">
        <f t="shared" si="8"/>
        <v>16</v>
      </c>
      <c r="C19" s="35">
        <f>+'LOOKUP_ACQ_&lt;10'!B38</f>
        <v>280</v>
      </c>
      <c r="D19" s="35">
        <f>+'LOOKUP_ACQ_&lt;10'!C38</f>
        <v>329.99</v>
      </c>
      <c r="F19" t="str">
        <f t="shared" si="0"/>
        <v>2YR $1390 Investment Credit</v>
      </c>
      <c r="G19" s="49">
        <f>+'LOOKUP_ACQ_&lt;10'!P38</f>
        <v>1390</v>
      </c>
      <c r="H19" s="49"/>
      <c r="I19" t="str">
        <f t="shared" si="1"/>
        <v>2YR $1905 Investment Credit</v>
      </c>
      <c r="J19" s="49">
        <f>+'LOOKUP_ACQ_&lt;10'!Q38</f>
        <v>1905</v>
      </c>
      <c r="K19" s="49"/>
      <c r="L19" t="str">
        <f t="shared" si="2"/>
        <v>2YR $1905 Investment Credit</v>
      </c>
      <c r="M19" s="49">
        <f>+'LOOKUP_ACQ_&lt;10'!R38</f>
        <v>1905</v>
      </c>
      <c r="N19" s="49"/>
      <c r="O19" t="str">
        <f t="shared" si="3"/>
        <v>2YR $2195 Investment Credit</v>
      </c>
      <c r="P19" s="49">
        <f>+'LOOKUP_ACQ_&lt;10'!S38</f>
        <v>2195</v>
      </c>
      <c r="Q19" s="49"/>
      <c r="R19" s="49"/>
      <c r="S19" t="str">
        <f t="shared" si="4"/>
        <v>3YR $2090 Investment Credit</v>
      </c>
      <c r="T19" s="49">
        <f>+'LOOKUP_ACQ_&lt;10'!U38</f>
        <v>2090</v>
      </c>
      <c r="U19" s="49"/>
      <c r="V19" t="str">
        <f t="shared" si="5"/>
        <v>3YR $2850 Investment Credit</v>
      </c>
      <c r="W19" s="49">
        <f>+'LOOKUP_ACQ_&lt;10'!V38</f>
        <v>2850</v>
      </c>
      <c r="X19" s="49"/>
      <c r="Y19" t="str">
        <f t="shared" si="6"/>
        <v>3YR $2850 Investment Credit</v>
      </c>
      <c r="Z19" s="49">
        <f>+'LOOKUP_ACQ_&lt;10'!W38</f>
        <v>2850</v>
      </c>
      <c r="AA19" s="49"/>
      <c r="AB19" t="str">
        <f t="shared" si="7"/>
        <v>3YR $3290 Investment Credit</v>
      </c>
      <c r="AC19" s="49">
        <f>+'LOOKUP_ACQ_&lt;10'!X38</f>
        <v>3290</v>
      </c>
    </row>
    <row r="20" spans="1:29" x14ac:dyDescent="0.25">
      <c r="A20">
        <f t="shared" si="8"/>
        <v>17</v>
      </c>
      <c r="C20" s="35">
        <f>+'LOOKUP_ACQ_&lt;10'!B39</f>
        <v>330</v>
      </c>
      <c r="D20" s="35">
        <f>+'LOOKUP_ACQ_&lt;10'!C39</f>
        <v>379.99</v>
      </c>
      <c r="F20" t="str">
        <f t="shared" si="0"/>
        <v>2YR $1620 Investment Credit</v>
      </c>
      <c r="G20" s="49">
        <f>+'LOOKUP_ACQ_&lt;10'!P39</f>
        <v>1620</v>
      </c>
      <c r="H20" s="49"/>
      <c r="I20" t="str">
        <f t="shared" si="1"/>
        <v>2YR $2215 Investment Credit</v>
      </c>
      <c r="J20" s="49">
        <f>+'LOOKUP_ACQ_&lt;10'!Q39</f>
        <v>2215</v>
      </c>
      <c r="K20" s="49"/>
      <c r="L20" t="str">
        <f t="shared" si="2"/>
        <v>2YR $2215 Investment Credit</v>
      </c>
      <c r="M20" s="49">
        <f>+'LOOKUP_ACQ_&lt;10'!R39</f>
        <v>2215</v>
      </c>
      <c r="N20" s="49"/>
      <c r="O20" t="str">
        <f t="shared" si="3"/>
        <v>2YR $2555 Investment Credit</v>
      </c>
      <c r="P20" s="49">
        <f>+'LOOKUP_ACQ_&lt;10'!S39</f>
        <v>2555</v>
      </c>
      <c r="Q20" s="49"/>
      <c r="R20" s="49"/>
      <c r="S20" t="str">
        <f t="shared" si="4"/>
        <v>3YR $2430 Investment Credit</v>
      </c>
      <c r="T20" s="49">
        <f>+'LOOKUP_ACQ_&lt;10'!U39</f>
        <v>2430</v>
      </c>
      <c r="U20" s="49"/>
      <c r="V20" t="str">
        <f t="shared" si="5"/>
        <v>3YR $3320 Investment Credit</v>
      </c>
      <c r="W20" s="49">
        <f>+'LOOKUP_ACQ_&lt;10'!V39</f>
        <v>3320</v>
      </c>
      <c r="X20" s="49"/>
      <c r="Y20" t="str">
        <f t="shared" si="6"/>
        <v>3YR $3320 Investment Credit</v>
      </c>
      <c r="Z20" s="49">
        <f>+'LOOKUP_ACQ_&lt;10'!W39</f>
        <v>3320</v>
      </c>
      <c r="AA20" s="49"/>
      <c r="AB20" t="str">
        <f t="shared" si="7"/>
        <v>3YR $3830 Investment Credit</v>
      </c>
      <c r="AC20" s="49">
        <f>+'LOOKUP_ACQ_&lt;10'!X39</f>
        <v>3830</v>
      </c>
    </row>
    <row r="21" spans="1:29" x14ac:dyDescent="0.25">
      <c r="A21">
        <f t="shared" si="8"/>
        <v>18</v>
      </c>
      <c r="C21" s="35">
        <f>+'LOOKUP_ACQ_&lt;10'!B40</f>
        <v>380</v>
      </c>
      <c r="D21" s="35">
        <f>+'LOOKUP_ACQ_&lt;10'!C40</f>
        <v>479.99</v>
      </c>
      <c r="F21" t="str">
        <f t="shared" si="0"/>
        <v>2YR $1960 Investment Credit</v>
      </c>
      <c r="G21" s="49">
        <f>+'LOOKUP_ACQ_&lt;10'!P40</f>
        <v>1960</v>
      </c>
      <c r="H21" s="49"/>
      <c r="I21" t="str">
        <f t="shared" si="1"/>
        <v>2YR $2685 Investment Credit</v>
      </c>
      <c r="J21" s="49">
        <f>+'LOOKUP_ACQ_&lt;10'!Q40</f>
        <v>2685</v>
      </c>
      <c r="K21" s="49"/>
      <c r="L21" t="str">
        <f t="shared" si="2"/>
        <v>2YR $2685 Investment Credit</v>
      </c>
      <c r="M21" s="49">
        <f>+'LOOKUP_ACQ_&lt;10'!R40</f>
        <v>2685</v>
      </c>
      <c r="N21" s="49"/>
      <c r="O21" t="str">
        <f t="shared" si="3"/>
        <v>2YR $3095 Investment Credit</v>
      </c>
      <c r="P21" s="49">
        <f>+'LOOKUP_ACQ_&lt;10'!S40</f>
        <v>3095</v>
      </c>
      <c r="Q21" s="49"/>
      <c r="R21" s="49"/>
      <c r="S21" t="str">
        <f t="shared" si="4"/>
        <v>3YR $2940 Investment Credit</v>
      </c>
      <c r="T21" s="49">
        <f>+'LOOKUP_ACQ_&lt;10'!U40</f>
        <v>2940</v>
      </c>
      <c r="U21" s="49"/>
      <c r="V21" t="str">
        <f t="shared" si="5"/>
        <v>3YR $4020 Investment Credit</v>
      </c>
      <c r="W21" s="49">
        <f>+'LOOKUP_ACQ_&lt;10'!V40</f>
        <v>4020</v>
      </c>
      <c r="X21" s="49"/>
      <c r="Y21" t="str">
        <f t="shared" si="6"/>
        <v>3YR $4020 Investment Credit</v>
      </c>
      <c r="Z21" s="49">
        <f>+'LOOKUP_ACQ_&lt;10'!W40</f>
        <v>4020</v>
      </c>
      <c r="AA21" s="49"/>
      <c r="AB21" t="str">
        <f t="shared" si="7"/>
        <v>3YR $4640 Investment Credit</v>
      </c>
      <c r="AC21" s="49">
        <f>+'LOOKUP_ACQ_&lt;10'!X40</f>
        <v>4640</v>
      </c>
    </row>
    <row r="22" spans="1:29" x14ac:dyDescent="0.25">
      <c r="A22">
        <f t="shared" si="8"/>
        <v>19</v>
      </c>
      <c r="C22" s="35">
        <f>+'LOOKUP_ACQ_&lt;10'!B41</f>
        <v>480</v>
      </c>
      <c r="D22" s="35">
        <f>+'LOOKUP_ACQ_&lt;10'!C41</f>
        <v>579.99</v>
      </c>
      <c r="F22" t="str">
        <f t="shared" si="0"/>
        <v>2YR $2415 Investment Credit</v>
      </c>
      <c r="G22" s="49">
        <f>+'LOOKUP_ACQ_&lt;10'!P41</f>
        <v>2415</v>
      </c>
      <c r="H22" s="49"/>
      <c r="I22" t="str">
        <f t="shared" si="1"/>
        <v>2YR $3305 Investment Credit</v>
      </c>
      <c r="J22" s="49">
        <f>+'LOOKUP_ACQ_&lt;10'!Q41</f>
        <v>3305</v>
      </c>
      <c r="K22" s="49"/>
      <c r="L22" t="str">
        <f t="shared" si="2"/>
        <v>2YR $3305 Investment Credit</v>
      </c>
      <c r="M22" s="49">
        <f>+'LOOKUP_ACQ_&lt;10'!R41</f>
        <v>3305</v>
      </c>
      <c r="N22" s="49"/>
      <c r="O22" t="str">
        <f t="shared" si="3"/>
        <v>2YR $3815 Investment Credit</v>
      </c>
      <c r="P22" s="49">
        <f>+'LOOKUP_ACQ_&lt;10'!S41</f>
        <v>3815</v>
      </c>
      <c r="Q22" s="49"/>
      <c r="R22" s="49"/>
      <c r="S22" t="str">
        <f t="shared" si="4"/>
        <v>3YR $3630 Investment Credit</v>
      </c>
      <c r="T22" s="49">
        <f>+'LOOKUP_ACQ_&lt;10'!U41</f>
        <v>3630</v>
      </c>
      <c r="U22" s="49"/>
      <c r="V22" t="str">
        <f t="shared" si="5"/>
        <v>3YR $4960 Investment Credit</v>
      </c>
      <c r="W22" s="49">
        <f>+'LOOKUP_ACQ_&lt;10'!V41</f>
        <v>4960</v>
      </c>
      <c r="X22" s="49"/>
      <c r="Y22" t="str">
        <f t="shared" si="6"/>
        <v>3YR $4960 Investment Credit</v>
      </c>
      <c r="Z22" s="49">
        <f>+'LOOKUP_ACQ_&lt;10'!W41</f>
        <v>4960</v>
      </c>
      <c r="AA22" s="49"/>
      <c r="AB22" t="str">
        <f t="shared" si="7"/>
        <v>3YR $5720 Investment Credit</v>
      </c>
      <c r="AC22" s="49">
        <f>+'LOOKUP_ACQ_&lt;10'!X41</f>
        <v>5720</v>
      </c>
    </row>
    <row r="23" spans="1:29" x14ac:dyDescent="0.25">
      <c r="A23">
        <f t="shared" si="8"/>
        <v>20</v>
      </c>
      <c r="C23" s="35">
        <f>+'LOOKUP_ACQ_&lt;10'!B42</f>
        <v>580</v>
      </c>
      <c r="D23" s="35">
        <f>+'LOOKUP_ACQ_&lt;10'!C42</f>
        <v>779.99</v>
      </c>
      <c r="F23" t="str">
        <f t="shared" si="0"/>
        <v>2YR $3100 Investment Credit</v>
      </c>
      <c r="G23" s="49">
        <f>+'LOOKUP_ACQ_&lt;10'!P42</f>
        <v>3100</v>
      </c>
      <c r="H23" s="49"/>
      <c r="I23" t="str">
        <f t="shared" si="1"/>
        <v>2YR $4245 Investment Credit</v>
      </c>
      <c r="J23" s="49">
        <f>+'LOOKUP_ACQ_&lt;10'!Q42</f>
        <v>4245</v>
      </c>
      <c r="K23" s="49"/>
      <c r="L23" t="str">
        <f t="shared" si="2"/>
        <v>2YR $4245 Investment Credit</v>
      </c>
      <c r="M23" s="49">
        <f>+'LOOKUP_ACQ_&lt;10'!R42</f>
        <v>4245</v>
      </c>
      <c r="N23" s="49"/>
      <c r="O23" t="str">
        <f t="shared" si="3"/>
        <v>2YR $4895 Investment Credit</v>
      </c>
      <c r="P23" s="49">
        <f>+'LOOKUP_ACQ_&lt;10'!S42</f>
        <v>4895</v>
      </c>
      <c r="Q23" s="49"/>
      <c r="R23" s="49"/>
      <c r="S23" t="str">
        <f t="shared" si="4"/>
        <v>3YR $4650 Investment Credit</v>
      </c>
      <c r="T23" s="49">
        <f>+'LOOKUP_ACQ_&lt;10'!U42</f>
        <v>4650</v>
      </c>
      <c r="U23" s="49"/>
      <c r="V23" t="str">
        <f t="shared" si="5"/>
        <v>3YR $6360 Investment Credit</v>
      </c>
      <c r="W23" s="49">
        <f>+'LOOKUP_ACQ_&lt;10'!V42</f>
        <v>6360</v>
      </c>
      <c r="X23" s="49"/>
      <c r="Y23" t="str">
        <f t="shared" si="6"/>
        <v>3YR $6360 Investment Credit</v>
      </c>
      <c r="Z23" s="49">
        <f>+'LOOKUP_ACQ_&lt;10'!W42</f>
        <v>6360</v>
      </c>
      <c r="AA23" s="49"/>
      <c r="AB23" t="str">
        <f t="shared" si="7"/>
        <v>3YR $7340 Investment Credit</v>
      </c>
      <c r="AC23" s="49">
        <f>+'LOOKUP_ACQ_&lt;10'!X42</f>
        <v>7340</v>
      </c>
    </row>
    <row r="24" spans="1:29" x14ac:dyDescent="0.25">
      <c r="A24">
        <f t="shared" si="8"/>
        <v>21</v>
      </c>
      <c r="C24" s="35">
        <f>+'LOOKUP_ACQ_&lt;10'!B43</f>
        <v>780</v>
      </c>
      <c r="D24" s="35">
        <f>+'LOOKUP_ACQ_&lt;10'!C43</f>
        <v>979.99</v>
      </c>
      <c r="F24" t="str">
        <f t="shared" si="0"/>
        <v>2YR $4015 Investment Credit</v>
      </c>
      <c r="G24" s="49">
        <f>+'LOOKUP_ACQ_&lt;10'!P43</f>
        <v>4015</v>
      </c>
      <c r="H24" s="49"/>
      <c r="I24" t="str">
        <f t="shared" si="1"/>
        <v>2YR $5490 Investment Credit</v>
      </c>
      <c r="J24" s="49">
        <f>+'LOOKUP_ACQ_&lt;10'!Q43</f>
        <v>5490</v>
      </c>
      <c r="K24" s="49"/>
      <c r="L24" t="str">
        <f t="shared" si="2"/>
        <v>2YR $5490 Investment Credit</v>
      </c>
      <c r="M24" s="49">
        <f>+'LOOKUP_ACQ_&lt;10'!R43</f>
        <v>5490</v>
      </c>
      <c r="N24" s="49"/>
      <c r="O24" t="str">
        <f t="shared" si="3"/>
        <v>2YR $6335 Investment Credit</v>
      </c>
      <c r="P24" s="49">
        <f>+'LOOKUP_ACQ_&lt;10'!S43</f>
        <v>6335</v>
      </c>
      <c r="Q24" s="49"/>
      <c r="R24" s="49"/>
      <c r="S24" t="str">
        <f t="shared" si="4"/>
        <v>3YR $6020 Investment Credit</v>
      </c>
      <c r="T24" s="49">
        <f>+'LOOKUP_ACQ_&lt;10'!U43</f>
        <v>6020</v>
      </c>
      <c r="U24" s="49"/>
      <c r="V24" t="str">
        <f t="shared" si="5"/>
        <v>3YR $8240 Investment Credit</v>
      </c>
      <c r="W24" s="49">
        <f>+'LOOKUP_ACQ_&lt;10'!V43</f>
        <v>8240</v>
      </c>
      <c r="X24" s="49"/>
      <c r="Y24" t="str">
        <f t="shared" si="6"/>
        <v>3YR $8240 Investment Credit</v>
      </c>
      <c r="Z24" s="49">
        <f>+'LOOKUP_ACQ_&lt;10'!W43</f>
        <v>8240</v>
      </c>
      <c r="AA24" s="49"/>
      <c r="AB24" t="str">
        <f t="shared" si="7"/>
        <v>3YR $9500 Investment Credit</v>
      </c>
      <c r="AC24" s="49">
        <f>+'LOOKUP_ACQ_&lt;10'!X43</f>
        <v>9500</v>
      </c>
    </row>
    <row r="25" spans="1:29" x14ac:dyDescent="0.25">
      <c r="A25">
        <f t="shared" si="8"/>
        <v>22</v>
      </c>
      <c r="C25" s="35">
        <f>+'LOOKUP_ACQ_&lt;10'!B44</f>
        <v>980</v>
      </c>
      <c r="D25" s="35">
        <f>+'LOOKUP_ACQ_&lt;10'!C44</f>
        <v>1229.99</v>
      </c>
      <c r="F25" t="str">
        <f t="shared" si="0"/>
        <v>2YR $5040 Investment Credit</v>
      </c>
      <c r="G25" s="49">
        <f>+'LOOKUP_ACQ_&lt;10'!P44</f>
        <v>5040</v>
      </c>
      <c r="H25" s="49"/>
      <c r="I25" t="str">
        <f t="shared" si="1"/>
        <v>2YR $6895 Investment Credit</v>
      </c>
      <c r="J25" s="49">
        <f>+'LOOKUP_ACQ_&lt;10'!Q44</f>
        <v>6895</v>
      </c>
      <c r="K25" s="49"/>
      <c r="L25" t="str">
        <f t="shared" si="2"/>
        <v>2YR $6895 Investment Credit</v>
      </c>
      <c r="M25" s="49">
        <f>+'LOOKUP_ACQ_&lt;10'!R44</f>
        <v>6895</v>
      </c>
      <c r="N25" s="49"/>
      <c r="O25" t="str">
        <f t="shared" si="3"/>
        <v>2YR $7955 Investment Credit</v>
      </c>
      <c r="P25" s="49">
        <f>+'LOOKUP_ACQ_&lt;10'!S44</f>
        <v>7955</v>
      </c>
      <c r="Q25" s="49"/>
      <c r="R25" s="49"/>
      <c r="S25" t="str">
        <f t="shared" si="4"/>
        <v>3YR $7560 Investment Credit</v>
      </c>
      <c r="T25" s="49">
        <f>+'LOOKUP_ACQ_&lt;10'!U44</f>
        <v>7560</v>
      </c>
      <c r="U25" s="49"/>
      <c r="V25" t="str">
        <f t="shared" si="5"/>
        <v>3YR $10340 Investment Credit</v>
      </c>
      <c r="W25" s="49">
        <f>+'LOOKUP_ACQ_&lt;10'!V44</f>
        <v>10340</v>
      </c>
      <c r="X25" s="49"/>
      <c r="Y25" t="str">
        <f t="shared" si="6"/>
        <v>3YR $10340 Investment Credit</v>
      </c>
      <c r="Z25" s="49">
        <f>+'LOOKUP_ACQ_&lt;10'!W44</f>
        <v>10340</v>
      </c>
      <c r="AA25" s="49"/>
      <c r="AB25" t="str">
        <f t="shared" si="7"/>
        <v>3YR $11930 Investment Credit</v>
      </c>
      <c r="AC25" s="49">
        <f>+'LOOKUP_ACQ_&lt;10'!X44</f>
        <v>11930</v>
      </c>
    </row>
    <row r="26" spans="1:29" x14ac:dyDescent="0.25">
      <c r="A26">
        <f t="shared" si="8"/>
        <v>23</v>
      </c>
      <c r="C26" s="35">
        <f>+'LOOKUP_ACQ_&lt;10'!B45</f>
        <v>1230</v>
      </c>
      <c r="D26" s="35">
        <f>+'LOOKUP_ACQ_&lt;10'!C45</f>
        <v>1629.99</v>
      </c>
      <c r="F26" t="str">
        <f t="shared" si="0"/>
        <v>2YR $6520 Investment Credit</v>
      </c>
      <c r="G26" s="49">
        <f>+'LOOKUP_ACQ_&lt;10'!P45</f>
        <v>6520</v>
      </c>
      <c r="H26" s="49"/>
      <c r="I26" t="str">
        <f t="shared" si="1"/>
        <v>2YR $8925 Investment Credit</v>
      </c>
      <c r="J26" s="49">
        <f>+'LOOKUP_ACQ_&lt;10'!Q45</f>
        <v>8925</v>
      </c>
      <c r="K26" s="49"/>
      <c r="L26" t="str">
        <f t="shared" si="2"/>
        <v>2YR $8925 Investment Credit</v>
      </c>
      <c r="M26" s="49">
        <f>+'LOOKUP_ACQ_&lt;10'!R45</f>
        <v>8925</v>
      </c>
      <c r="N26" s="49"/>
      <c r="O26" t="str">
        <f t="shared" si="3"/>
        <v>2YR $10295 Investment Credit</v>
      </c>
      <c r="P26" s="49">
        <f>+'LOOKUP_ACQ_&lt;10'!S45</f>
        <v>10295</v>
      </c>
      <c r="Q26" s="49"/>
      <c r="R26" s="49"/>
      <c r="S26" t="str">
        <f t="shared" si="4"/>
        <v>3YR $9780 Investment Credit</v>
      </c>
      <c r="T26" s="49">
        <f>+'LOOKUP_ACQ_&lt;10'!U45</f>
        <v>9780</v>
      </c>
      <c r="U26" s="49"/>
      <c r="V26" t="str">
        <f t="shared" si="5"/>
        <v>3YR $13380 Investment Credit</v>
      </c>
      <c r="W26" s="49">
        <f>+'LOOKUP_ACQ_&lt;10'!V45</f>
        <v>13380</v>
      </c>
      <c r="X26" s="49"/>
      <c r="Y26" t="str">
        <f t="shared" si="6"/>
        <v>3YR $13380 Investment Credit</v>
      </c>
      <c r="Z26" s="49">
        <f>+'LOOKUP_ACQ_&lt;10'!W45</f>
        <v>13380</v>
      </c>
      <c r="AA26" s="49"/>
      <c r="AB26" t="str">
        <f t="shared" si="7"/>
        <v>3YR $15440 Investment Credit</v>
      </c>
      <c r="AC26" s="49">
        <f>+'LOOKUP_ACQ_&lt;10'!X45</f>
        <v>15440</v>
      </c>
    </row>
    <row r="27" spans="1:29" x14ac:dyDescent="0.25">
      <c r="A27">
        <f t="shared" si="8"/>
        <v>24</v>
      </c>
      <c r="C27" s="35">
        <f>+'LOOKUP_ACQ_&lt;10'!B46</f>
        <v>1630</v>
      </c>
      <c r="D27" s="35">
        <f>+'LOOKUP_ACQ_&lt;10'!C46</f>
        <v>2029.99</v>
      </c>
      <c r="F27" t="str">
        <f t="shared" si="0"/>
        <v>2YR $8345 Investment Credit</v>
      </c>
      <c r="G27" s="49">
        <f>+'LOOKUP_ACQ_&lt;10'!P46</f>
        <v>8345</v>
      </c>
      <c r="H27" s="49"/>
      <c r="I27" t="str">
        <f t="shared" si="1"/>
        <v>2YR $11420 Investment Credit</v>
      </c>
      <c r="J27" s="49">
        <f>+'LOOKUP_ACQ_&lt;10'!Q46</f>
        <v>11420</v>
      </c>
      <c r="K27" s="49"/>
      <c r="L27" t="str">
        <f t="shared" si="2"/>
        <v>2YR $11420 Investment Credit</v>
      </c>
      <c r="M27" s="49">
        <f>+'LOOKUP_ACQ_&lt;10'!R46</f>
        <v>11420</v>
      </c>
      <c r="N27" s="49"/>
      <c r="O27" t="str">
        <f t="shared" si="3"/>
        <v>2YR $13175 Investment Credit</v>
      </c>
      <c r="P27" s="49">
        <f>+'LOOKUP_ACQ_&lt;10'!S46</f>
        <v>13175</v>
      </c>
      <c r="Q27" s="49"/>
      <c r="R27" s="49"/>
      <c r="S27" t="str">
        <f t="shared" si="4"/>
        <v>3YR $12520 Investment Credit</v>
      </c>
      <c r="T27" s="49">
        <f>+'LOOKUP_ACQ_&lt;10'!U46</f>
        <v>12520</v>
      </c>
      <c r="U27" s="49"/>
      <c r="V27" t="str">
        <f t="shared" si="5"/>
        <v>3YR $17130 Investment Credit</v>
      </c>
      <c r="W27" s="49">
        <f>+'LOOKUP_ACQ_&lt;10'!V46</f>
        <v>17130</v>
      </c>
      <c r="X27" s="49"/>
      <c r="Y27" t="str">
        <f t="shared" si="6"/>
        <v>3YR $17130 Investment Credit</v>
      </c>
      <c r="Z27" s="49">
        <f>+'LOOKUP_ACQ_&lt;10'!W46</f>
        <v>17130</v>
      </c>
      <c r="AA27" s="49"/>
      <c r="AB27" t="str">
        <f t="shared" si="7"/>
        <v>3YR $19760 Investment Credit</v>
      </c>
      <c r="AC27" s="49">
        <f>+'LOOKUP_ACQ_&lt;10'!X46</f>
        <v>19760</v>
      </c>
    </row>
    <row r="28" spans="1:29" x14ac:dyDescent="0.25">
      <c r="A28">
        <f t="shared" si="8"/>
        <v>25</v>
      </c>
      <c r="C28" s="35">
        <f>+'LOOKUP_ACQ_&lt;10'!B47</f>
        <v>2030</v>
      </c>
      <c r="D28" s="35">
        <f>+'LOOKUP_ACQ_&lt;10'!C47</f>
        <v>2429.9899999999998</v>
      </c>
      <c r="F28" t="str">
        <f t="shared" si="0"/>
        <v>2YR $10170 Investment Credit</v>
      </c>
      <c r="G28" s="49">
        <f>+'LOOKUP_ACQ_&lt;10'!P47</f>
        <v>10170</v>
      </c>
      <c r="H28" s="49"/>
      <c r="I28" t="str">
        <f t="shared" si="1"/>
        <v>2YR $13915 Investment Credit</v>
      </c>
      <c r="J28" s="49">
        <f>+'LOOKUP_ACQ_&lt;10'!Q47</f>
        <v>13915</v>
      </c>
      <c r="K28" s="49"/>
      <c r="L28" t="str">
        <f t="shared" si="2"/>
        <v>2YR $13915 Investment Credit</v>
      </c>
      <c r="M28" s="49">
        <f>+'LOOKUP_ACQ_&lt;10'!R47</f>
        <v>13915</v>
      </c>
      <c r="N28" s="49"/>
      <c r="O28" t="str">
        <f t="shared" si="3"/>
        <v>2YR $16055 Investment Credit</v>
      </c>
      <c r="P28" s="49">
        <f>+'LOOKUP_ACQ_&lt;10'!S47</f>
        <v>16055</v>
      </c>
      <c r="Q28" s="49"/>
      <c r="R28" s="49"/>
      <c r="S28" t="str">
        <f t="shared" si="4"/>
        <v>3YR $15250 Investment Credit</v>
      </c>
      <c r="T28" s="49">
        <f>+'LOOKUP_ACQ_&lt;10'!U47</f>
        <v>15250</v>
      </c>
      <c r="U28" s="49"/>
      <c r="V28" t="str">
        <f t="shared" si="5"/>
        <v>3YR $20870 Investment Credit</v>
      </c>
      <c r="W28" s="49">
        <f>+'LOOKUP_ACQ_&lt;10'!V47</f>
        <v>20870</v>
      </c>
      <c r="X28" s="49"/>
      <c r="Y28" t="str">
        <f t="shared" si="6"/>
        <v>3YR $20870 Investment Credit</v>
      </c>
      <c r="Z28" s="49">
        <f>+'LOOKUP_ACQ_&lt;10'!W47</f>
        <v>20870</v>
      </c>
      <c r="AA28" s="49"/>
      <c r="AB28" t="str">
        <f t="shared" si="7"/>
        <v>3YR $24080 Investment Credit</v>
      </c>
      <c r="AC28" s="49">
        <f>+'LOOKUP_ACQ_&lt;10'!X47</f>
        <v>24080</v>
      </c>
    </row>
    <row r="29" spans="1:29" x14ac:dyDescent="0.25">
      <c r="A29">
        <f t="shared" si="8"/>
        <v>26</v>
      </c>
      <c r="C29" s="35">
        <f>+'LOOKUP_ACQ_&lt;10'!B48</f>
        <v>2430</v>
      </c>
      <c r="D29" s="35">
        <f>+'LOOKUP_ACQ_&lt;10'!C48</f>
        <v>2829.99</v>
      </c>
      <c r="F29" t="str">
        <f t="shared" si="0"/>
        <v>2YR $11995 Investment Credit</v>
      </c>
      <c r="G29" s="49">
        <f>+'LOOKUP_ACQ_&lt;10'!P48</f>
        <v>11995</v>
      </c>
      <c r="H29" s="49"/>
      <c r="I29" t="str">
        <f t="shared" si="1"/>
        <v>2YR $16410 Investment Credit</v>
      </c>
      <c r="J29" s="49">
        <f>+'LOOKUP_ACQ_&lt;10'!Q48</f>
        <v>16410</v>
      </c>
      <c r="K29" s="49"/>
      <c r="L29" t="str">
        <f t="shared" si="2"/>
        <v>2YR $16410 Investment Credit</v>
      </c>
      <c r="M29" s="49">
        <f>+'LOOKUP_ACQ_&lt;10'!R48</f>
        <v>16410</v>
      </c>
      <c r="N29" s="49"/>
      <c r="O29" t="str">
        <f t="shared" si="3"/>
        <v>2YR $18935 Investment Credit</v>
      </c>
      <c r="P29" s="49">
        <f>+'LOOKUP_ACQ_&lt;10'!S48</f>
        <v>18935</v>
      </c>
      <c r="Q29" s="49"/>
      <c r="R29" s="49"/>
      <c r="S29" t="str">
        <f t="shared" si="4"/>
        <v>3YR $17990 Investment Credit</v>
      </c>
      <c r="T29" s="49">
        <f>+'LOOKUP_ACQ_&lt;10'!U48</f>
        <v>17990</v>
      </c>
      <c r="U29" s="49"/>
      <c r="V29" t="str">
        <f t="shared" si="5"/>
        <v>3YR $24620 Investment Credit</v>
      </c>
      <c r="W29" s="49">
        <f>+'LOOKUP_ACQ_&lt;10'!V48</f>
        <v>24620</v>
      </c>
      <c r="X29" s="49"/>
      <c r="Y29" t="str">
        <f t="shared" si="6"/>
        <v>3YR $24620 Investment Credit</v>
      </c>
      <c r="Z29" s="49">
        <f>+'LOOKUP_ACQ_&lt;10'!W48</f>
        <v>24620</v>
      </c>
      <c r="AA29" s="49"/>
      <c r="AB29" t="str">
        <f t="shared" si="7"/>
        <v>3YR $28400 Investment Credit</v>
      </c>
      <c r="AC29" s="49">
        <f>+'LOOKUP_ACQ_&lt;10'!X48</f>
        <v>28400</v>
      </c>
    </row>
    <row r="30" spans="1:29" x14ac:dyDescent="0.25">
      <c r="A30">
        <f t="shared" si="8"/>
        <v>27</v>
      </c>
      <c r="C30" s="35">
        <f>+'LOOKUP_ACQ_&lt;10'!B49</f>
        <v>2830</v>
      </c>
      <c r="D30" s="35">
        <f>+'LOOKUP_ACQ_&lt;10'!C49</f>
        <v>3229.99</v>
      </c>
      <c r="F30" t="str">
        <f t="shared" si="0"/>
        <v>2YR $13815 Investment Credit</v>
      </c>
      <c r="G30" s="49">
        <f>+'LOOKUP_ACQ_&lt;10'!P49</f>
        <v>13815</v>
      </c>
      <c r="H30" s="49"/>
      <c r="I30" t="str">
        <f t="shared" si="1"/>
        <v>2YR $18905 Investment Credit</v>
      </c>
      <c r="J30" s="49">
        <f>+'LOOKUP_ACQ_&lt;10'!Q49</f>
        <v>18905</v>
      </c>
      <c r="K30" s="49"/>
      <c r="L30" t="str">
        <f t="shared" si="2"/>
        <v>2YR $18905 Investment Credit</v>
      </c>
      <c r="M30" s="49">
        <f>+'LOOKUP_ACQ_&lt;10'!R49</f>
        <v>18905</v>
      </c>
      <c r="N30" s="49"/>
      <c r="O30" t="str">
        <f t="shared" si="3"/>
        <v>2YR $21815 Investment Credit</v>
      </c>
      <c r="P30" s="49">
        <f>+'LOOKUP_ACQ_&lt;10'!S49</f>
        <v>21815</v>
      </c>
      <c r="Q30" s="49"/>
      <c r="R30" s="49"/>
      <c r="S30" t="str">
        <f t="shared" si="4"/>
        <v>3YR $20730 Investment Credit</v>
      </c>
      <c r="T30" s="49">
        <f>+'LOOKUP_ACQ_&lt;10'!U49</f>
        <v>20730</v>
      </c>
      <c r="U30" s="49"/>
      <c r="V30" t="str">
        <f t="shared" si="5"/>
        <v>3YR $28360 Investment Credit</v>
      </c>
      <c r="W30" s="49">
        <f>+'LOOKUP_ACQ_&lt;10'!V49</f>
        <v>28360</v>
      </c>
      <c r="X30" s="49"/>
      <c r="Y30" t="str">
        <f t="shared" si="6"/>
        <v>3YR $28360 Investment Credit</v>
      </c>
      <c r="Z30" s="49">
        <f>+'LOOKUP_ACQ_&lt;10'!W49</f>
        <v>28360</v>
      </c>
      <c r="AA30" s="49"/>
      <c r="AB30" t="str">
        <f t="shared" si="7"/>
        <v>3YR $32720 Investment Credit</v>
      </c>
      <c r="AC30" s="49">
        <f>+'LOOKUP_ACQ_&lt;10'!X49</f>
        <v>32720</v>
      </c>
    </row>
    <row r="31" spans="1:29" x14ac:dyDescent="0.25">
      <c r="A31">
        <f t="shared" si="8"/>
        <v>28</v>
      </c>
      <c r="C31" s="35">
        <f>+'LOOKUP_ACQ_&lt;10'!B50</f>
        <v>3230</v>
      </c>
      <c r="D31" s="35">
        <f>+'LOOKUP_ACQ_&lt;10'!C50</f>
        <v>3629.99</v>
      </c>
      <c r="F31" t="str">
        <f t="shared" si="0"/>
        <v>2YR $15640 Investment Credit</v>
      </c>
      <c r="G31" s="49">
        <f>+'LOOKUP_ACQ_&lt;10'!P50</f>
        <v>15640</v>
      </c>
      <c r="H31" s="49"/>
      <c r="I31" t="str">
        <f t="shared" si="1"/>
        <v>2YR $21405 Investment Credit</v>
      </c>
      <c r="J31" s="49">
        <f>+'LOOKUP_ACQ_&lt;10'!Q50</f>
        <v>21405</v>
      </c>
      <c r="K31" s="49"/>
      <c r="L31" t="str">
        <f t="shared" si="2"/>
        <v>2YR $21405 Investment Credit</v>
      </c>
      <c r="M31" s="49">
        <f>+'LOOKUP_ACQ_&lt;10'!R50</f>
        <v>21405</v>
      </c>
      <c r="N31" s="49"/>
      <c r="O31" t="str">
        <f t="shared" si="3"/>
        <v>2YR $24695 Investment Credit</v>
      </c>
      <c r="P31" s="49">
        <f>+'LOOKUP_ACQ_&lt;10'!S50</f>
        <v>24695</v>
      </c>
      <c r="Q31" s="49"/>
      <c r="R31" s="49"/>
      <c r="S31" t="str">
        <f t="shared" si="4"/>
        <v>3YR $23460 Investment Credit</v>
      </c>
      <c r="T31" s="49">
        <f>+'LOOKUP_ACQ_&lt;10'!U50</f>
        <v>23460</v>
      </c>
      <c r="U31" s="49"/>
      <c r="V31" t="str">
        <f t="shared" si="5"/>
        <v>3YR $32100 Investment Credit</v>
      </c>
      <c r="W31" s="49">
        <f>+'LOOKUP_ACQ_&lt;10'!V50</f>
        <v>32100</v>
      </c>
      <c r="X31" s="49"/>
      <c r="Y31" t="str">
        <f t="shared" si="6"/>
        <v>3YR $32100 Investment Credit</v>
      </c>
      <c r="Z31" s="49">
        <f>+'LOOKUP_ACQ_&lt;10'!W50</f>
        <v>32100</v>
      </c>
      <c r="AA31" s="49"/>
      <c r="AB31" t="str">
        <f t="shared" si="7"/>
        <v>3YR $37040 Investment Credit</v>
      </c>
      <c r="AC31" s="49">
        <f>+'LOOKUP_ACQ_&lt;10'!X50</f>
        <v>37040</v>
      </c>
    </row>
  </sheetData>
  <mergeCells count="9">
    <mergeCell ref="V1:W1"/>
    <mergeCell ref="Y1:Z1"/>
    <mergeCell ref="AB1:AC1"/>
    <mergeCell ref="C2:D2"/>
    <mergeCell ref="F1:G1"/>
    <mergeCell ref="I1:J1"/>
    <mergeCell ref="L1:M1"/>
    <mergeCell ref="O1:P1"/>
    <mergeCell ref="S1:T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BA8D921C9EF794E8E109443FD740DA6" ma:contentTypeVersion="12" ma:contentTypeDescription="Create a new document." ma:contentTypeScope="" ma:versionID="4b1cee8c02601bbbfeda93263e688411">
  <xsd:schema xmlns:xsd="http://www.w3.org/2001/XMLSchema" xmlns:xs="http://www.w3.org/2001/XMLSchema" xmlns:p="http://schemas.microsoft.com/office/2006/metadata/properties" xmlns:ns3="330dc02e-ecc6-47ce-9b72-861f16378c57" xmlns:ns4="ac57b259-6467-42d3-8040-5aa63e3668f8" targetNamespace="http://schemas.microsoft.com/office/2006/metadata/properties" ma:root="true" ma:fieldsID="d234e124ebdf7120f343c8d6d1c7e8ba" ns3:_="" ns4:_="">
    <xsd:import namespace="330dc02e-ecc6-47ce-9b72-861f16378c57"/>
    <xsd:import namespace="ac57b259-6467-42d3-8040-5aa63e3668f8"/>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EventHashCode" minOccurs="0"/>
                <xsd:element ref="ns4:MediaServiceGenerationTime" minOccurs="0"/>
                <xsd:element ref="ns4:MediaServiceOCR"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dc02e-ecc6-47ce-9b72-861f16378c5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c57b259-6467-42d3-8040-5aa63e3668f8"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36F1F1-1114-4066-AA3C-E3E3149279FB}">
  <ds:schemaRefs>
    <ds:schemaRef ds:uri="http://schemas.microsoft.com/sharepoint/v3/contenttype/forms"/>
  </ds:schemaRefs>
</ds:datastoreItem>
</file>

<file path=customXml/itemProps2.xml><?xml version="1.0" encoding="utf-8"?>
<ds:datastoreItem xmlns:ds="http://schemas.openxmlformats.org/officeDocument/2006/customXml" ds:itemID="{272D7F3F-2BD9-4140-85A8-6373E325B2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0dc02e-ecc6-47ce-9b72-861f16378c57"/>
    <ds:schemaRef ds:uri="ac57b259-6467-42d3-8040-5aa63e3668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3C4A7A-A76A-4B1D-BF53-FE51897C6B91}">
  <ds:schemaRefs>
    <ds:schemaRef ds:uri="http://www.w3.org/XML/1998/namespace"/>
    <ds:schemaRef ds:uri="330dc02e-ecc6-47ce-9b72-861f16378c57"/>
    <ds:schemaRef ds:uri="http://schemas.microsoft.com/office/infopath/2007/PartnerControls"/>
    <ds:schemaRef ds:uri="http://schemas.microsoft.com/office/2006/documentManagement/types"/>
    <ds:schemaRef ds:uri="http://purl.org/dc/elements/1.1/"/>
    <ds:schemaRef ds:uri="http://purl.org/dc/dcmitype/"/>
    <ds:schemaRef ds:uri="http://schemas.openxmlformats.org/package/2006/metadata/core-properties"/>
    <ds:schemaRef ds:uri="ac57b259-6467-42d3-8040-5aa63e3668f8"/>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Instructions</vt:lpstr>
      <vt:lpstr>BWP Calculator</vt:lpstr>
      <vt:lpstr>GBWP Calculator </vt:lpstr>
      <vt:lpstr>Qualitative Measures Lookup</vt:lpstr>
      <vt:lpstr>Qualitative Criteria</vt:lpstr>
      <vt:lpstr>Summary</vt:lpstr>
      <vt:lpstr>Ratio lookup</vt:lpstr>
      <vt:lpstr>Qualitative Criteria-OLD</vt:lpstr>
      <vt:lpstr>Prescribed investment lookup</vt:lpstr>
      <vt:lpstr>LOOKUP_ACQ_&lt;10</vt:lpstr>
      <vt:lpstr>LOOKUP_ACQ_11-20</vt:lpstr>
      <vt:lpstr>LOOKUP_ACQ_21-30</vt:lpstr>
      <vt:lpstr>LOOKUP_ACQ_30+</vt:lpstr>
      <vt:lpstr>LOOKUP_RET_&lt;10</vt:lpstr>
      <vt:lpstr>LOOKUP_RET_11-20</vt:lpstr>
      <vt:lpstr>LOOKUP_RET_21-30</vt:lpstr>
      <vt:lpstr>LOOKUP_RET_30+</vt:lpstr>
      <vt:lpstr>Line Count Multiple</vt:lpstr>
      <vt:lpstr>prehup waiver lookup</vt:lpstr>
      <vt:lpstr>images</vt:lpstr>
      <vt:lpstr>Business New Activations</vt:lpstr>
      <vt:lpstr>Subsidy cost</vt:lpstr>
      <vt:lpstr>Hardware Pricing-May 2 2018</vt:lpstr>
      <vt:lpstr>Sheet1</vt:lpstr>
      <vt:lpstr>Investment Credit Matrices</vt:lpstr>
      <vt:lpstr>'Qualitative Measures Lookup'!_MailEndCompose</vt:lpstr>
      <vt:lpstr>blank</vt:lpstr>
      <vt:lpstr>checkmark</vt:lpstr>
      <vt:lpstr>Contract</vt:lpstr>
      <vt:lpstr>CSP_PLAN</vt:lpstr>
      <vt:lpstr>Dealer</vt:lpstr>
      <vt:lpstr>GCSP_PLAN</vt:lpstr>
      <vt:lpstr>PLan</vt:lpstr>
      <vt:lpstr>'Business New Activations'!Print_Area</vt:lpstr>
      <vt:lpstr>'BWP Calculator'!Print_Area</vt:lpstr>
      <vt:lpstr>'GBWP Calculator '!Print_Area</vt:lpstr>
      <vt:lpstr>'Business New Activations'!Print_Titles</vt:lpstr>
      <vt:lpstr>x</vt:lpstr>
    </vt:vector>
  </TitlesOfParts>
  <Company>Rogers Communications Partnership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Rogers User;KevinBrian.Li@rci.rogers.com</dc:creator>
  <cp:lastModifiedBy>Giridhar Kamireddy</cp:lastModifiedBy>
  <cp:lastPrinted>2018-11-07T21:21:29Z</cp:lastPrinted>
  <dcterms:created xsi:type="dcterms:W3CDTF">2016-02-08T16:04:37Z</dcterms:created>
  <dcterms:modified xsi:type="dcterms:W3CDTF">2021-05-28T17:04:12Z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0x0101003BA8D921C9EF794E8E109443FD740DA6</vt:lpwstr>
  </property>
</Properties>
</file>